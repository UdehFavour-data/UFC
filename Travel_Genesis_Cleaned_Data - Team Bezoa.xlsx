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C:\Users\HP\Downloads\Travel Genesis Data Analysis_Team Bezao\"/>
    </mc:Choice>
  </mc:AlternateContent>
  <xr:revisionPtr revIDLastSave="0" documentId="8_{A004EAFF-844F-4BBE-A02A-75A82DD24D3F}" xr6:coauthVersionLast="47" xr6:coauthVersionMax="47" xr10:uidLastSave="{00000000-0000-0000-0000-000000000000}"/>
  <bookViews>
    <workbookView xWindow="-108" yWindow="-108" windowWidth="23256" windowHeight="12576" firstSheet="3" activeTab="3" xr2:uid="{00000000-000D-0000-FFFF-FFFF00000000}"/>
  </bookViews>
  <sheets>
    <sheet name="Travel Genesis Cleaned Data" sheetId="1" r:id="rId1"/>
    <sheet name="Basic EDA" sheetId="3" r:id="rId2"/>
    <sheet name="Pivot Tables" sheetId="8" r:id="rId3"/>
    <sheet name="Travel Genesis Dashboard" sheetId="2" r:id="rId4"/>
  </sheets>
  <definedNames>
    <definedName name="Slicer_Destination">#N/A</definedName>
    <definedName name="Slicer_Travel_Month">#N/A</definedName>
    <definedName name="Slicer_Travel_Type">#N/A</definedName>
  </definedNames>
  <calcPr calcId="191028"/>
  <pivotCaches>
    <pivotCache cacheId="437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1" l="1"/>
  <c r="J5" i="1"/>
  <c r="J2" i="1"/>
  <c r="J3" i="1"/>
  <c r="J4" i="1"/>
  <c r="J6" i="1"/>
  <c r="J7" i="1"/>
  <c r="J8" i="1"/>
  <c r="J9" i="1"/>
  <c r="J10" i="1"/>
  <c r="J11" i="1"/>
  <c r="J12" i="1"/>
  <c r="J13" i="1"/>
  <c r="J14" i="1"/>
  <c r="J15" i="1"/>
  <c r="J16" i="1"/>
  <c r="J17" i="1"/>
  <c r="J18" i="1"/>
  <c r="J19" i="1"/>
  <c r="J20" i="1"/>
  <c r="J21" i="1"/>
  <c r="J22" i="1"/>
  <c r="J23" i="1"/>
  <c r="J24" i="1"/>
  <c r="J25"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M66" i="8"/>
  <c r="M72" i="8"/>
  <c r="M67" i="8"/>
  <c r="M68" i="8"/>
  <c r="M69" i="8"/>
  <c r="M70" i="8"/>
  <c r="M71" i="8"/>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<sst xmlns="http://schemas.openxmlformats.org/spreadsheetml/2006/main" count="1708" uniqueCount="379">
  <si>
    <t>Booking_ID</t>
  </si>
  <si>
    <t>Destination</t>
  </si>
  <si>
    <t>Travel_Month</t>
  </si>
  <si>
    <t>Price_USD</t>
  </si>
  <si>
    <t>Customer_Age</t>
  </si>
  <si>
    <t>Booking_Date</t>
  </si>
  <si>
    <t>Travel_Type</t>
  </si>
  <si>
    <t>Payment_Method</t>
  </si>
  <si>
    <t>Booking_Month</t>
  </si>
  <si>
    <t>Age_Groups</t>
  </si>
  <si>
    <t>e6b47fb5</t>
  </si>
  <si>
    <t>London</t>
  </si>
  <si>
    <t>January</t>
  </si>
  <si>
    <t>Business</t>
  </si>
  <si>
    <t>Credit Card</t>
  </si>
  <si>
    <t>59319d69</t>
  </si>
  <si>
    <t>Bangkok</t>
  </si>
  <si>
    <t>February</t>
  </si>
  <si>
    <t>PayPal</t>
  </si>
  <si>
    <t>30313de9</t>
  </si>
  <si>
    <t>Tokyo</t>
  </si>
  <si>
    <t>September</t>
  </si>
  <si>
    <t>Leisure</t>
  </si>
  <si>
    <t>8c00aa9e</t>
  </si>
  <si>
    <t>Toronto</t>
  </si>
  <si>
    <t>October</t>
  </si>
  <si>
    <t>Bank Transfer</t>
  </si>
  <si>
    <t>a6ccb8e6</t>
  </si>
  <si>
    <t>Dubai</t>
  </si>
  <si>
    <t>March</t>
  </si>
  <si>
    <t>3a68e657</t>
  </si>
  <si>
    <t>Cape Town</t>
  </si>
  <si>
    <t>9249ccaf</t>
  </si>
  <si>
    <t>e3e24f3b</t>
  </si>
  <si>
    <t>Sydney</t>
  </si>
  <si>
    <t>April</t>
  </si>
  <si>
    <t>4054b0b8</t>
  </si>
  <si>
    <t>d8209e8d</t>
  </si>
  <si>
    <t>New York</t>
  </si>
  <si>
    <t>June</t>
  </si>
  <si>
    <t>92d367f6</t>
  </si>
  <si>
    <t>December</t>
  </si>
  <si>
    <t>abc21647</t>
  </si>
  <si>
    <t>Rome</t>
  </si>
  <si>
    <t>c517f1c7</t>
  </si>
  <si>
    <t>Crypto</t>
  </si>
  <si>
    <t>b9b9c497</t>
  </si>
  <si>
    <t>November</t>
  </si>
  <si>
    <t>a5a9a3bf</t>
  </si>
  <si>
    <t>July</t>
  </si>
  <si>
    <t>b68dfe14</t>
  </si>
  <si>
    <t>August</t>
  </si>
  <si>
    <t>12d7c8f0</t>
  </si>
  <si>
    <t>de39c396</t>
  </si>
  <si>
    <t>a4272aa9</t>
  </si>
  <si>
    <t>May</t>
  </si>
  <si>
    <t>6633be37</t>
  </si>
  <si>
    <t>3d5dc7fe</t>
  </si>
  <si>
    <t>077d7dce</t>
  </si>
  <si>
    <t>6b5a79e4</t>
  </si>
  <si>
    <t>fdc18a1a</t>
  </si>
  <si>
    <t>be8c0082</t>
  </si>
  <si>
    <t>062cfd82</t>
  </si>
  <si>
    <t>ae639cc2</t>
  </si>
  <si>
    <t>fff3cba5</t>
  </si>
  <si>
    <t>3107fe8a</t>
  </si>
  <si>
    <t>cf3ee98d</t>
  </si>
  <si>
    <t>18418d91</t>
  </si>
  <si>
    <t>f83d6518</t>
  </si>
  <si>
    <t>Paris</t>
  </si>
  <si>
    <t>1f9e454f</t>
  </si>
  <si>
    <t>c5a06c9d</t>
  </si>
  <si>
    <t>4ffe3564</t>
  </si>
  <si>
    <t>8257b3d4</t>
  </si>
  <si>
    <t>7620baac</t>
  </si>
  <si>
    <t>f7d9ad25</t>
  </si>
  <si>
    <t>2c0ae97d</t>
  </si>
  <si>
    <t>87631a3c</t>
  </si>
  <si>
    <t>d5e618fe</t>
  </si>
  <si>
    <t>1001409c</t>
  </si>
  <si>
    <t>5157fe48</t>
  </si>
  <si>
    <t>87bb8659</t>
  </si>
  <si>
    <t>eb760dae</t>
  </si>
  <si>
    <t>5d0f7125</t>
  </si>
  <si>
    <t>2cf7eec8</t>
  </si>
  <si>
    <t>74b6116b</t>
  </si>
  <si>
    <t>bfae1040</t>
  </si>
  <si>
    <t>1922dc1c</t>
  </si>
  <si>
    <t>266758de</t>
  </si>
  <si>
    <t>5c577fa2</t>
  </si>
  <si>
    <t>f8ee6461</t>
  </si>
  <si>
    <t>84e9973c</t>
  </si>
  <si>
    <t>6351f07f</t>
  </si>
  <si>
    <t>6d501e8b</t>
  </si>
  <si>
    <t>782f7a40</t>
  </si>
  <si>
    <t>4206d421</t>
  </si>
  <si>
    <t>44362bd1</t>
  </si>
  <si>
    <t>78cadd30</t>
  </si>
  <si>
    <t>4e8d986d</t>
  </si>
  <si>
    <t>4126e669</t>
  </si>
  <si>
    <t>7d53cee1</t>
  </si>
  <si>
    <t>c04c1a67</t>
  </si>
  <si>
    <t>f911cb29</t>
  </si>
  <si>
    <t>23c1ceeb</t>
  </si>
  <si>
    <t>812d6aab</t>
  </si>
  <si>
    <t>b8536298</t>
  </si>
  <si>
    <t>9321b5ed</t>
  </si>
  <si>
    <t>58e27ccc</t>
  </si>
  <si>
    <t>ad48c99b</t>
  </si>
  <si>
    <t>66c7636e</t>
  </si>
  <si>
    <t>0be93a02</t>
  </si>
  <si>
    <t>63bfe14c</t>
  </si>
  <si>
    <t>5538c3e9</t>
  </si>
  <si>
    <t>cd13573f</t>
  </si>
  <si>
    <t>3f9768ed</t>
  </si>
  <si>
    <t>baddaa50</t>
  </si>
  <si>
    <t>6dd8231e</t>
  </si>
  <si>
    <t>3e325363</t>
  </si>
  <si>
    <t>5b312370</t>
  </si>
  <si>
    <t>c12857ca</t>
  </si>
  <si>
    <t>9cf1a203</t>
  </si>
  <si>
    <t>cb369b04</t>
  </si>
  <si>
    <t>06c22ad7</t>
  </si>
  <si>
    <t>d31bda4f</t>
  </si>
  <si>
    <t>db2e538c</t>
  </si>
  <si>
    <t>ec8ed2f6</t>
  </si>
  <si>
    <t>d75cd7ab</t>
  </si>
  <si>
    <t>d1ccbee6</t>
  </si>
  <si>
    <t>17b1e36e</t>
  </si>
  <si>
    <t>ef359088</t>
  </si>
  <si>
    <t>7c81ed4e</t>
  </si>
  <si>
    <t>f4865501</t>
  </si>
  <si>
    <t>3b731440</t>
  </si>
  <si>
    <t>247532b5</t>
  </si>
  <si>
    <t>5fa3de21</t>
  </si>
  <si>
    <t>54c97622</t>
  </si>
  <si>
    <t>fc654a6a</t>
  </si>
  <si>
    <t>20710d72</t>
  </si>
  <si>
    <t>3c99fb1f</t>
  </si>
  <si>
    <t>f1cdbbf2</t>
  </si>
  <si>
    <t>a88d1368</t>
  </si>
  <si>
    <t>ea856918</t>
  </si>
  <si>
    <t>4b947bf8</t>
  </si>
  <si>
    <t>09ed4f7f</t>
  </si>
  <si>
    <t>f9c2b6c8</t>
  </si>
  <si>
    <t>5444044d</t>
  </si>
  <si>
    <t>df943326</t>
  </si>
  <si>
    <t>3e23a903</t>
  </si>
  <si>
    <t>5724be7f</t>
  </si>
  <si>
    <t>fb034d0a</t>
  </si>
  <si>
    <t>4e92ae04</t>
  </si>
  <si>
    <t>1455d6ba</t>
  </si>
  <si>
    <t>c3ff43ed</t>
  </si>
  <si>
    <t>81c3b6db</t>
  </si>
  <si>
    <t>bd539dfb</t>
  </si>
  <si>
    <t>0ca7023e</t>
  </si>
  <si>
    <t>cdecfd48</t>
  </si>
  <si>
    <t>9741a7c9</t>
  </si>
  <si>
    <t>021d2419</t>
  </si>
  <si>
    <t>b391721f</t>
  </si>
  <si>
    <t>a952df8d</t>
  </si>
  <si>
    <t>e1f26736</t>
  </si>
  <si>
    <t>37561d27</t>
  </si>
  <si>
    <t>acab73ac</t>
  </si>
  <si>
    <t>359ac2e4</t>
  </si>
  <si>
    <t>0ecb4fe5</t>
  </si>
  <si>
    <t>3ec9fc89</t>
  </si>
  <si>
    <t>c95e472d</t>
  </si>
  <si>
    <t>1cf5efa1</t>
  </si>
  <si>
    <t>1d8cf26d</t>
  </si>
  <si>
    <t>3c4b6e9f</t>
  </si>
  <si>
    <t>ad9393de</t>
  </si>
  <si>
    <t>864ae88f</t>
  </si>
  <si>
    <t>0ac0ba0a</t>
  </si>
  <si>
    <t>0876ac3d</t>
  </si>
  <si>
    <t>3c44d02d</t>
  </si>
  <si>
    <t>d8dd5e4b</t>
  </si>
  <si>
    <t>58e2c5a4</t>
  </si>
  <si>
    <t>999b5cd8</t>
  </si>
  <si>
    <t>6a1c56bf</t>
  </si>
  <si>
    <t>e5c0a88a</t>
  </si>
  <si>
    <t>5943a26e</t>
  </si>
  <si>
    <t>ec0839de</t>
  </si>
  <si>
    <t>c27a2d4e</t>
  </si>
  <si>
    <t>27e9ad29</t>
  </si>
  <si>
    <t>ae2b64c4</t>
  </si>
  <si>
    <t>489f18e7</t>
  </si>
  <si>
    <t>b05a9bfe</t>
  </si>
  <si>
    <t>e00822e3</t>
  </si>
  <si>
    <t>afe3e489</t>
  </si>
  <si>
    <t>3fb562f6</t>
  </si>
  <si>
    <t>4a0e3203</t>
  </si>
  <si>
    <t>880e018c</t>
  </si>
  <si>
    <t>a9f603c5</t>
  </si>
  <si>
    <t>da7ac8f1</t>
  </si>
  <si>
    <t>7157dcee</t>
  </si>
  <si>
    <t>0cac58e0</t>
  </si>
  <si>
    <t>4eeb7c55</t>
  </si>
  <si>
    <t>d0d24155</t>
  </si>
  <si>
    <t>89692ab0</t>
  </si>
  <si>
    <t>71aeb23c</t>
  </si>
  <si>
    <t>c0badf2f</t>
  </si>
  <si>
    <t>102197d1</t>
  </si>
  <si>
    <t>351e5d2f</t>
  </si>
  <si>
    <t>16ee11dd</t>
  </si>
  <si>
    <t>a86ff3cc</t>
  </si>
  <si>
    <t>9bdb7291</t>
  </si>
  <si>
    <t>6e53a830</t>
  </si>
  <si>
    <t>6a9ec64b</t>
  </si>
  <si>
    <t>1962006d</t>
  </si>
  <si>
    <t>c45329bb</t>
  </si>
  <si>
    <t>864a0be5</t>
  </si>
  <si>
    <t>16f714ae</t>
  </si>
  <si>
    <t>bd3f7c9c</t>
  </si>
  <si>
    <t>8ed4ed4d</t>
  </si>
  <si>
    <t>ffa4a53e</t>
  </si>
  <si>
    <t>debdc74a</t>
  </si>
  <si>
    <t>af28536f</t>
  </si>
  <si>
    <t>94f2cbbd</t>
  </si>
  <si>
    <t>bb132574</t>
  </si>
  <si>
    <t>fc024cd6</t>
  </si>
  <si>
    <t>589dc7e2</t>
  </si>
  <si>
    <t>2b96a517</t>
  </si>
  <si>
    <t>9f92a219</t>
  </si>
  <si>
    <t>f4879e98</t>
  </si>
  <si>
    <t>3645f979</t>
  </si>
  <si>
    <t>d8762c7d</t>
  </si>
  <si>
    <t>0c44d635</t>
  </si>
  <si>
    <t>8891ab60</t>
  </si>
  <si>
    <t>75cb780e</t>
  </si>
  <si>
    <t>359f61fb</t>
  </si>
  <si>
    <t>cfa5e61b</t>
  </si>
  <si>
    <t>96d27f19</t>
  </si>
  <si>
    <t>fd56180c</t>
  </si>
  <si>
    <t>150473d2</t>
  </si>
  <si>
    <t>f70c78f6</t>
  </si>
  <si>
    <t>a350d3c7</t>
  </si>
  <si>
    <t>97de2000</t>
  </si>
  <si>
    <t>4be19698</t>
  </si>
  <si>
    <t>2c6372ec</t>
  </si>
  <si>
    <t>3d843e93</t>
  </si>
  <si>
    <t>028afc5f</t>
  </si>
  <si>
    <t>a82f5d1c</t>
  </si>
  <si>
    <t>aa34ae78</t>
  </si>
  <si>
    <t>6a8536e8</t>
  </si>
  <si>
    <t>3da7416d</t>
  </si>
  <si>
    <t>f173db91</t>
  </si>
  <si>
    <t>4a4e9124</t>
  </si>
  <si>
    <t>f054086e</t>
  </si>
  <si>
    <t>d92682ad</t>
  </si>
  <si>
    <t>6cf3c263</t>
  </si>
  <si>
    <t>7b35a559</t>
  </si>
  <si>
    <t>bdd55781</t>
  </si>
  <si>
    <t>5f66145c</t>
  </si>
  <si>
    <t>27534cac</t>
  </si>
  <si>
    <t>a6ae7e2b</t>
  </si>
  <si>
    <t>1dacc17c</t>
  </si>
  <si>
    <t>fdca0064</t>
  </si>
  <si>
    <t>03a1a9e9</t>
  </si>
  <si>
    <t>96bcadda</t>
  </si>
  <si>
    <t>dabc9632</t>
  </si>
  <si>
    <t>ebddb904</t>
  </si>
  <si>
    <t>33bae404</t>
  </si>
  <si>
    <t>8d286ba3</t>
  </si>
  <si>
    <t>147624f6</t>
  </si>
  <si>
    <t>f5053c3b</t>
  </si>
  <si>
    <t>e07d3d62</t>
  </si>
  <si>
    <t>a903085b</t>
  </si>
  <si>
    <t>55a32ff1</t>
  </si>
  <si>
    <t>34cc65d9</t>
  </si>
  <si>
    <t>0ae7065b</t>
  </si>
  <si>
    <t>3f42e383</t>
  </si>
  <si>
    <t>55eebf5f</t>
  </si>
  <si>
    <t>ee44ed35</t>
  </si>
  <si>
    <t>329daaa9</t>
  </si>
  <si>
    <t>1c612580</t>
  </si>
  <si>
    <t>42a7c110</t>
  </si>
  <si>
    <t>8499adf1</t>
  </si>
  <si>
    <t>3701c0c2</t>
  </si>
  <si>
    <t>685aa126</t>
  </si>
  <si>
    <t>31edbacc</t>
  </si>
  <si>
    <t>cd6c5f62</t>
  </si>
  <si>
    <t>6da8f489</t>
  </si>
  <si>
    <t>99ec03fc</t>
  </si>
  <si>
    <t>73caef41</t>
  </si>
  <si>
    <t>a563d2c5</t>
  </si>
  <si>
    <t>1cdb0e0b</t>
  </si>
  <si>
    <t>f44e71e3</t>
  </si>
  <si>
    <t>dfd529e1</t>
  </si>
  <si>
    <t>099eb853</t>
  </si>
  <si>
    <t>9ab72ce0</t>
  </si>
  <si>
    <t>416ff42a</t>
  </si>
  <si>
    <t>6d4adf42</t>
  </si>
  <si>
    <t>c934f6e0</t>
  </si>
  <si>
    <t>cc307b4f</t>
  </si>
  <si>
    <t>2d0abed4</t>
  </si>
  <si>
    <t>f3fb444c</t>
  </si>
  <si>
    <t>bd9d86a4</t>
  </si>
  <si>
    <t>9be89748</t>
  </si>
  <si>
    <t>96b81e4e</t>
  </si>
  <si>
    <t>6c89bec3</t>
  </si>
  <si>
    <t>55fba74f</t>
  </si>
  <si>
    <t>7b302cad</t>
  </si>
  <si>
    <t>8038587a</t>
  </si>
  <si>
    <t>a53f3040</t>
  </si>
  <si>
    <t>737e325c</t>
  </si>
  <si>
    <t>097a44f5</t>
  </si>
  <si>
    <t>3de28127</t>
  </si>
  <si>
    <t>5ebb70ab</t>
  </si>
  <si>
    <t>dfe7faf9</t>
  </si>
  <si>
    <t>986a48e2</t>
  </si>
  <si>
    <t>4099cfb2</t>
  </si>
  <si>
    <t>0a886685</t>
  </si>
  <si>
    <t>6448d719</t>
  </si>
  <si>
    <t>21efef56</t>
  </si>
  <si>
    <t>5bf3a078</t>
  </si>
  <si>
    <t>9739362b</t>
  </si>
  <si>
    <t>27daecb0</t>
  </si>
  <si>
    <t>16e03b2f</t>
  </si>
  <si>
    <t>dc6fb413</t>
  </si>
  <si>
    <t>5602e1f6</t>
  </si>
  <si>
    <t>bf47cc8b</t>
  </si>
  <si>
    <t>90db284c</t>
  </si>
  <si>
    <t>9206ff81</t>
  </si>
  <si>
    <t>da8bdcae</t>
  </si>
  <si>
    <t>219bc081</t>
  </si>
  <si>
    <t>219f202b</t>
  </si>
  <si>
    <t>5415d25a</t>
  </si>
  <si>
    <t>82ad343d</t>
  </si>
  <si>
    <t>596e8cfa</t>
  </si>
  <si>
    <t>PRICE_USD</t>
  </si>
  <si>
    <t>CUSTOMER_AGE</t>
  </si>
  <si>
    <t>Mean</t>
  </si>
  <si>
    <t>Standard Error</t>
  </si>
  <si>
    <t>Median</t>
  </si>
  <si>
    <t>Mode</t>
  </si>
  <si>
    <t>No mode</t>
  </si>
  <si>
    <t>Standard Deviation</t>
  </si>
  <si>
    <t>Sample Variance</t>
  </si>
  <si>
    <t>Kurtosis</t>
  </si>
  <si>
    <t>Skewness</t>
  </si>
  <si>
    <t>Range</t>
  </si>
  <si>
    <t>Minimum</t>
  </si>
  <si>
    <t>Maximum</t>
  </si>
  <si>
    <t>Sum</t>
  </si>
  <si>
    <t>Count</t>
  </si>
  <si>
    <t>BEHAVIOUR TREND ANALYSIS - TRAVEL GENESIS</t>
  </si>
  <si>
    <t>PEAK BOOKING TIMES</t>
  </si>
  <si>
    <t xml:space="preserve">TRAVEL MONTH PREFERENCES </t>
  </si>
  <si>
    <t>Row Labels</t>
  </si>
  <si>
    <t>Count of Booking_ID</t>
  </si>
  <si>
    <t>Column Labels</t>
  </si>
  <si>
    <t>Grand Total</t>
  </si>
  <si>
    <t>USER PREFERENCES ANALYSIS ("The Why &amp; How")</t>
  </si>
  <si>
    <t>PAYMENT METHOD PREFERENCES</t>
  </si>
  <si>
    <t>PEAK TIMES FOR TRAVEL</t>
  </si>
  <si>
    <t>DESTINATION PREFERENCES BY TRAVEL TYPE</t>
  </si>
  <si>
    <t>PHASE 2</t>
  </si>
  <si>
    <t>TOP DESTINATIONS BY BOOKING VOLUME</t>
  </si>
  <si>
    <t>TOP DESTINATIONS BY REVENUE</t>
  </si>
  <si>
    <t>AVERAGE BOOKING VALUE BY DESTINATION</t>
  </si>
  <si>
    <t>Sum of Price_USD</t>
  </si>
  <si>
    <t>Average of Price_USD</t>
  </si>
  <si>
    <t>AVERAGE VALUE BY TRAVEL TYPE</t>
  </si>
  <si>
    <t>BOOKINGS BY MONTH (Season Trends)</t>
  </si>
  <si>
    <t>AGE DISTRIBUTION</t>
  </si>
  <si>
    <t>Bin Range</t>
  </si>
  <si>
    <t>Frequency</t>
  </si>
  <si>
    <t>&lt;20</t>
  </si>
  <si>
    <t>20-29</t>
  </si>
  <si>
    <t>30-39</t>
  </si>
  <si>
    <t>40-49</t>
  </si>
  <si>
    <t>50-59</t>
  </si>
  <si>
    <t>TRAVEL TYPE PREFERENCE</t>
  </si>
  <si>
    <t>60-69</t>
  </si>
  <si>
    <t>70+</t>
  </si>
  <si>
    <t>(All)</t>
  </si>
  <si>
    <t>10-19</t>
  </si>
  <si>
    <t>TRAVEL GENESIS ANALYTICS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</si>
</sst>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00"/>
  </numFmts>
  <fonts count="12">
    <font>
      <sz val="11"/>
      <color theme="1"/>
      <name val="Calibri"/>
      <family val="2"/>
      <scheme val="minor"/>
    </font>
    <font>
      <b/>
      <sz val="11"/>
      <color theme="0"/>
      <name val="Calibri"/>
      <family val="2"/>
      <scheme val="minor"/>
    </font>
    <font>
      <b/>
      <sz val="11"/>
      <color theme="1"/>
      <name val="Calibri"/>
      <family val="2"/>
      <scheme val="minor"/>
    </font>
    <font>
      <b/>
      <sz val="20"/>
      <color theme="1"/>
      <name val="Aharoni"/>
      <charset val="177"/>
    </font>
    <font>
      <b/>
      <sz val="20"/>
      <color rgb="FF002060"/>
      <name val="Aharoni"/>
      <charset val="177"/>
    </font>
    <font>
      <sz val="8"/>
      <name val="Calibri"/>
      <family val="2"/>
      <scheme val="minor"/>
    </font>
    <font>
      <b/>
      <sz val="11"/>
      <color rgb="FF002060"/>
      <name val="Calibri"/>
      <family val="2"/>
      <scheme val="minor"/>
    </font>
    <font>
      <b/>
      <sz val="14"/>
      <color rgb="FF002060"/>
      <name val="Aharoni"/>
    </font>
    <font>
      <sz val="11"/>
      <color rgb="FF002060"/>
      <name val="Aharoni"/>
    </font>
    <font>
      <sz val="11"/>
      <color theme="1"/>
      <name val="Aharoni"/>
    </font>
    <font>
      <b/>
      <sz val="11"/>
      <color rgb="FF002060"/>
      <name val="Aharoni"/>
    </font>
    <font>
      <b/>
      <sz val="15"/>
      <color rgb="FF00206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2060"/>
        <bgColor theme="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9">
    <xf numFmtId="0" fontId="0" fillId="0" borderId="0" xfId="0"/>
    <xf numFmtId="164" fontId="0" fillId="0" borderId="0" xfId="0" applyNumberFormat="1"/>
    <xf numFmtId="0" fontId="0" fillId="0" borderId="1" xfId="0" applyBorder="1"/>
    <xf numFmtId="0" fontId="0" fillId="0" borderId="2" xfId="0" applyBorder="1"/>
    <xf numFmtId="0" fontId="1" fillId="2" borderId="3" xfId="0" applyFont="1" applyFill="1" applyBorder="1"/>
    <xf numFmtId="0" fontId="0" fillId="0" borderId="4" xfId="0" applyBorder="1"/>
    <xf numFmtId="0" fontId="0" fillId="0" borderId="6" xfId="0" applyBorder="1"/>
    <xf numFmtId="0" fontId="0" fillId="0" borderId="9" xfId="0" applyBorder="1"/>
    <xf numFmtId="1" fontId="0" fillId="0" borderId="5" xfId="0" applyNumberFormat="1" applyBorder="1"/>
    <xf numFmtId="1" fontId="0" fillId="0" borderId="7" xfId="0" applyNumberFormat="1" applyBorder="1"/>
    <xf numFmtId="2" fontId="0" fillId="0" borderId="1" xfId="0" applyNumberFormat="1" applyBorder="1"/>
    <xf numFmtId="2" fontId="0" fillId="0" borderId="8" xfId="0" applyNumberFormat="1" applyBorder="1"/>
    <xf numFmtId="0" fontId="0" fillId="0" borderId="0" xfId="0" pivotButton="1"/>
    <xf numFmtId="0" fontId="0" fillId="0" borderId="0" xfId="0" applyAlignment="1">
      <alignment horizontal="left"/>
    </xf>
    <xf numFmtId="0" fontId="2" fillId="0" borderId="0" xfId="0" applyFont="1" applyAlignment="1">
      <alignment horizontal="center"/>
    </xf>
    <xf numFmtId="1" fontId="0" fillId="0" borderId="0" xfId="0" applyNumberFormat="1"/>
    <xf numFmtId="165" fontId="1" fillId="4" borderId="3" xfId="0" applyNumberFormat="1" applyFont="1" applyFill="1" applyBorder="1" applyAlignment="1">
      <alignment horizontal="center" wrapText="1"/>
    </xf>
    <xf numFmtId="165" fontId="0" fillId="3" borderId="1" xfId="0" applyNumberFormat="1" applyFill="1" applyBorder="1" applyAlignment="1">
      <alignment horizontal="right" wrapText="1"/>
    </xf>
    <xf numFmtId="165" fontId="0" fillId="0" borderId="1" xfId="0" applyNumberFormat="1" applyBorder="1" applyAlignment="1">
      <alignment horizontal="right" wrapText="1"/>
    </xf>
    <xf numFmtId="165" fontId="0" fillId="3" borderId="8" xfId="0" applyNumberFormat="1" applyFill="1" applyBorder="1" applyAlignment="1">
      <alignment horizontal="right" wrapText="1"/>
    </xf>
    <xf numFmtId="165" fontId="0" fillId="0" borderId="0" xfId="0" applyNumberFormat="1"/>
    <xf numFmtId="1" fontId="1" fillId="4" borderId="3" xfId="0" applyNumberFormat="1" applyFont="1" applyFill="1" applyBorder="1" applyAlignment="1">
      <alignment horizontal="center" wrapText="1"/>
    </xf>
    <xf numFmtId="1" fontId="0" fillId="3" borderId="1" xfId="0" applyNumberFormat="1" applyFill="1" applyBorder="1" applyAlignment="1">
      <alignment horizontal="right" wrapText="1"/>
    </xf>
    <xf numFmtId="1" fontId="0" fillId="0" borderId="1" xfId="0" applyNumberFormat="1" applyBorder="1" applyAlignment="1">
      <alignment horizontal="right" wrapText="1"/>
    </xf>
    <xf numFmtId="1" fontId="0" fillId="3" borderId="8" xfId="0" applyNumberFormat="1" applyFill="1" applyBorder="1" applyAlignment="1">
      <alignment horizontal="right" wrapText="1"/>
    </xf>
    <xf numFmtId="14" fontId="1" fillId="4" borderId="3" xfId="0" applyNumberFormat="1" applyFont="1" applyFill="1" applyBorder="1" applyAlignment="1">
      <alignment horizontal="center" wrapText="1"/>
    </xf>
    <xf numFmtId="14" fontId="0" fillId="3" borderId="1" xfId="0" applyNumberFormat="1" applyFill="1" applyBorder="1" applyAlignment="1">
      <alignment horizontal="right" wrapText="1"/>
    </xf>
    <xf numFmtId="14" fontId="0" fillId="0" borderId="1" xfId="0" applyNumberFormat="1" applyBorder="1" applyAlignment="1">
      <alignment horizontal="right" wrapText="1"/>
    </xf>
    <xf numFmtId="14" fontId="0" fillId="3" borderId="8" xfId="0" applyNumberFormat="1" applyFill="1" applyBorder="1" applyAlignment="1">
      <alignment horizontal="right" wrapText="1"/>
    </xf>
    <xf numFmtId="14" fontId="0" fillId="0" borderId="0" xfId="0" applyNumberFormat="1"/>
    <xf numFmtId="0" fontId="1" fillId="4" borderId="2" xfId="0" applyFont="1" applyFill="1" applyBorder="1" applyAlignment="1">
      <alignment horizontal="center" wrapText="1"/>
    </xf>
    <xf numFmtId="0" fontId="0" fillId="3" borderId="5" xfId="0" applyFill="1" applyBorder="1" applyAlignment="1">
      <alignment wrapText="1"/>
    </xf>
    <xf numFmtId="0" fontId="0" fillId="0" borderId="5" xfId="0" applyBorder="1" applyAlignment="1">
      <alignment wrapText="1"/>
    </xf>
    <xf numFmtId="0" fontId="0" fillId="0" borderId="5" xfId="0" applyBorder="1" applyAlignment="1">
      <alignment horizontal="right" wrapText="1"/>
    </xf>
    <xf numFmtId="0" fontId="0" fillId="3" borderId="7" xfId="0" applyFill="1" applyBorder="1" applyAlignment="1">
      <alignment wrapText="1"/>
    </xf>
    <xf numFmtId="0" fontId="1" fillId="4" borderId="3" xfId="0" applyFont="1" applyFill="1" applyBorder="1" applyAlignment="1">
      <alignment horizontal="center" wrapText="1"/>
    </xf>
    <xf numFmtId="0" fontId="1" fillId="5" borderId="3" xfId="0" applyFont="1" applyFill="1" applyBorder="1" applyAlignment="1">
      <alignment horizontal="center"/>
    </xf>
    <xf numFmtId="0" fontId="1" fillId="5" borderId="4" xfId="0" applyFont="1" applyFill="1" applyBorder="1" applyAlignment="1">
      <alignment horizontal="center"/>
    </xf>
    <xf numFmtId="0" fontId="0" fillId="3" borderId="1" xfId="0" applyFill="1" applyBorder="1" applyAlignment="1">
      <alignment wrapText="1"/>
    </xf>
    <xf numFmtId="0" fontId="0" fillId="0" borderId="1" xfId="0" applyBorder="1" applyAlignment="1">
      <alignment wrapText="1"/>
    </xf>
    <xf numFmtId="0" fontId="0" fillId="3" borderId="8" xfId="0" applyFill="1" applyBorder="1" applyAlignment="1">
      <alignment wrapText="1"/>
    </xf>
    <xf numFmtId="0" fontId="0" fillId="0" borderId="8" xfId="0" applyBorder="1" applyAlignment="1">
      <alignment wrapText="1"/>
    </xf>
    <xf numFmtId="0" fontId="0" fillId="0" borderId="8" xfId="0" applyBorder="1"/>
    <xf numFmtId="0" fontId="1" fillId="4" borderId="3" xfId="0" applyFont="1" applyFill="1" applyBorder="1" applyAlignment="1">
      <alignment horizontal="center"/>
    </xf>
    <xf numFmtId="0" fontId="3" fillId="0" borderId="0" xfId="0" applyFont="1" applyAlignment="1">
      <alignment horizontal="center"/>
    </xf>
    <xf numFmtId="0" fontId="6" fillId="0" borderId="0" xfId="0" applyFont="1"/>
    <xf numFmtId="0" fontId="8" fillId="0" borderId="0" xfId="0" applyFont="1" applyAlignment="1">
      <alignment horizontal="left"/>
    </xf>
    <xf numFmtId="0" fontId="9" fillId="0" borderId="0" xfId="0" applyFont="1"/>
    <xf numFmtId="0" fontId="8" fillId="0" borderId="0" xfId="0" applyFont="1"/>
    <xf numFmtId="0" fontId="10" fillId="0" borderId="0" xfId="0" applyFont="1"/>
    <xf numFmtId="0" fontId="10" fillId="0" borderId="0" xfId="0" applyFont="1" applyAlignment="1">
      <alignment horizontal="left"/>
    </xf>
    <xf numFmtId="0" fontId="0" fillId="0" borderId="1" xfId="0" applyBorder="1" applyAlignment="1">
      <alignment horizontal="left"/>
    </xf>
    <xf numFmtId="0" fontId="2" fillId="3" borderId="1" xfId="0" applyFont="1" applyFill="1" applyBorder="1"/>
    <xf numFmtId="0" fontId="10" fillId="0" borderId="1"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xf>
    <xf numFmtId="0" fontId="4" fillId="0" borderId="0" xfId="0" applyFont="1" applyAlignment="1">
      <alignment horizontal="center"/>
    </xf>
  </cellXfs>
  <cellStyles count="1">
    <cellStyle name="Normal" xfId="0" builtinId="0"/>
  </cellStyles>
  <dxfs count="22">
    <dxf>
      <numFmt numFmtId="0" formatCode="General"/>
      <border diagonalUp="0" diagonalDown="0">
        <left style="thin">
          <color indexed="64"/>
        </left>
        <right/>
        <top style="thin">
          <color indexed="64"/>
        </top>
        <bottom style="thin">
          <color indexed="64"/>
        </bottom>
      </border>
    </dxf>
    <dxf>
      <numFmt numFmtId="2" formatCode="0.0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numFmt numFmtId="0" formatCode="General"/>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numFmt numFmtId="0" formatCode="Genera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dd/mm/yyyy"/>
      <fill>
        <patternFill patternType="solid">
          <fgColor theme="4" tint="0.79998168889431442"/>
          <bgColor theme="4" tint="0.79998168889431442"/>
        </patternFill>
      </fill>
      <alignment horizontal="right"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409]#,##0.00"/>
      <fill>
        <patternFill patternType="solid">
          <fgColor theme="4" tint="0.79998168889431442"/>
          <bgColor theme="4" tint="0.79998168889431442"/>
        </patternFill>
      </fill>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bgColor rgb="FF002060"/>
        </patternFill>
      </fill>
      <alignment horizontal="center" vertical="bottom"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[Travel_Genesis_Cleaned_Data - Team Bezoa.xlsx]Pivot Tables!PivotTable3</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latin typeface="Aharoni" panose="020B0604020202020204" pitchFamily="2" charset="-79"/>
                <a:cs typeface="Aharoni" panose="020B0604020202020204" pitchFamily="2" charset="-79"/>
              </a:rPr>
              <a:t>POPULAR DESTINATIONS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Tables'!$B$48:$B$58</c:f>
              <c:strCache>
                <c:ptCount val="10"/>
                <c:pt idx="0">
                  <c:v>London</c:v>
                </c:pt>
                <c:pt idx="1">
                  <c:v>Sydney</c:v>
                </c:pt>
                <c:pt idx="2">
                  <c:v>Toronto</c:v>
                </c:pt>
                <c:pt idx="3">
                  <c:v>New York</c:v>
                </c:pt>
                <c:pt idx="4">
                  <c:v>Bangkok</c:v>
                </c:pt>
                <c:pt idx="5">
                  <c:v>Cape Town</c:v>
                </c:pt>
                <c:pt idx="6">
                  <c:v>Tokyo</c:v>
                </c:pt>
                <c:pt idx="7">
                  <c:v>Rome</c:v>
                </c:pt>
                <c:pt idx="8">
                  <c:v>Dubai</c:v>
                </c:pt>
                <c:pt idx="9">
                  <c:v>Paris</c:v>
                </c:pt>
              </c:strCache>
            </c:strRef>
          </c:cat>
          <c:val>
            <c:numRef>
              <c:f>'Pivot Tables'!$C$48:$C$58</c:f>
              <c:numCache>
                <c:formatCode>General</c:formatCode>
                <c:ptCount val="10"/>
                <c:pt idx="0">
                  <c:v>41</c:v>
                </c:pt>
                <c:pt idx="1">
                  <c:v>40</c:v>
                </c:pt>
                <c:pt idx="2">
                  <c:v>35</c:v>
                </c:pt>
                <c:pt idx="3">
                  <c:v>34</c:v>
                </c:pt>
                <c:pt idx="4">
                  <c:v>31</c:v>
                </c:pt>
                <c:pt idx="5">
                  <c:v>27</c:v>
                </c:pt>
                <c:pt idx="6">
                  <c:v>23</c:v>
                </c:pt>
                <c:pt idx="7">
                  <c:v>22</c:v>
                </c:pt>
                <c:pt idx="8">
                  <c:v>20</c:v>
                </c:pt>
                <c:pt idx="9">
                  <c:v>20</c:v>
                </c:pt>
              </c:numCache>
            </c:numRef>
          </c:val>
          <c:extLst>
            <c:ext xmlns:c16="http://schemas.microsoft.com/office/drawing/2014/chart" uri="{C3380CC4-5D6E-409C-BE32-E72D297353CC}">
              <c16:uniqueId val="{00000000-8C00-411D-B59E-7729939208C7}"/>
            </c:ext>
          </c:extLst>
        </c:ser>
        <c:dLbls>
          <c:dLblPos val="outEnd"/>
          <c:showLegendKey val="0"/>
          <c:showVal val="1"/>
          <c:showCatName val="0"/>
          <c:showSerName val="0"/>
          <c:showPercent val="0"/>
          <c:showBubbleSize val="0"/>
        </c:dLbls>
        <c:gapWidth val="219"/>
        <c:overlap val="-27"/>
        <c:axId val="2111103104"/>
        <c:axId val="2111105984"/>
      </c:barChart>
      <c:catAx>
        <c:axId val="211110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1105984"/>
        <c:crosses val="autoZero"/>
        <c:auto val="1"/>
        <c:lblAlgn val="ctr"/>
        <c:lblOffset val="100"/>
        <c:noMultiLvlLbl val="0"/>
      </c:catAx>
      <c:valAx>
        <c:axId val="2111105984"/>
        <c:scaling>
          <c:orientation val="minMax"/>
        </c:scaling>
        <c:delete val="1"/>
        <c:axPos val="l"/>
        <c:numFmt formatCode="General" sourceLinked="1"/>
        <c:majorTickMark val="none"/>
        <c:minorTickMark val="none"/>
        <c:tickLblPos val="nextTo"/>
        <c:crossAx val="21111031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[Travel_Genesis_Cleaned_Data - Team Bezoa.xlsx]Pivot Tables!PivotTable16</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latin typeface="Aharoni" panose="02010803020104030203" pitchFamily="2" charset="-79"/>
                <a:cs typeface="Aharoni" panose="02010803020104030203" pitchFamily="2" charset="-79"/>
              </a:rPr>
              <a:t>BUSINESS vs LEISURE TRAVEL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rgbClr val="0070C0"/>
          </a:solidFill>
          <a:ln w="19050">
            <a:solidFill>
              <a:schemeClr val="lt1"/>
            </a:solidFill>
          </a:ln>
          <a:effectLst/>
        </c:spPr>
      </c:pivotFmt>
    </c:pivotFmts>
    <c:plotArea>
      <c:layout/>
      <c:pieChart>
        <c:varyColors val="1"/>
        <c:ser>
          <c:idx val="0"/>
          <c:order val="0"/>
          <c:tx>
            <c:strRef>
              <c:f>'Pivot Tables'!$C$72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54F5-43A7-B948-9768DE1DAB2A}"/>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54F5-43A7-B948-9768DE1DAB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Tables'!$B$73:$B$75</c:f>
              <c:strCache>
                <c:ptCount val="2"/>
                <c:pt idx="0">
                  <c:v>Business</c:v>
                </c:pt>
                <c:pt idx="1">
                  <c:v>Leisure</c:v>
                </c:pt>
              </c:strCache>
            </c:strRef>
          </c:cat>
          <c:val>
            <c:numRef>
              <c:f>'Pivot Tables'!$C$73:$C$75</c:f>
              <c:numCache>
                <c:formatCode>General</c:formatCode>
                <c:ptCount val="2"/>
                <c:pt idx="0">
                  <c:v>136</c:v>
                </c:pt>
                <c:pt idx="1">
                  <c:v>157</c:v>
                </c:pt>
              </c:numCache>
            </c:numRef>
          </c:val>
          <c:extLst>
            <c:ext xmlns:c16="http://schemas.microsoft.com/office/drawing/2014/chart" uri="{C3380CC4-5D6E-409C-BE32-E72D297353CC}">
              <c16:uniqueId val="{00000004-54F5-43A7-B948-9768DE1DAB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[Travel_Genesis_Cleaned_Data - Team Bezoa.xlsx]Pivot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Aharoni" panose="02010803020104030203" pitchFamily="2" charset="-79"/>
                <a:cs typeface="Aharoni" panose="02010803020104030203" pitchFamily="2" charset="-79"/>
              </a:rPr>
              <a:t>AVERAGE PRICE BY DESTINATION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Tables'!$M$47</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Tables'!$L$48:$L$58</c:f>
              <c:strCache>
                <c:ptCount val="10"/>
                <c:pt idx="0">
                  <c:v>Rome</c:v>
                </c:pt>
                <c:pt idx="1">
                  <c:v>Cape Town</c:v>
                </c:pt>
                <c:pt idx="2">
                  <c:v>Toronto</c:v>
                </c:pt>
                <c:pt idx="3">
                  <c:v>Sydney</c:v>
                </c:pt>
                <c:pt idx="4">
                  <c:v>Dubai</c:v>
                </c:pt>
                <c:pt idx="5">
                  <c:v>London</c:v>
                </c:pt>
                <c:pt idx="6">
                  <c:v>Bangkok</c:v>
                </c:pt>
                <c:pt idx="7">
                  <c:v>New York</c:v>
                </c:pt>
                <c:pt idx="8">
                  <c:v>Tokyo</c:v>
                </c:pt>
                <c:pt idx="9">
                  <c:v>Paris</c:v>
                </c:pt>
              </c:strCache>
            </c:strRef>
          </c:cat>
          <c:val>
            <c:numRef>
              <c:f>'Pivot Tables'!$M$48:$M$58</c:f>
              <c:numCache>
                <c:formatCode>"$"#,##0.00</c:formatCode>
                <c:ptCount val="10"/>
                <c:pt idx="0">
                  <c:v>1110.2272727272727</c:v>
                </c:pt>
                <c:pt idx="1">
                  <c:v>1174.4144444444446</c:v>
                </c:pt>
                <c:pt idx="2">
                  <c:v>1189.9528571428571</c:v>
                </c:pt>
                <c:pt idx="3">
                  <c:v>1200.9207500000002</c:v>
                </c:pt>
                <c:pt idx="4">
                  <c:v>1274.3054999999999</c:v>
                </c:pt>
                <c:pt idx="5">
                  <c:v>1384.8900000000003</c:v>
                </c:pt>
                <c:pt idx="6">
                  <c:v>1429.1638709677422</c:v>
                </c:pt>
                <c:pt idx="7">
                  <c:v>1434.6161764705885</c:v>
                </c:pt>
                <c:pt idx="8">
                  <c:v>1528.4908695652175</c:v>
                </c:pt>
                <c:pt idx="9">
                  <c:v>1610.9560000000004</c:v>
                </c:pt>
              </c:numCache>
            </c:numRef>
          </c:val>
          <c:extLst>
            <c:ext xmlns:c16="http://schemas.microsoft.com/office/drawing/2014/chart" uri="{C3380CC4-5D6E-409C-BE32-E72D297353CC}">
              <c16:uniqueId val="{00000000-F76A-4850-9968-EDE07F94C164}"/>
            </c:ext>
          </c:extLst>
        </c:ser>
        <c:dLbls>
          <c:dLblPos val="outEnd"/>
          <c:showLegendKey val="0"/>
          <c:showVal val="1"/>
          <c:showCatName val="0"/>
          <c:showSerName val="0"/>
          <c:showPercent val="0"/>
          <c:showBubbleSize val="0"/>
        </c:dLbls>
        <c:gapWidth val="182"/>
        <c:axId val="11314640"/>
        <c:axId val="11312720"/>
      </c:barChart>
      <c:catAx>
        <c:axId val="1131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1312720"/>
        <c:crosses val="autoZero"/>
        <c:auto val="1"/>
        <c:lblAlgn val="ctr"/>
        <c:lblOffset val="100"/>
        <c:noMultiLvlLbl val="0"/>
      </c:catAx>
      <c:valAx>
        <c:axId val="11312720"/>
        <c:scaling>
          <c:orientation val="minMax"/>
        </c:scaling>
        <c:delete val="1"/>
        <c:axPos val="b"/>
        <c:numFmt formatCode="&quot;$&quot;#,##0.00" sourceLinked="1"/>
        <c:majorTickMark val="none"/>
        <c:minorTickMark val="none"/>
        <c:tickLblPos val="nextTo"/>
        <c:crossAx val="1131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[Travel_Genesis_Cleaned_Data - Team Bezoa.xlsx]Pivot Tables!PivotTable8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Aharoni" panose="02010803020104030203" pitchFamily="2" charset="-79"/>
                <a:cs typeface="Aharoni" panose="02010803020104030203" pitchFamily="2" charset="-79"/>
              </a:rPr>
              <a:t>MONTHLY BOOKING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Tables'!$H$64</c:f>
              <c:strCache>
                <c:ptCount val="1"/>
                <c:pt idx="0">
                  <c:v>Total</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'Pivot Tables'!$G$65:$G$77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Tables'!$H$65:$H$77</c:f>
              <c:numCache>
                <c:formatCode>General</c:formatCode>
                <c:ptCount val="12"/>
                <c:pt idx="0">
                  <c:v>27</c:v>
                </c:pt>
                <c:pt idx="1">
                  <c:v>37</c:v>
                </c:pt>
                <c:pt idx="2">
                  <c:v>18</c:v>
                </c:pt>
                <c:pt idx="3">
                  <c:v>24</c:v>
                </c:pt>
                <c:pt idx="4">
                  <c:v>27</c:v>
                </c:pt>
                <c:pt idx="5">
                  <c:v>21</c:v>
                </c:pt>
                <c:pt idx="6">
                  <c:v>22</c:v>
                </c:pt>
                <c:pt idx="7">
                  <c:v>24</c:v>
                </c:pt>
                <c:pt idx="8">
                  <c:v>23</c:v>
                </c:pt>
                <c:pt idx="9">
                  <c:v>20</c:v>
                </c:pt>
                <c:pt idx="10">
                  <c:v>26</c:v>
                </c:pt>
                <c:pt idx="11">
                  <c:v>24</c:v>
                </c:pt>
              </c:numCache>
            </c:numRef>
          </c:val>
          <c:smooth val="0"/>
          <c:extLst>
            <c:ext xmlns:c16="http://schemas.microsoft.com/office/drawing/2014/chart" uri="{C3380CC4-5D6E-409C-BE32-E72D297353CC}">
              <c16:uniqueId val="{00000002-A5E4-48C4-867B-65BE1BFF8513}"/>
            </c:ext>
          </c:extLst>
        </c:ser>
        <c:dLbls>
          <c:dLblPos val="t"/>
          <c:showLegendKey val="0"/>
          <c:showVal val="1"/>
          <c:showCatName val="0"/>
          <c:showSerName val="0"/>
          <c:showPercent val="0"/>
          <c:showBubbleSize val="0"/>
        </c:dLbls>
        <c:marker val="1"/>
        <c:smooth val="0"/>
        <c:axId val="610933120"/>
        <c:axId val="610936960"/>
      </c:lineChart>
      <c:catAx>
        <c:axId val="6109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10936960"/>
        <c:crosses val="autoZero"/>
        <c:auto val="1"/>
        <c:lblAlgn val="ctr"/>
        <c:lblOffset val="100"/>
        <c:noMultiLvlLbl val="0"/>
      </c:catAx>
      <c:valAx>
        <c:axId val="610936960"/>
        <c:scaling>
          <c:orientation val="minMax"/>
        </c:scaling>
        <c:delete val="1"/>
        <c:axPos val="l"/>
        <c:numFmt formatCode="General" sourceLinked="1"/>
        <c:majorTickMark val="none"/>
        <c:minorTickMark val="none"/>
        <c:tickLblPos val="nextTo"/>
        <c:crossAx val="6109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latin typeface="Aharoni" panose="02010803020104030203" pitchFamily="2" charset="-79"/>
                <a:cs typeface="Aharoni" panose="02010803020104030203" pitchFamily="2" charset="-79"/>
              </a:rPr>
              <a:t>CUSTOMER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G"/>
        </a:p>
      </c:txPr>
    </c:title>
    <c:autoTitleDeleted val="0"/>
    <c:plotArea>
      <c:layout/>
      <c:barChart>
        <c:barDir val="col"/>
        <c:grouping val="clustered"/>
        <c:varyColors val="0"/>
        <c:ser>
          <c:idx val="0"/>
          <c:order val="0"/>
          <c:tx>
            <c:strRef>
              <c:f>'Pivot Tables'!$M$65</c:f>
              <c:strCache>
                <c:ptCount val="1"/>
                <c:pt idx="0">
                  <c:v>Frequency</c:v>
                </c:pt>
              </c:strCache>
            </c:strRef>
          </c:tx>
          <c:spPr>
            <a:solidFill>
              <a:schemeClr val="accent2"/>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1FAB-4ACC-A60B-285F86352907}"/>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2-1FAB-4ACC-A60B-285F86352907}"/>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1FAB-4ACC-A60B-285F86352907}"/>
              </c:ext>
            </c:extLst>
          </c:dPt>
          <c:dPt>
            <c:idx val="3"/>
            <c:invertIfNegative val="0"/>
            <c:bubble3D val="0"/>
            <c:spPr>
              <a:solidFill>
                <a:srgbClr val="00B0F0"/>
              </a:solidFill>
              <a:ln>
                <a:noFill/>
              </a:ln>
              <a:effectLst/>
            </c:spPr>
            <c:extLst>
              <c:ext xmlns:c16="http://schemas.microsoft.com/office/drawing/2014/chart" uri="{C3380CC4-5D6E-409C-BE32-E72D297353CC}">
                <c16:uniqueId val="{00000004-1FAB-4ACC-A60B-285F86352907}"/>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FAB-4ACC-A60B-285F86352907}"/>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6-1FAB-4ACC-A60B-285F86352907}"/>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7-1FAB-4ACC-A60B-285F863529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Tables'!$L$66:$L$72</c:f>
              <c:strCache>
                <c:ptCount val="7"/>
                <c:pt idx="0">
                  <c:v>&lt;20</c:v>
                </c:pt>
                <c:pt idx="1">
                  <c:v>20-29</c:v>
                </c:pt>
                <c:pt idx="2">
                  <c:v>30-39</c:v>
                </c:pt>
                <c:pt idx="3">
                  <c:v>40-49</c:v>
                </c:pt>
                <c:pt idx="4">
                  <c:v>50-59</c:v>
                </c:pt>
                <c:pt idx="5">
                  <c:v>60-69</c:v>
                </c:pt>
                <c:pt idx="6">
                  <c:v>70+</c:v>
                </c:pt>
              </c:strCache>
            </c:strRef>
          </c:cat>
          <c:val>
            <c:numRef>
              <c:f>'Pivot Tables'!$M$66:$M$72</c:f>
              <c:numCache>
                <c:formatCode>General</c:formatCode>
                <c:ptCount val="7"/>
                <c:pt idx="0">
                  <c:v>12</c:v>
                </c:pt>
                <c:pt idx="1">
                  <c:v>43</c:v>
                </c:pt>
                <c:pt idx="2">
                  <c:v>51</c:v>
                </c:pt>
                <c:pt idx="3">
                  <c:v>58</c:v>
                </c:pt>
                <c:pt idx="4">
                  <c:v>67</c:v>
                </c:pt>
                <c:pt idx="5">
                  <c:v>57</c:v>
                </c:pt>
                <c:pt idx="6">
                  <c:v>5</c:v>
                </c:pt>
              </c:numCache>
            </c:numRef>
          </c:val>
          <c:extLst>
            <c:ext xmlns:c16="http://schemas.microsoft.com/office/drawing/2014/chart" uri="{C3380CC4-5D6E-409C-BE32-E72D297353CC}">
              <c16:uniqueId val="{00000000-B197-47AE-96D3-FE498E77EDF8}"/>
            </c:ext>
          </c:extLst>
        </c:ser>
        <c:dLbls>
          <c:dLblPos val="outEnd"/>
          <c:showLegendKey val="0"/>
          <c:showVal val="1"/>
          <c:showCatName val="0"/>
          <c:showSerName val="0"/>
          <c:showPercent val="0"/>
          <c:showBubbleSize val="0"/>
        </c:dLbls>
        <c:gapWidth val="0"/>
        <c:overlap val="-27"/>
        <c:axId val="274120656"/>
        <c:axId val="274121136"/>
      </c:barChart>
      <c:catAx>
        <c:axId val="27412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274121136"/>
        <c:crosses val="autoZero"/>
        <c:auto val="1"/>
        <c:lblAlgn val="ctr"/>
        <c:lblOffset val="100"/>
        <c:noMultiLvlLbl val="0"/>
      </c:catAx>
      <c:valAx>
        <c:axId val="274121136"/>
        <c:scaling>
          <c:orientation val="minMax"/>
        </c:scaling>
        <c:delete val="1"/>
        <c:axPos val="l"/>
        <c:numFmt formatCode="General" sourceLinked="1"/>
        <c:majorTickMark val="none"/>
        <c:minorTickMark val="none"/>
        <c:tickLblPos val="nextTo"/>
        <c:crossAx val="2741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[Travel_Genesis_Cleaned_Data - Team Bezoa.xlsx]Pivot Tables!PivotTable17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Aharoni" panose="02010803020104030203" pitchFamily="2" charset="-79"/>
                <a:ea typeface="+mn-ea"/>
                <a:cs typeface="Aharoni" panose="02010803020104030203" pitchFamily="2" charset="-79"/>
              </a:defRPr>
            </a:pPr>
            <a:r>
              <a:rPr lang="en-US" b="1">
                <a:solidFill>
                  <a:sysClr val="windowText" lastClr="000000"/>
                </a:solidFill>
                <a:latin typeface="Aharoni" panose="02010803020104030203" pitchFamily="2" charset="-79"/>
                <a:cs typeface="Aharoni" panose="02010803020104030203" pitchFamily="2" charset="-79"/>
              </a:rPr>
              <a:t>DESTINATION PREFERENCES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haroni" panose="02010803020104030203" pitchFamily="2" charset="-79"/>
              <a:ea typeface="+mn-ea"/>
              <a:cs typeface="Aharoni" panose="02010803020104030203" pitchFamily="2" charset="-79"/>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6"/>
          </a:solidFill>
          <a:ln>
            <a:noFill/>
          </a:ln>
          <a:effectLst/>
        </c:spPr>
      </c:pivotFmt>
      <c:pivotFmt>
        <c:idx val="5"/>
        <c:spPr>
          <a:solidFill>
            <a:srgbClr val="FFC000"/>
          </a:solidFill>
          <a:ln>
            <a:noFill/>
          </a:ln>
          <a:effectLst/>
        </c:spPr>
      </c:pivotFmt>
      <c:pivotFmt>
        <c:idx val="6"/>
        <c:spPr>
          <a:solidFill>
            <a:srgbClr val="00B0F0"/>
          </a:solidFill>
          <a:ln>
            <a:noFill/>
          </a:ln>
          <a:effectLst/>
        </c:spPr>
      </c:pivotFmt>
      <c:pivotFmt>
        <c:idx val="7"/>
        <c:spPr>
          <a:solidFill>
            <a:srgbClr val="7030A0"/>
          </a:solidFill>
          <a:ln>
            <a:noFill/>
          </a:ln>
          <a:effectLst/>
        </c:spPr>
      </c:pivotFmt>
      <c:pivotFmt>
        <c:idx val="8"/>
        <c:spPr>
          <a:solidFill>
            <a:srgbClr val="00206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pivotFmt>
      <c:pivotFmt>
        <c:idx val="11"/>
        <c:spPr>
          <a:solidFill>
            <a:schemeClr val="accent2"/>
          </a:solidFill>
          <a:ln>
            <a:noFill/>
          </a:ln>
          <a:effectLst/>
        </c:spPr>
      </c:pivotFmt>
      <c:pivotFmt>
        <c:idx val="12"/>
        <c:spPr>
          <a:solidFill>
            <a:schemeClr val="accent6"/>
          </a:solidFill>
          <a:ln>
            <a:noFill/>
          </a:ln>
          <a:effectLst/>
        </c:spPr>
      </c:pivotFmt>
      <c:pivotFmt>
        <c:idx val="13"/>
        <c:spPr>
          <a:solidFill>
            <a:srgbClr val="FFC000"/>
          </a:solidFill>
          <a:ln>
            <a:noFill/>
          </a:ln>
          <a:effectLst/>
        </c:spPr>
      </c:pivotFmt>
      <c:pivotFmt>
        <c:idx val="14"/>
        <c:spPr>
          <a:solidFill>
            <a:srgbClr val="00B0F0"/>
          </a:solidFill>
          <a:ln>
            <a:noFill/>
          </a:ln>
          <a:effectLst/>
        </c:spPr>
      </c:pivotFmt>
      <c:pivotFmt>
        <c:idx val="15"/>
        <c:spPr>
          <a:solidFill>
            <a:srgbClr val="7030A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pivotFmt>
      <c:pivotFmt>
        <c:idx val="18"/>
        <c:spPr>
          <a:solidFill>
            <a:schemeClr val="accent2"/>
          </a:solidFill>
          <a:ln>
            <a:noFill/>
          </a:ln>
          <a:effectLst/>
        </c:spPr>
      </c:pivotFmt>
      <c:pivotFmt>
        <c:idx val="19"/>
        <c:spPr>
          <a:solidFill>
            <a:schemeClr val="accent6"/>
          </a:solidFill>
          <a:ln>
            <a:noFill/>
          </a:ln>
          <a:effectLst/>
        </c:spPr>
      </c:pivotFmt>
      <c:pivotFmt>
        <c:idx val="20"/>
        <c:spPr>
          <a:solidFill>
            <a:srgbClr val="FFC000"/>
          </a:solidFill>
          <a:ln>
            <a:noFill/>
          </a:ln>
          <a:effectLst/>
        </c:spPr>
      </c:pivotFmt>
      <c:pivotFmt>
        <c:idx val="21"/>
        <c:spPr>
          <a:solidFill>
            <a:srgbClr val="00B0F0"/>
          </a:solidFill>
          <a:ln>
            <a:noFill/>
          </a:ln>
          <a:effectLst/>
        </c:spPr>
      </c:pivotFmt>
      <c:pivotFmt>
        <c:idx val="22"/>
        <c:spPr>
          <a:solidFill>
            <a:srgbClr val="7030A0"/>
          </a:solidFill>
          <a:ln>
            <a:noFill/>
          </a:ln>
          <a:effectLst/>
        </c:spPr>
      </c:pivotFmt>
    </c:pivotFmts>
    <c:plotArea>
      <c:layout/>
      <c:barChart>
        <c:barDir val="col"/>
        <c:grouping val="stacked"/>
        <c:varyColors val="0"/>
        <c:ser>
          <c:idx val="0"/>
          <c:order val="0"/>
          <c:tx>
            <c:strRef>
              <c:f>'Pivot Tables'!$C$85</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FEF4-4924-93DC-79BC1BB6F30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EF4-4924-93DC-79BC1BB6F30F}"/>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EF4-4924-93DC-79BC1BB6F30F}"/>
              </c:ext>
            </c:extLst>
          </c:dPt>
          <c:dPt>
            <c:idx val="3"/>
            <c:invertIfNegative val="0"/>
            <c:bubble3D val="0"/>
            <c:spPr>
              <a:solidFill>
                <a:srgbClr val="FFC000"/>
              </a:solidFill>
              <a:ln>
                <a:noFill/>
              </a:ln>
              <a:effectLst/>
            </c:spPr>
            <c:extLst>
              <c:ext xmlns:c16="http://schemas.microsoft.com/office/drawing/2014/chart" uri="{C3380CC4-5D6E-409C-BE32-E72D297353CC}">
                <c16:uniqueId val="{00000007-FEF4-4924-93DC-79BC1BB6F30F}"/>
              </c:ext>
            </c:extLst>
          </c:dPt>
          <c:dPt>
            <c:idx val="4"/>
            <c:invertIfNegative val="0"/>
            <c:bubble3D val="0"/>
            <c:spPr>
              <a:solidFill>
                <a:srgbClr val="00B0F0"/>
              </a:solidFill>
              <a:ln>
                <a:noFill/>
              </a:ln>
              <a:effectLst/>
            </c:spPr>
            <c:extLst>
              <c:ext xmlns:c16="http://schemas.microsoft.com/office/drawing/2014/chart" uri="{C3380CC4-5D6E-409C-BE32-E72D297353CC}">
                <c16:uniqueId val="{00000009-FEF4-4924-93DC-79BC1BB6F30F}"/>
              </c:ext>
            </c:extLst>
          </c:dPt>
          <c:dPt>
            <c:idx val="5"/>
            <c:invertIfNegative val="0"/>
            <c:bubble3D val="0"/>
            <c:spPr>
              <a:solidFill>
                <a:srgbClr val="7030A0"/>
              </a:solidFill>
              <a:ln>
                <a:noFill/>
              </a:ln>
              <a:effectLst/>
            </c:spPr>
            <c:extLst>
              <c:ext xmlns:c16="http://schemas.microsoft.com/office/drawing/2014/chart" uri="{C3380CC4-5D6E-409C-BE32-E72D297353CC}">
                <c16:uniqueId val="{0000000B-FEF4-4924-93DC-79BC1BB6F30F}"/>
              </c:ext>
            </c:extLst>
          </c:dPt>
          <c:cat>
            <c:strRef>
              <c:f>'Pivot Tables'!$B$86:$B$93</c:f>
              <c:strCache>
                <c:ptCount val="7"/>
                <c:pt idx="0">
                  <c:v>10-19</c:v>
                </c:pt>
                <c:pt idx="1">
                  <c:v>20-29</c:v>
                </c:pt>
                <c:pt idx="2">
                  <c:v>30-39</c:v>
                </c:pt>
                <c:pt idx="3">
                  <c:v>40-49</c:v>
                </c:pt>
                <c:pt idx="4">
                  <c:v>50-59</c:v>
                </c:pt>
                <c:pt idx="5">
                  <c:v>60-69</c:v>
                </c:pt>
                <c:pt idx="6">
                  <c:v>70+</c:v>
                </c:pt>
              </c:strCache>
            </c:strRef>
          </c:cat>
          <c:val>
            <c:numRef>
              <c:f>'Pivot Tables'!$C$86:$C$93</c:f>
              <c:numCache>
                <c:formatCode>General</c:formatCode>
                <c:ptCount val="7"/>
                <c:pt idx="0">
                  <c:v>12</c:v>
                </c:pt>
                <c:pt idx="1">
                  <c:v>43</c:v>
                </c:pt>
                <c:pt idx="2">
                  <c:v>51</c:v>
                </c:pt>
                <c:pt idx="3">
                  <c:v>58</c:v>
                </c:pt>
                <c:pt idx="4">
                  <c:v>67</c:v>
                </c:pt>
                <c:pt idx="5">
                  <c:v>57</c:v>
                </c:pt>
                <c:pt idx="6">
                  <c:v>5</c:v>
                </c:pt>
              </c:numCache>
            </c:numRef>
          </c:val>
          <c:extLst>
            <c:ext xmlns:c16="http://schemas.microsoft.com/office/drawing/2014/chart" uri="{C3380CC4-5D6E-409C-BE32-E72D297353CC}">
              <c16:uniqueId val="{0000000C-FEF4-4924-93DC-79BC1BB6F30F}"/>
            </c:ext>
          </c:extLst>
        </c:ser>
        <c:dLbls>
          <c:showLegendKey val="0"/>
          <c:showVal val="0"/>
          <c:showCatName val="0"/>
          <c:showSerName val="0"/>
          <c:showPercent val="0"/>
          <c:showBubbleSize val="0"/>
        </c:dLbls>
        <c:gapWidth val="150"/>
        <c:overlap val="100"/>
        <c:axId val="2111103584"/>
        <c:axId val="2111106944"/>
      </c:barChart>
      <c:catAx>
        <c:axId val="21111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1106944"/>
        <c:crosses val="autoZero"/>
        <c:auto val="1"/>
        <c:lblAlgn val="ctr"/>
        <c:lblOffset val="100"/>
        <c:noMultiLvlLbl val="0"/>
      </c:catAx>
      <c:valAx>
        <c:axId val="211110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110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latin typeface="Aharoni" panose="02010803020104030203" pitchFamily="2" charset="-79"/>
                <a:cs typeface="Aharoni" panose="02010803020104030203" pitchFamily="2" charset="-79"/>
              </a:rPr>
              <a:t>PAYMENT</a:t>
            </a:r>
            <a:r>
              <a:rPr lang="en-GB" b="1" baseline="0">
                <a:solidFill>
                  <a:sysClr val="windowText" lastClr="000000"/>
                </a:solidFill>
                <a:latin typeface="Aharoni" panose="02010803020104030203" pitchFamily="2" charset="-79"/>
                <a:cs typeface="Aharoni" panose="02010803020104030203" pitchFamily="2" charset="-79"/>
              </a:rPr>
              <a:t> CHANNEL</a:t>
            </a:r>
            <a:endParaRPr lang="en-GB" b="1">
              <a:solidFill>
                <a:sysClr val="windowText" lastClr="00000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GB"/>
        </a:p>
      </c:txPr>
    </c:title>
    <c:autoTitleDeleted val="0"/>
    <c:plotArea>
      <c:layout/>
      <c:barChart>
        <c:barDir val="col"/>
        <c:grouping val="stack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CE2-4DA1-801F-BD7512BDF2FE}"/>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CE2-4DA1-801F-BD7512BDF2FE}"/>
              </c:ext>
            </c:extLst>
          </c:dPt>
          <c:dPt>
            <c:idx val="3"/>
            <c:invertIfNegative val="0"/>
            <c:bubble3D val="0"/>
            <c:spPr>
              <a:solidFill>
                <a:srgbClr val="7030A0"/>
              </a:solidFill>
              <a:ln>
                <a:noFill/>
              </a:ln>
              <a:effectLst/>
            </c:spPr>
            <c:extLst>
              <c:ext xmlns:c16="http://schemas.microsoft.com/office/drawing/2014/chart" uri="{C3380CC4-5D6E-409C-BE32-E72D297353CC}">
                <c16:uniqueId val="{00000005-0CE2-4DA1-801F-BD7512BDF2FE}"/>
              </c:ext>
            </c:extLst>
          </c:dPt>
          <c:cat>
            <c:strRef>
              <c:f>'Pivot Tables'!$B$34:$B$37</c:f>
              <c:strCache>
                <c:ptCount val="4"/>
                <c:pt idx="0">
                  <c:v>Bank Transfer</c:v>
                </c:pt>
                <c:pt idx="1">
                  <c:v>Credit Card</c:v>
                </c:pt>
                <c:pt idx="2">
                  <c:v>Crypto</c:v>
                </c:pt>
                <c:pt idx="3">
                  <c:v>PayPal</c:v>
                </c:pt>
              </c:strCache>
            </c:strRef>
          </c:cat>
          <c:val>
            <c:numRef>
              <c:f>'Pivot Tables'!$C$34:$C$37</c:f>
              <c:numCache>
                <c:formatCode>General</c:formatCode>
                <c:ptCount val="4"/>
                <c:pt idx="0">
                  <c:v>87</c:v>
                </c:pt>
                <c:pt idx="1">
                  <c:v>61</c:v>
                </c:pt>
                <c:pt idx="2">
                  <c:v>73</c:v>
                </c:pt>
                <c:pt idx="3">
                  <c:v>72</c:v>
                </c:pt>
              </c:numCache>
            </c:numRef>
          </c:val>
          <c:extLst>
            <c:ext xmlns:c16="http://schemas.microsoft.com/office/drawing/2014/chart" uri="{C3380CC4-5D6E-409C-BE32-E72D297353CC}">
              <c16:uniqueId val="{00000006-0CE2-4DA1-801F-BD7512BDF2FE}"/>
            </c:ext>
          </c:extLst>
        </c:ser>
        <c:dLbls>
          <c:showLegendKey val="0"/>
          <c:showVal val="0"/>
          <c:showCatName val="0"/>
          <c:showSerName val="0"/>
          <c:showPercent val="0"/>
          <c:showBubbleSize val="0"/>
        </c:dLbls>
        <c:gapWidth val="150"/>
        <c:overlap val="100"/>
        <c:axId val="1549442559"/>
        <c:axId val="1549441311"/>
      </c:barChart>
      <c:catAx>
        <c:axId val="154944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549441311"/>
        <c:crosses val="autoZero"/>
        <c:auto val="1"/>
        <c:lblAlgn val="ctr"/>
        <c:lblOffset val="100"/>
        <c:noMultiLvlLbl val="0"/>
      </c:catAx>
      <c:valAx>
        <c:axId val="154944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54944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[Travel_Genesis_Cleaned_Data - Team Bezoa.xlsx]Pivot Tables!PivotTable5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b="1">
                <a:solidFill>
                  <a:sysClr val="windowText" lastClr="000000"/>
                </a:solidFill>
                <a:latin typeface="Aharoni" panose="02010803020104030203" pitchFamily="2" charset="-79"/>
                <a:cs typeface="Aharoni" panose="02010803020104030203" pitchFamily="2" charset="-79"/>
              </a:rPr>
              <a:t>Resources</a:t>
            </a:r>
            <a:r>
              <a:rPr lang="en-US" b="1" baseline="0">
                <a:solidFill>
                  <a:sysClr val="windowText" lastClr="000000"/>
                </a:solidFill>
                <a:latin typeface="Aharoni" panose="02010803020104030203" pitchFamily="2" charset="-79"/>
                <a:cs typeface="Aharoni" panose="02010803020104030203" pitchFamily="2" charset="-79"/>
              </a:rPr>
              <a:t> Spent by Travel Destination</a:t>
            </a:r>
            <a:endParaRPr lang="en-US" b="1">
              <a:solidFill>
                <a:sysClr val="windowText" lastClr="00000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Tables'!$H$47</c:f>
              <c:strCache>
                <c:ptCount val="1"/>
                <c:pt idx="0">
                  <c:v>Total</c:v>
                </c:pt>
              </c:strCache>
            </c:strRef>
          </c:tx>
          <c:spPr>
            <a:solidFill>
              <a:schemeClr val="accent1"/>
            </a:solidFill>
            <a:ln>
              <a:noFill/>
            </a:ln>
            <a:effectLst/>
            <a:sp3d/>
          </c:spPr>
          <c:invertIfNegative val="0"/>
          <c:cat>
            <c:strRef>
              <c:f>'Pivot Tables'!$G$48:$G$58</c:f>
              <c:strCache>
                <c:ptCount val="10"/>
                <c:pt idx="0">
                  <c:v>London</c:v>
                </c:pt>
                <c:pt idx="1">
                  <c:v>New York</c:v>
                </c:pt>
                <c:pt idx="2">
                  <c:v>Sydney</c:v>
                </c:pt>
                <c:pt idx="3">
                  <c:v>Bangkok</c:v>
                </c:pt>
                <c:pt idx="4">
                  <c:v>Toronto</c:v>
                </c:pt>
                <c:pt idx="5">
                  <c:v>Tokyo</c:v>
                </c:pt>
                <c:pt idx="6">
                  <c:v>Paris</c:v>
                </c:pt>
                <c:pt idx="7">
                  <c:v>Cape Town</c:v>
                </c:pt>
                <c:pt idx="8">
                  <c:v>Dubai</c:v>
                </c:pt>
                <c:pt idx="9">
                  <c:v>Rome</c:v>
                </c:pt>
              </c:strCache>
            </c:strRef>
          </c:cat>
          <c:val>
            <c:numRef>
              <c:f>'Pivot Tables'!$H$48:$H$58</c:f>
              <c:numCache>
                <c:formatCode>"$"#,##0.00</c:formatCode>
                <c:ptCount val="10"/>
                <c:pt idx="0">
                  <c:v>56780.490000000013</c:v>
                </c:pt>
                <c:pt idx="1">
                  <c:v>48776.950000000004</c:v>
                </c:pt>
                <c:pt idx="2">
                  <c:v>48036.830000000009</c:v>
                </c:pt>
                <c:pt idx="3">
                  <c:v>44304.080000000009</c:v>
                </c:pt>
                <c:pt idx="4">
                  <c:v>41648.35</c:v>
                </c:pt>
                <c:pt idx="5">
                  <c:v>35155.29</c:v>
                </c:pt>
                <c:pt idx="6">
                  <c:v>32219.120000000006</c:v>
                </c:pt>
                <c:pt idx="7">
                  <c:v>31709.190000000002</c:v>
                </c:pt>
                <c:pt idx="8">
                  <c:v>25486.11</c:v>
                </c:pt>
                <c:pt idx="9">
                  <c:v>24425</c:v>
                </c:pt>
              </c:numCache>
            </c:numRef>
          </c:val>
          <c:extLst>
            <c:ext xmlns:c16="http://schemas.microsoft.com/office/drawing/2014/chart" uri="{C3380CC4-5D6E-409C-BE32-E72D297353CC}">
              <c16:uniqueId val="{00000000-18C1-48AE-A7A7-ECB7F54E0DBD}"/>
            </c:ext>
          </c:extLst>
        </c:ser>
        <c:dLbls>
          <c:showLegendKey val="0"/>
          <c:showVal val="0"/>
          <c:showCatName val="0"/>
          <c:showSerName val="0"/>
          <c:showPercent val="0"/>
          <c:showBubbleSize val="0"/>
        </c:dLbls>
        <c:gapWidth val="150"/>
        <c:shape val="box"/>
        <c:axId val="1858963279"/>
        <c:axId val="1858961199"/>
        <c:axId val="0"/>
      </c:bar3DChart>
      <c:catAx>
        <c:axId val="1858963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858961199"/>
        <c:crosses val="autoZero"/>
        <c:auto val="1"/>
        <c:lblAlgn val="ctr"/>
        <c:lblOffset val="100"/>
        <c:noMultiLvlLbl val="0"/>
      </c:catAx>
      <c:valAx>
        <c:axId val="1858961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85896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409575</xdr:colOff>
      <xdr:row>2</xdr:row>
      <xdr:rowOff>19051</xdr:rowOff>
    </xdr:from>
    <xdr:to>
      <xdr:col>18</xdr:col>
      <xdr:colOff>400050</xdr:colOff>
      <xdr:row>15</xdr:row>
      <xdr:rowOff>166688</xdr:rowOff>
    </xdr:to>
    <xdr:graphicFrame macro="">
      <xdr:nvGraphicFramePr>
        <xdr:cNvPr id="2" name="Chart 1">
          <a:extLst>
            <a:ext uri="{FF2B5EF4-FFF2-40B4-BE49-F238E27FC236}">
              <a16:creationId xmlns:a16="http://schemas.microsoft.com/office/drawing/2014/main" id="{B8E50FA6-7547-4C0D-A1B5-05EA0B2DF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xdr:colOff>
      <xdr:row>2</xdr:row>
      <xdr:rowOff>0</xdr:rowOff>
    </xdr:from>
    <xdr:to>
      <xdr:col>27</xdr:col>
      <xdr:colOff>95250</xdr:colOff>
      <xdr:row>15</xdr:row>
      <xdr:rowOff>133350</xdr:rowOff>
    </xdr:to>
    <xdr:graphicFrame macro="">
      <xdr:nvGraphicFramePr>
        <xdr:cNvPr id="3" name="Chart 2">
          <a:extLst>
            <a:ext uri="{FF2B5EF4-FFF2-40B4-BE49-F238E27FC236}">
              <a16:creationId xmlns:a16="http://schemas.microsoft.com/office/drawing/2014/main" id="{3A93B743-81FF-4FC8-882A-F1D2FDC76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1586</xdr:colOff>
      <xdr:row>16</xdr:row>
      <xdr:rowOff>65088</xdr:rowOff>
    </xdr:from>
    <xdr:to>
      <xdr:col>27</xdr:col>
      <xdr:colOff>142875</xdr:colOff>
      <xdr:row>33</xdr:row>
      <xdr:rowOff>104775</xdr:rowOff>
    </xdr:to>
    <xdr:graphicFrame macro="">
      <xdr:nvGraphicFramePr>
        <xdr:cNvPr id="4" name="Chart 3">
          <a:extLst>
            <a:ext uri="{FF2B5EF4-FFF2-40B4-BE49-F238E27FC236}">
              <a16:creationId xmlns:a16="http://schemas.microsoft.com/office/drawing/2014/main" id="{9DFD773C-1CA4-44C2-9140-E9ECBA04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409575</xdr:colOff>
      <xdr:row>16</xdr:row>
      <xdr:rowOff>157162</xdr:rowOff>
    </xdr:from>
    <xdr:to>
      <xdr:col>18</xdr:col>
      <xdr:colOff>428625</xdr:colOff>
      <xdr:row>33</xdr:row>
      <xdr:rowOff>123825</xdr:rowOff>
    </xdr:to>
    <xdr:graphicFrame macro="">
      <xdr:nvGraphicFramePr>
        <xdr:cNvPr id="5" name="Chart 4">
          <a:extLst>
            <a:ext uri="{FF2B5EF4-FFF2-40B4-BE49-F238E27FC236}">
              <a16:creationId xmlns:a16="http://schemas.microsoft.com/office/drawing/2014/main" id="{6117403C-054F-47B8-90A0-320BDFE1C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16</xdr:row>
      <xdr:rowOff>174625</xdr:rowOff>
    </xdr:from>
    <xdr:to>
      <xdr:col>9</xdr:col>
      <xdr:colOff>180975</xdr:colOff>
      <xdr:row>33</xdr:row>
      <xdr:rowOff>152400</xdr:rowOff>
    </xdr:to>
    <xdr:graphicFrame macro="">
      <xdr:nvGraphicFramePr>
        <xdr:cNvPr id="6" name="Chart 5">
          <a:extLst>
            <a:ext uri="{FF2B5EF4-FFF2-40B4-BE49-F238E27FC236}">
              <a16:creationId xmlns:a16="http://schemas.microsoft.com/office/drawing/2014/main" id="{72BFA8A5-C5BC-43A4-8B14-9B7FF56D7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119064</xdr:colOff>
      <xdr:row>2</xdr:row>
      <xdr:rowOff>19050</xdr:rowOff>
    </xdr:from>
    <xdr:to>
      <xdr:col>9</xdr:col>
      <xdr:colOff>161608</xdr:colOff>
      <xdr:row>6</xdr:row>
      <xdr:rowOff>111126</xdr:rowOff>
    </xdr:to>
    <mc:AlternateContent xmlns:mc="http://schemas.openxmlformats.org/markup-compatibility/2006" xmlns:a14="http://schemas.microsoft.com/office/drawing/2010/main">
      <mc:Choice Requires="a14">
        <xdr:graphicFrame macro="">
          <xdr:nvGraphicFramePr>
            <xdr:cNvPr id="7" name="Travel_Type">
              <a:extLst>
                <a:ext uri="{FF2B5EF4-FFF2-40B4-BE49-F238E27FC236}">
                  <a16:creationId xmlns:a16="http://schemas.microsoft.com/office/drawing/2014/main" id="{E98CB63D-E3E9-4022-A9F2-CD177603D3F3}"/>
                </a:ext>
              </a:extLst>
            </xdr:cNvPr>
            <xdr:cNvGraphicFramePr/>
          </xdr:nvGraphicFramePr>
          <xdr:xfrm>
            <a:off x="0" y="0"/>
            <a:ext cx="0" cy="0"/>
          </xdr:xfrm>
          <a:graphic>
            <a:graphicData uri="http://schemas.microsoft.com/office/drawing/2010/slicer">
              <sle:slicer xmlns:sle="http://schemas.microsoft.com/office/drawing/2010/slicer" name="Travel_Type"/>
            </a:graphicData>
          </a:graphic>
        </xdr:graphicFrame>
      </mc:Choice>
      <mc:Fallback xmlns="">
        <xdr:sp macro="" textlink="">
          <xdr:nvSpPr>
            <xdr:cNvPr id="0" name=""/>
            <xdr:cNvSpPr>
              <a:spLocks noTextEdit="1"/>
            </xdr:cNvSpPr>
          </xdr:nvSpPr>
          <xdr:spPr>
            <a:xfrm>
              <a:off x="119064" y="404810"/>
              <a:ext cx="5543232" cy="75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122236</xdr:colOff>
      <xdr:row>6</xdr:row>
      <xdr:rowOff>119063</xdr:rowOff>
    </xdr:from>
    <xdr:to>
      <xdr:col>4</xdr:col>
      <xdr:colOff>317500</xdr:colOff>
      <xdr:row>16</xdr:row>
      <xdr:rowOff>31751</xdr:rowOff>
    </xdr:to>
    <mc:AlternateContent xmlns:mc="http://schemas.openxmlformats.org/markup-compatibility/2006" xmlns:a14="http://schemas.microsoft.com/office/drawing/2010/main">
      <mc:Choice Requires="a14">
        <xdr:graphicFrame macro="">
          <xdr:nvGraphicFramePr>
            <xdr:cNvPr id="8" name="Destination">
              <a:extLst>
                <a:ext uri="{FF2B5EF4-FFF2-40B4-BE49-F238E27FC236}">
                  <a16:creationId xmlns:a16="http://schemas.microsoft.com/office/drawing/2014/main" id="{717E42DD-4BD3-4BBA-BC0D-606E93C3C191}"/>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122236" y="1166813"/>
              <a:ext cx="2640014" cy="173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325437</xdr:colOff>
      <xdr:row>6</xdr:row>
      <xdr:rowOff>142874</xdr:rowOff>
    </xdr:from>
    <xdr:to>
      <xdr:col>9</xdr:col>
      <xdr:colOff>153988</xdr:colOff>
      <xdr:row>16</xdr:row>
      <xdr:rowOff>47624</xdr:rowOff>
    </xdr:to>
    <mc:AlternateContent xmlns:mc="http://schemas.openxmlformats.org/markup-compatibility/2006" xmlns:a14="http://schemas.microsoft.com/office/drawing/2010/main">
      <mc:Choice Requires="a14">
        <xdr:graphicFrame macro="">
          <xdr:nvGraphicFramePr>
            <xdr:cNvPr id="9" name="Travel_Month">
              <a:extLst>
                <a:ext uri="{FF2B5EF4-FFF2-40B4-BE49-F238E27FC236}">
                  <a16:creationId xmlns:a16="http://schemas.microsoft.com/office/drawing/2014/main" id="{653CC8FD-E4F9-4B22-BCFD-FBC64AEB1D63}"/>
                </a:ext>
              </a:extLst>
            </xdr:cNvPr>
            <xdr:cNvGraphicFramePr/>
          </xdr:nvGraphicFramePr>
          <xdr:xfrm>
            <a:off x="0" y="0"/>
            <a:ext cx="0" cy="0"/>
          </xdr:xfrm>
          <a:graphic>
            <a:graphicData uri="http://schemas.microsoft.com/office/drawing/2010/slicer">
              <sle:slicer xmlns:sle="http://schemas.microsoft.com/office/drawing/2010/slicer" name="Travel_Month"/>
            </a:graphicData>
          </a:graphic>
        </xdr:graphicFrame>
      </mc:Choice>
      <mc:Fallback xmlns="">
        <xdr:sp macro="" textlink="">
          <xdr:nvSpPr>
            <xdr:cNvPr id="0" name=""/>
            <xdr:cNvSpPr>
              <a:spLocks noTextEdit="1"/>
            </xdr:cNvSpPr>
          </xdr:nvSpPr>
          <xdr:spPr>
            <a:xfrm>
              <a:off x="2770187" y="1190624"/>
              <a:ext cx="2884489" cy="173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152401</xdr:colOff>
      <xdr:row>34</xdr:row>
      <xdr:rowOff>180974</xdr:rowOff>
    </xdr:from>
    <xdr:to>
      <xdr:col>9</xdr:col>
      <xdr:colOff>257175</xdr:colOff>
      <xdr:row>55</xdr:row>
      <xdr:rowOff>28574</xdr:rowOff>
    </xdr:to>
    <xdr:graphicFrame macro="">
      <xdr:nvGraphicFramePr>
        <xdr:cNvPr id="10" name="Chart 9">
          <a:extLst>
            <a:ext uri="{FF2B5EF4-FFF2-40B4-BE49-F238E27FC236}">
              <a16:creationId xmlns:a16="http://schemas.microsoft.com/office/drawing/2014/main" id="{50DA053E-D66C-4A08-9C50-447F1A77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409574</xdr:colOff>
      <xdr:row>34</xdr:row>
      <xdr:rowOff>161924</xdr:rowOff>
    </xdr:from>
    <xdr:to>
      <xdr:col>18</xdr:col>
      <xdr:colOff>476249</xdr:colOff>
      <xdr:row>54</xdr:row>
      <xdr:rowOff>171449</xdr:rowOff>
    </xdr:to>
    <xdr:graphicFrame macro="">
      <xdr:nvGraphicFramePr>
        <xdr:cNvPr id="11" name="Chart 10">
          <a:extLst>
            <a:ext uri="{FF2B5EF4-FFF2-40B4-BE49-F238E27FC236}">
              <a16:creationId xmlns:a16="http://schemas.microsoft.com/office/drawing/2014/main" id="{7826419B-F173-4CE9-8D2E-4B7C338E1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47625</xdr:colOff>
      <xdr:row>34</xdr:row>
      <xdr:rowOff>142875</xdr:rowOff>
    </xdr:from>
    <xdr:to>
      <xdr:col>27</xdr:col>
      <xdr:colOff>428625</xdr:colOff>
      <xdr:row>54</xdr:row>
      <xdr:rowOff>142875</xdr:rowOff>
    </xdr:to>
    <xdr:graphicFrame macro="">
      <xdr:nvGraphicFramePr>
        <xdr:cNvPr id="12" name="Chart 11">
          <a:extLst>
            <a:ext uri="{FF2B5EF4-FFF2-40B4-BE49-F238E27FC236}">
              <a16:creationId xmlns:a16="http://schemas.microsoft.com/office/drawing/2014/main" id="{271C74BD-3685-4AFE-9687-5D60B7B5B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7.637252314817" createdVersion="8" refreshedVersion="8" minRefreshableVersion="3" recordCount="293" xr:uid="{D3FFBB0C-3ACC-4B96-BD2F-94D9155E38DF}">
  <cacheSource type="worksheet">
    <worksheetSource name="Table2"/>
  </cacheSource>
  <cacheFields count="10">
    <cacheField name="Booking_ID" numFmtId="0">
      <sharedItems containsMixedTypes="1" containsNumber="1" containsInteger="1" minValue="13871559" maxValue="13871559"/>
    </cacheField>
    <cacheField name="Destination" numFmtId="0">
      <sharedItems count="10">
        <s v="London"/>
        <s v="Bangkok"/>
        <s v="Tokyo"/>
        <s v="Toronto"/>
        <s v="Dubai"/>
        <s v="Cape Town"/>
        <s v="Sydney"/>
        <s v="New York"/>
        <s v="Rome"/>
        <s v="Paris"/>
      </sharedItems>
    </cacheField>
    <cacheField name="Travel_Month" numFmtId="0">
      <sharedItems count="12">
        <s v="January"/>
        <s v="February"/>
        <s v="September"/>
        <s v="October"/>
        <s v="March"/>
        <s v="April"/>
        <s v="June"/>
        <s v="December"/>
        <s v="November"/>
        <s v="July"/>
        <s v="August"/>
        <s v="May"/>
      </sharedItems>
    </cacheField>
    <cacheField name="Price_USD" numFmtId="164">
      <sharedItems containsSemiMixedTypes="0" containsString="0" containsNumber="1" minValue="212.08" maxValue="2498.35"/>
    </cacheField>
    <cacheField name="Customer_Age" numFmtId="1">
      <sharedItems containsSemiMixedTypes="0" containsString="0" containsNumber="1" containsInteger="1" minValue="18" maxValue="70"/>
    </cacheField>
    <cacheField name="Booking_Date" numFmtId="14">
      <sharedItems containsSemiMixedTypes="0" containsNonDate="0" containsDate="1" containsString="0" minDate="2023-01-04T00:00:00" maxDate="2024-12-24T00:00:00" count="240">
        <d v="2023-08-17T00:00:00"/>
        <d v="2023-01-31T00:00:00"/>
        <d v="2023-07-23T00:00:00"/>
        <d v="2023-06-13T00:00:00"/>
        <d v="2023-12-11T00:00:00"/>
        <d v="2024-09-10T00:00:00"/>
        <d v="2023-03-22T00:00:00"/>
        <d v="2024-11-08T00:00:00"/>
        <d v="2023-10-12T00:00:00"/>
        <d v="2023-10-01T00:00:00"/>
        <d v="2024-01-24T00:00:00"/>
        <d v="2023-11-20T00:00:00"/>
        <d v="2023-11-19T00:00:00"/>
        <d v="2023-05-23T00:00:00"/>
        <d v="2024-01-06T00:00:00"/>
        <d v="2023-04-23T00:00:00"/>
        <d v="2024-09-02T00:00:00"/>
        <d v="2024-11-29T00:00:00"/>
        <d v="2023-01-04T00:00:00"/>
        <d v="2024-10-16T00:00:00"/>
        <d v="2024-06-27T00:00:00"/>
        <d v="2023-11-11T00:00:00"/>
        <d v="2024-05-12T00:00:00"/>
        <d v="2023-06-19T00:00:00"/>
        <d v="2023-07-25T00:00:00"/>
        <d v="2023-05-04T00:00:00"/>
        <d v="2023-08-24T00:00:00"/>
        <d v="2023-03-11T00:00:00"/>
        <d v="2024-04-29T00:00:00"/>
        <d v="2024-03-09T00:00:00"/>
        <d v="2023-04-11T00:00:00"/>
        <d v="2024-07-03T00:00:00"/>
        <d v="2023-03-19T00:00:00"/>
        <d v="2023-04-06T00:00:00"/>
        <d v="2023-03-02T00:00:00"/>
        <d v="2024-04-10T00:00:00"/>
        <d v="2023-07-14T00:00:00"/>
        <d v="2023-11-18T00:00:00"/>
        <d v="2023-06-11T00:00:00"/>
        <d v="2023-08-29T00:00:00"/>
        <d v="2024-09-26T00:00:00"/>
        <d v="2023-07-29T00:00:00"/>
        <d v="2023-11-04T00:00:00"/>
        <d v="2023-04-13T00:00:00"/>
        <d v="2024-12-21T00:00:00"/>
        <d v="2023-05-18T00:00:00"/>
        <d v="2023-10-16T00:00:00"/>
        <d v="2024-06-01T00:00:00"/>
        <d v="2023-02-15T00:00:00"/>
        <d v="2024-03-28T00:00:00"/>
        <d v="2023-06-02T00:00:00"/>
        <d v="2023-02-12T00:00:00"/>
        <d v="2024-11-13T00:00:00"/>
        <d v="2023-06-08T00:00:00"/>
        <d v="2023-12-07T00:00:00"/>
        <d v="2024-01-27T00:00:00"/>
        <d v="2023-12-25T00:00:00"/>
        <d v="2023-12-03T00:00:00"/>
        <d v="2024-11-26T00:00:00"/>
        <d v="2023-02-09T00:00:00"/>
        <d v="2024-09-12T00:00:00"/>
        <d v="2024-03-22T00:00:00"/>
        <d v="2023-12-05T00:00:00"/>
        <d v="2023-12-01T00:00:00"/>
        <d v="2023-10-21T00:00:00"/>
        <d v="2023-06-23T00:00:00"/>
        <d v="2023-09-08T00:00:00"/>
        <d v="2023-07-19T00:00:00"/>
        <d v="2023-01-06T00:00:00"/>
        <d v="2024-06-14T00:00:00"/>
        <d v="2024-04-12T00:00:00"/>
        <d v="2024-03-29T00:00:00"/>
        <d v="2023-09-23T00:00:00"/>
        <d v="2024-03-26T00:00:00"/>
        <d v="2023-03-24T00:00:00"/>
        <d v="2023-08-08T00:00:00"/>
        <d v="2023-03-05T00:00:00"/>
        <d v="2024-08-12T00:00:00"/>
        <d v="2024-03-05T00:00:00"/>
        <d v="2024-02-03T00:00:00"/>
        <d v="2024-06-30T00:00:00"/>
        <d v="2024-10-20T00:00:00"/>
        <d v="2023-12-02T00:00:00"/>
        <d v="2023-02-23T00:00:00"/>
        <d v="2023-09-11T00:00:00"/>
        <d v="2024-11-16T00:00:00"/>
        <d v="2023-06-21T00:00:00"/>
        <d v="2023-09-06T00:00:00"/>
        <d v="2023-01-13T00:00:00"/>
        <d v="2024-04-15T00:00:00"/>
        <d v="2023-10-04T00:00:00"/>
        <d v="2023-09-09T00:00:00"/>
        <d v="2024-09-16T00:00:00"/>
        <d v="2024-05-14T00:00:00"/>
        <d v="2024-12-19T00:00:00"/>
        <d v="2024-02-21T00:00:00"/>
        <d v="2023-01-18T00:00:00"/>
        <d v="2024-11-10T00:00:00"/>
        <d v="2024-07-17T00:00:00"/>
        <d v="2024-12-07T00:00:00"/>
        <d v="2024-08-26T00:00:00"/>
        <d v="2023-11-06T00:00:00"/>
        <d v="2023-10-27T00:00:00"/>
        <d v="2024-05-05T00:00:00"/>
        <d v="2023-04-27T00:00:00"/>
        <d v="2023-02-24T00:00:00"/>
        <d v="2023-05-02T00:00:00"/>
        <d v="2023-11-01T00:00:00"/>
        <d v="2023-04-12T00:00:00"/>
        <d v="2023-06-27T00:00:00"/>
        <d v="2024-04-26T00:00:00"/>
        <d v="2024-04-09T00:00:00"/>
        <d v="2023-07-22T00:00:00"/>
        <d v="2023-05-26T00:00:00"/>
        <d v="2024-08-05T00:00:00"/>
        <d v="2024-02-17T00:00:00"/>
        <d v="2023-11-27T00:00:00"/>
        <d v="2024-08-24T00:00:00"/>
        <d v="2024-05-18T00:00:00"/>
        <d v="2023-04-18T00:00:00"/>
        <d v="2024-02-15T00:00:00"/>
        <d v="2024-02-18T00:00:00"/>
        <d v="2024-09-29T00:00:00"/>
        <d v="2023-10-22T00:00:00"/>
        <d v="2023-09-03T00:00:00"/>
        <d v="2023-08-19T00:00:00"/>
        <d v="2023-10-26T00:00:00"/>
        <d v="2023-05-29T00:00:00"/>
        <d v="2023-03-13T00:00:00"/>
        <d v="2023-10-17T00:00:00"/>
        <d v="2024-08-08T00:00:00"/>
        <d v="2024-12-23T00:00:00"/>
        <d v="2024-05-29T00:00:00"/>
        <d v="2023-12-13T00:00:00"/>
        <d v="2023-02-27T00:00:00"/>
        <d v="2024-02-26T00:00:00"/>
        <d v="2023-09-18T00:00:00"/>
        <d v="2024-07-13T00:00:00"/>
        <d v="2024-05-09T00:00:00"/>
        <d v="2024-12-17T00:00:00"/>
        <d v="2023-02-20T00:00:00"/>
        <d v="2024-10-13T00:00:00"/>
        <d v="2024-10-23T00:00:00"/>
        <d v="2023-05-15T00:00:00"/>
        <d v="2023-05-16T00:00:00"/>
        <d v="2023-10-30T00:00:00"/>
        <d v="2024-11-23T00:00:00"/>
        <d v="2023-05-07T00:00:00"/>
        <d v="2024-01-16T00:00:00"/>
        <d v="2023-04-30T00:00:00"/>
        <d v="2023-04-10T00:00:00"/>
        <d v="2024-12-14T00:00:00"/>
        <d v="2024-09-22T00:00:00"/>
        <d v="2024-03-31T00:00:00"/>
        <d v="2024-01-03T00:00:00"/>
        <d v="2023-09-07T00:00:00"/>
        <d v="2023-08-27T00:00:00"/>
        <d v="2023-05-14T00:00:00"/>
        <d v="2023-01-16T00:00:00"/>
        <d v="2024-04-04T00:00:00"/>
        <d v="2023-02-14T00:00:00"/>
        <d v="2024-03-12T00:00:00"/>
        <d v="2024-09-14T00:00:00"/>
        <d v="2024-07-15T00:00:00"/>
        <d v="2024-09-11T00:00:00"/>
        <d v="2024-07-18T00:00:00"/>
        <d v="2023-09-19T00:00:00"/>
        <d v="2024-07-29T00:00:00"/>
        <d v="2024-06-03T00:00:00"/>
        <d v="2024-07-23T00:00:00"/>
        <d v="2024-07-28T00:00:00"/>
        <d v="2023-11-13T00:00:00"/>
        <d v="2024-11-04T00:00:00"/>
        <d v="2023-04-04T00:00:00"/>
        <d v="2023-11-16T00:00:00"/>
        <d v="2023-04-24T00:00:00"/>
        <d v="2024-02-09T00:00:00"/>
        <d v="2023-05-21T00:00:00"/>
        <d v="2024-03-16T00:00:00"/>
        <d v="2024-07-26T00:00:00"/>
        <d v="2024-10-17T00:00:00"/>
        <d v="2023-06-25T00:00:00"/>
        <d v="2023-12-08T00:00:00"/>
        <d v="2023-07-18T00:00:00"/>
        <d v="2024-05-20T00:00:00"/>
        <d v="2023-11-07T00:00:00"/>
        <d v="2024-04-07T00:00:00"/>
        <d v="2024-09-21T00:00:00"/>
        <d v="2023-06-26T00:00:00"/>
        <d v="2023-06-12T00:00:00"/>
        <d v="2024-01-31T00:00:00"/>
        <d v="2023-05-11T00:00:00"/>
        <d v="2023-07-04T00:00:00"/>
        <d v="2024-06-23T00:00:00"/>
        <d v="2023-06-16T00:00:00"/>
        <d v="2023-09-01T00:00:00"/>
        <d v="2023-05-08T00:00:00"/>
        <d v="2023-05-31T00:00:00"/>
        <d v="2024-02-29T00:00:00"/>
        <d v="2024-01-19T00:00:00"/>
        <d v="2023-12-10T00:00:00"/>
        <d v="2024-12-13T00:00:00"/>
        <d v="2023-01-20T00:00:00"/>
        <d v="2024-06-24T00:00:00"/>
        <d v="2023-09-02T00:00:00"/>
        <d v="2024-09-03T00:00:00"/>
        <d v="2023-12-28T00:00:00"/>
        <d v="2024-01-05T00:00:00"/>
        <d v="2024-01-18T00:00:00"/>
        <d v="2024-11-03T00:00:00"/>
        <d v="2023-03-06T00:00:00"/>
        <d v="2023-02-18T00:00:00"/>
        <d v="2024-06-15T00:00:00"/>
        <d v="2023-11-10T00:00:00"/>
        <d v="2023-02-13T00:00:00"/>
        <d v="2023-03-18T00:00:00"/>
        <d v="2023-05-27T00:00:00"/>
        <d v="2024-01-11T00:00:00"/>
        <d v="2024-04-05T00:00:00"/>
        <d v="2023-07-10T00:00:00"/>
        <d v="2023-07-24T00:00:00"/>
        <d v="2023-10-25T00:00:00"/>
        <d v="2024-01-13T00:00:00"/>
        <d v="2024-10-19T00:00:00"/>
        <d v="2023-10-09T00:00:00"/>
        <d v="2023-06-22T00:00:00"/>
        <d v="2024-07-31T00:00:00"/>
        <d v="2024-08-13T00:00:00"/>
        <d v="2024-05-24T00:00:00"/>
        <d v="2024-02-20T00:00:00"/>
        <d v="2024-03-01T00:00:00"/>
        <d v="2023-11-23T00:00:00"/>
        <d v="2024-05-25T00:00:00"/>
        <d v="2024-04-13T00:00:00"/>
        <d v="2024-05-21T00:00:00"/>
        <d v="2024-08-06T00:00:00"/>
        <d v="2024-04-06T00:00:00"/>
        <d v="2023-12-14T00:00:00"/>
        <d v="2023-02-11T00:00:00"/>
        <d v="2024-08-15T00:00:00"/>
      </sharedItems>
    </cacheField>
    <cacheField name="Travel_Type" numFmtId="0">
      <sharedItems count="2">
        <s v="Business"/>
        <s v="Leisure"/>
      </sharedItems>
    </cacheField>
    <cacheField name="Payment_Method" numFmtId="0">
      <sharedItems count="4">
        <s v="Credit Card"/>
        <s v="PayPal"/>
        <s v="Bank Transfer"/>
        <s v="Crypto"/>
      </sharedItems>
    </cacheField>
    <cacheField name="Booking_Month" numFmtId="0">
      <sharedItems count="12">
        <s v="August"/>
        <s v="January"/>
        <s v="July"/>
        <s v="June"/>
        <s v="December"/>
        <s v="September"/>
        <s v="March"/>
        <s v="November"/>
        <s v="October"/>
        <s v="May"/>
        <s v="April"/>
        <s v="February"/>
      </sharedItems>
    </cacheField>
    <cacheField name="Age_Groups" numFmtId="0">
      <sharedItems count="7">
        <s v="30-39"/>
        <s v="20-29"/>
        <s v="50-59"/>
        <s v="10-19"/>
        <s v="60-69"/>
        <s v="40-49"/>
        <s v="70+"/>
      </sharedItems>
    </cacheField>
  </cacheFields>
  <extLst>
    <ext xmlns:x14="http://schemas.microsoft.com/office/spreadsheetml/2009/9/main" uri="{725AE2AE-9491-48be-B2B4-4EB974FC3084}">
      <x14:pivotCacheDefinition pivotCacheId="959614464"/>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e6b47fb5"/>
    <x v="0"/>
    <x v="0"/>
    <n v="1905.57"/>
    <n v="33"/>
    <x v="0"/>
    <x v="0"/>
    <x v="0"/>
    <x v="0"/>
    <x v="0"/>
  </r>
  <r>
    <s v="59319d69"/>
    <x v="1"/>
    <x v="1"/>
    <n v="1558.13"/>
    <n v="20"/>
    <x v="1"/>
    <x v="0"/>
    <x v="1"/>
    <x v="1"/>
    <x v="1"/>
  </r>
  <r>
    <s v="30313de9"/>
    <x v="2"/>
    <x v="2"/>
    <n v="1584.64"/>
    <n v="53"/>
    <x v="2"/>
    <x v="1"/>
    <x v="1"/>
    <x v="2"/>
    <x v="2"/>
  </r>
  <r>
    <s v="8c00aa9e"/>
    <x v="3"/>
    <x v="3"/>
    <n v="839.84"/>
    <n v="18"/>
    <x v="3"/>
    <x v="1"/>
    <x v="2"/>
    <x v="3"/>
    <x v="3"/>
  </r>
  <r>
    <s v="a6ccb8e6"/>
    <x v="4"/>
    <x v="4"/>
    <n v="695.22"/>
    <n v="66"/>
    <x v="4"/>
    <x v="0"/>
    <x v="0"/>
    <x v="4"/>
    <x v="4"/>
  </r>
  <r>
    <s v="3a68e657"/>
    <x v="5"/>
    <x v="1"/>
    <n v="1025.6500000000001"/>
    <n v="40"/>
    <x v="5"/>
    <x v="1"/>
    <x v="0"/>
    <x v="5"/>
    <x v="5"/>
  </r>
  <r>
    <s v="9249ccaf"/>
    <x v="3"/>
    <x v="2"/>
    <n v="487.1"/>
    <n v="42"/>
    <x v="6"/>
    <x v="1"/>
    <x v="2"/>
    <x v="6"/>
    <x v="5"/>
  </r>
  <r>
    <s v="e3e24f3b"/>
    <x v="6"/>
    <x v="5"/>
    <n v="1820.52"/>
    <n v="20"/>
    <x v="7"/>
    <x v="0"/>
    <x v="2"/>
    <x v="7"/>
    <x v="1"/>
  </r>
  <r>
    <s v="4054b0b8"/>
    <x v="0"/>
    <x v="5"/>
    <n v="2192.91"/>
    <n v="42"/>
    <x v="8"/>
    <x v="1"/>
    <x v="2"/>
    <x v="8"/>
    <x v="5"/>
  </r>
  <r>
    <s v="d8209e8d"/>
    <x v="7"/>
    <x v="6"/>
    <n v="1017.12"/>
    <n v="60"/>
    <x v="9"/>
    <x v="0"/>
    <x v="1"/>
    <x v="8"/>
    <x v="4"/>
  </r>
  <r>
    <s v="92d367f6"/>
    <x v="1"/>
    <x v="7"/>
    <n v="763.07"/>
    <n v="47"/>
    <x v="10"/>
    <x v="1"/>
    <x v="1"/>
    <x v="1"/>
    <x v="5"/>
  </r>
  <r>
    <s v="abc21647"/>
    <x v="8"/>
    <x v="0"/>
    <n v="726.81"/>
    <n v="20"/>
    <x v="11"/>
    <x v="1"/>
    <x v="2"/>
    <x v="7"/>
    <x v="1"/>
  </r>
  <r>
    <s v="c517f1c7"/>
    <x v="0"/>
    <x v="5"/>
    <n v="2300.21"/>
    <n v="54"/>
    <x v="12"/>
    <x v="0"/>
    <x v="3"/>
    <x v="7"/>
    <x v="2"/>
  </r>
  <r>
    <s v="b9b9c497"/>
    <x v="5"/>
    <x v="8"/>
    <n v="1255.3599999999999"/>
    <n v="34"/>
    <x v="13"/>
    <x v="0"/>
    <x v="2"/>
    <x v="9"/>
    <x v="0"/>
  </r>
  <r>
    <s v="a5a9a3bf"/>
    <x v="6"/>
    <x v="9"/>
    <n v="2264.9899999999998"/>
    <n v="43"/>
    <x v="14"/>
    <x v="0"/>
    <x v="1"/>
    <x v="1"/>
    <x v="5"/>
  </r>
  <r>
    <s v="b68dfe14"/>
    <x v="1"/>
    <x v="10"/>
    <n v="409.09"/>
    <n v="21"/>
    <x v="15"/>
    <x v="0"/>
    <x v="1"/>
    <x v="10"/>
    <x v="1"/>
  </r>
  <r>
    <s v="12d7c8f0"/>
    <x v="5"/>
    <x v="3"/>
    <n v="346.11"/>
    <n v="42"/>
    <x v="16"/>
    <x v="1"/>
    <x v="2"/>
    <x v="5"/>
    <x v="5"/>
  </r>
  <r>
    <s v="de39c396"/>
    <x v="1"/>
    <x v="0"/>
    <n v="1764.65"/>
    <n v="25"/>
    <x v="17"/>
    <x v="1"/>
    <x v="2"/>
    <x v="7"/>
    <x v="1"/>
  </r>
  <r>
    <s v="a4272aa9"/>
    <x v="0"/>
    <x v="11"/>
    <n v="1199.96"/>
    <n v="47"/>
    <x v="18"/>
    <x v="1"/>
    <x v="1"/>
    <x v="1"/>
    <x v="5"/>
  </r>
  <r>
    <s v="6633be37"/>
    <x v="1"/>
    <x v="1"/>
    <n v="2202.19"/>
    <n v="37"/>
    <x v="19"/>
    <x v="0"/>
    <x v="1"/>
    <x v="8"/>
    <x v="0"/>
  </r>
  <r>
    <s v="3d5dc7fe"/>
    <x v="8"/>
    <x v="4"/>
    <n v="1440.57"/>
    <n v="67"/>
    <x v="20"/>
    <x v="0"/>
    <x v="2"/>
    <x v="3"/>
    <x v="4"/>
  </r>
  <r>
    <s v="077d7dce"/>
    <x v="3"/>
    <x v="0"/>
    <n v="457.3"/>
    <n v="41"/>
    <x v="21"/>
    <x v="0"/>
    <x v="0"/>
    <x v="7"/>
    <x v="5"/>
  </r>
  <r>
    <s v="6b5a79e4"/>
    <x v="2"/>
    <x v="3"/>
    <n v="2377.98"/>
    <n v="23"/>
    <x v="22"/>
    <x v="0"/>
    <x v="1"/>
    <x v="9"/>
    <x v="1"/>
  </r>
  <r>
    <s v="fdc18a1a"/>
    <x v="7"/>
    <x v="8"/>
    <n v="1293.1500000000001"/>
    <n v="53"/>
    <x v="23"/>
    <x v="1"/>
    <x v="3"/>
    <x v="3"/>
    <x v="2"/>
  </r>
  <r>
    <s v="be8c0082"/>
    <x v="2"/>
    <x v="2"/>
    <n v="1937.11"/>
    <n v="62"/>
    <x v="24"/>
    <x v="1"/>
    <x v="3"/>
    <x v="2"/>
    <x v="4"/>
  </r>
  <r>
    <s v="062cfd82"/>
    <x v="8"/>
    <x v="10"/>
    <n v="2269.11"/>
    <n v="46"/>
    <x v="25"/>
    <x v="0"/>
    <x v="1"/>
    <x v="9"/>
    <x v="5"/>
  </r>
  <r>
    <s v="ae639cc2"/>
    <x v="0"/>
    <x v="6"/>
    <n v="248.38"/>
    <n v="53"/>
    <x v="26"/>
    <x v="0"/>
    <x v="0"/>
    <x v="0"/>
    <x v="2"/>
  </r>
  <r>
    <s v="fff3cba5"/>
    <x v="0"/>
    <x v="7"/>
    <n v="1651.54"/>
    <n v="32"/>
    <x v="27"/>
    <x v="0"/>
    <x v="2"/>
    <x v="6"/>
    <x v="0"/>
  </r>
  <r>
    <s v="3107fe8a"/>
    <x v="0"/>
    <x v="2"/>
    <n v="747.41"/>
    <n v="60"/>
    <x v="22"/>
    <x v="0"/>
    <x v="1"/>
    <x v="9"/>
    <x v="4"/>
  </r>
  <r>
    <s v="cf3ee98d"/>
    <x v="6"/>
    <x v="3"/>
    <n v="1287.1400000000001"/>
    <n v="68"/>
    <x v="28"/>
    <x v="1"/>
    <x v="1"/>
    <x v="10"/>
    <x v="4"/>
  </r>
  <r>
    <s v="18418d91"/>
    <x v="0"/>
    <x v="1"/>
    <n v="1715.66"/>
    <n v="40"/>
    <x v="29"/>
    <x v="1"/>
    <x v="3"/>
    <x v="6"/>
    <x v="5"/>
  </r>
  <r>
    <s v="f83d6518"/>
    <x v="9"/>
    <x v="8"/>
    <n v="1702.95"/>
    <n v="59"/>
    <x v="30"/>
    <x v="0"/>
    <x v="3"/>
    <x v="10"/>
    <x v="2"/>
  </r>
  <r>
    <s v="1f9e454f"/>
    <x v="8"/>
    <x v="1"/>
    <n v="771.91"/>
    <n v="30"/>
    <x v="31"/>
    <x v="1"/>
    <x v="1"/>
    <x v="2"/>
    <x v="0"/>
  </r>
  <r>
    <s v="c5a06c9d"/>
    <x v="5"/>
    <x v="4"/>
    <n v="840.65"/>
    <n v="33"/>
    <x v="32"/>
    <x v="1"/>
    <x v="0"/>
    <x v="6"/>
    <x v="0"/>
  </r>
  <r>
    <s v="4ffe3564"/>
    <x v="9"/>
    <x v="8"/>
    <n v="2498.35"/>
    <n v="18"/>
    <x v="33"/>
    <x v="0"/>
    <x v="1"/>
    <x v="10"/>
    <x v="3"/>
  </r>
  <r>
    <s v="8257b3d4"/>
    <x v="5"/>
    <x v="10"/>
    <n v="1307.1199999999999"/>
    <n v="43"/>
    <x v="34"/>
    <x v="0"/>
    <x v="3"/>
    <x v="6"/>
    <x v="5"/>
  </r>
  <r>
    <s v="7620baac"/>
    <x v="9"/>
    <x v="9"/>
    <n v="809.97"/>
    <n v="68"/>
    <x v="35"/>
    <x v="1"/>
    <x v="3"/>
    <x v="10"/>
    <x v="4"/>
  </r>
  <r>
    <s v="f7d9ad25"/>
    <x v="1"/>
    <x v="8"/>
    <n v="1852.34"/>
    <n v="27"/>
    <x v="36"/>
    <x v="1"/>
    <x v="1"/>
    <x v="2"/>
    <x v="1"/>
  </r>
  <r>
    <s v="2c0ae97d"/>
    <x v="9"/>
    <x v="3"/>
    <n v="1892.2"/>
    <n v="21"/>
    <x v="37"/>
    <x v="0"/>
    <x v="0"/>
    <x v="7"/>
    <x v="1"/>
  </r>
  <r>
    <s v="87631a3c"/>
    <x v="6"/>
    <x v="10"/>
    <n v="1356.56"/>
    <n v="51"/>
    <x v="38"/>
    <x v="0"/>
    <x v="0"/>
    <x v="3"/>
    <x v="2"/>
  </r>
  <r>
    <s v="d5e618fe"/>
    <x v="7"/>
    <x v="1"/>
    <n v="1568.58"/>
    <n v="61"/>
    <x v="39"/>
    <x v="1"/>
    <x v="0"/>
    <x v="0"/>
    <x v="4"/>
  </r>
  <r>
    <s v="1001409c"/>
    <x v="6"/>
    <x v="5"/>
    <n v="1531.51"/>
    <n v="20"/>
    <x v="40"/>
    <x v="0"/>
    <x v="3"/>
    <x v="5"/>
    <x v="1"/>
  </r>
  <r>
    <s v="5157fe48"/>
    <x v="6"/>
    <x v="3"/>
    <n v="1402.4"/>
    <n v="34"/>
    <x v="41"/>
    <x v="1"/>
    <x v="1"/>
    <x v="2"/>
    <x v="0"/>
  </r>
  <r>
    <s v="87bb8659"/>
    <x v="4"/>
    <x v="9"/>
    <n v="501.02"/>
    <n v="59"/>
    <x v="42"/>
    <x v="1"/>
    <x v="2"/>
    <x v="7"/>
    <x v="2"/>
  </r>
  <r>
    <s v="eb760dae"/>
    <x v="0"/>
    <x v="0"/>
    <n v="1254.06"/>
    <n v="54"/>
    <x v="43"/>
    <x v="0"/>
    <x v="1"/>
    <x v="10"/>
    <x v="2"/>
  </r>
  <r>
    <s v="5d0f7125"/>
    <x v="4"/>
    <x v="4"/>
    <n v="1207.82"/>
    <n v="52"/>
    <x v="44"/>
    <x v="1"/>
    <x v="0"/>
    <x v="4"/>
    <x v="2"/>
  </r>
  <r>
    <s v="2cf7eec8"/>
    <x v="1"/>
    <x v="11"/>
    <n v="2343.04"/>
    <n v="24"/>
    <x v="45"/>
    <x v="1"/>
    <x v="0"/>
    <x v="9"/>
    <x v="1"/>
  </r>
  <r>
    <s v="74b6116b"/>
    <x v="0"/>
    <x v="7"/>
    <n v="1472.41"/>
    <n v="35"/>
    <x v="46"/>
    <x v="0"/>
    <x v="2"/>
    <x v="8"/>
    <x v="0"/>
  </r>
  <r>
    <s v="bfae1040"/>
    <x v="2"/>
    <x v="8"/>
    <n v="1658.75"/>
    <n v="34"/>
    <x v="47"/>
    <x v="1"/>
    <x v="2"/>
    <x v="3"/>
    <x v="0"/>
  </r>
  <r>
    <s v="1922dc1c"/>
    <x v="9"/>
    <x v="1"/>
    <n v="1658.85"/>
    <n v="35"/>
    <x v="48"/>
    <x v="0"/>
    <x v="2"/>
    <x v="11"/>
    <x v="0"/>
  </r>
  <r>
    <s v="266758de"/>
    <x v="7"/>
    <x v="8"/>
    <n v="2453.54"/>
    <n v="28"/>
    <x v="49"/>
    <x v="1"/>
    <x v="0"/>
    <x v="6"/>
    <x v="1"/>
  </r>
  <r>
    <s v="5c577fa2"/>
    <x v="0"/>
    <x v="1"/>
    <n v="2373.62"/>
    <n v="62"/>
    <x v="50"/>
    <x v="0"/>
    <x v="2"/>
    <x v="3"/>
    <x v="4"/>
  </r>
  <r>
    <s v="f8ee6461"/>
    <x v="6"/>
    <x v="2"/>
    <n v="540.62"/>
    <n v="26"/>
    <x v="51"/>
    <x v="1"/>
    <x v="2"/>
    <x v="11"/>
    <x v="1"/>
  </r>
  <r>
    <s v="84e9973c"/>
    <x v="9"/>
    <x v="6"/>
    <n v="683.18"/>
    <n v="33"/>
    <x v="52"/>
    <x v="0"/>
    <x v="2"/>
    <x v="7"/>
    <x v="0"/>
  </r>
  <r>
    <s v="6351f07f"/>
    <x v="1"/>
    <x v="9"/>
    <n v="2439.83"/>
    <n v="65"/>
    <x v="53"/>
    <x v="0"/>
    <x v="1"/>
    <x v="3"/>
    <x v="4"/>
  </r>
  <r>
    <s v="6d501e8b"/>
    <x v="7"/>
    <x v="9"/>
    <n v="257.01"/>
    <n v="65"/>
    <x v="54"/>
    <x v="1"/>
    <x v="1"/>
    <x v="4"/>
    <x v="4"/>
  </r>
  <r>
    <s v="782f7a40"/>
    <x v="4"/>
    <x v="4"/>
    <n v="2010.96"/>
    <n v="24"/>
    <x v="55"/>
    <x v="0"/>
    <x v="3"/>
    <x v="1"/>
    <x v="1"/>
  </r>
  <r>
    <s v="4206d421"/>
    <x v="2"/>
    <x v="5"/>
    <n v="2078.15"/>
    <n v="47"/>
    <x v="56"/>
    <x v="1"/>
    <x v="1"/>
    <x v="4"/>
    <x v="5"/>
  </r>
  <r>
    <s v="44362bd1"/>
    <x v="2"/>
    <x v="0"/>
    <n v="1718.08"/>
    <n v="43"/>
    <x v="57"/>
    <x v="1"/>
    <x v="0"/>
    <x v="4"/>
    <x v="5"/>
  </r>
  <r>
    <s v="78cadd30"/>
    <x v="4"/>
    <x v="6"/>
    <n v="1675.41"/>
    <n v="43"/>
    <x v="58"/>
    <x v="1"/>
    <x v="0"/>
    <x v="7"/>
    <x v="5"/>
  </r>
  <r>
    <s v="4e8d986d"/>
    <x v="0"/>
    <x v="11"/>
    <n v="610.71"/>
    <n v="34"/>
    <x v="59"/>
    <x v="0"/>
    <x v="3"/>
    <x v="11"/>
    <x v="0"/>
  </r>
  <r>
    <s v="4126e669"/>
    <x v="8"/>
    <x v="7"/>
    <n v="2008.78"/>
    <n v="45"/>
    <x v="60"/>
    <x v="0"/>
    <x v="3"/>
    <x v="5"/>
    <x v="5"/>
  </r>
  <r>
    <s v="7d53cee1"/>
    <x v="6"/>
    <x v="5"/>
    <n v="785.86"/>
    <n v="63"/>
    <x v="61"/>
    <x v="0"/>
    <x v="1"/>
    <x v="6"/>
    <x v="4"/>
  </r>
  <r>
    <s v="c04c1a67"/>
    <x v="8"/>
    <x v="9"/>
    <n v="360.94"/>
    <n v="60"/>
    <x v="62"/>
    <x v="1"/>
    <x v="0"/>
    <x v="4"/>
    <x v="4"/>
  </r>
  <r>
    <s v="f911cb29"/>
    <x v="4"/>
    <x v="2"/>
    <n v="911.35"/>
    <n v="44"/>
    <x v="63"/>
    <x v="1"/>
    <x v="2"/>
    <x v="4"/>
    <x v="5"/>
  </r>
  <r>
    <s v="23c1ceeb"/>
    <x v="1"/>
    <x v="4"/>
    <n v="641.23"/>
    <n v="60"/>
    <x v="10"/>
    <x v="0"/>
    <x v="2"/>
    <x v="1"/>
    <x v="4"/>
  </r>
  <r>
    <s v="812d6aab"/>
    <x v="5"/>
    <x v="2"/>
    <n v="2117.5700000000002"/>
    <n v="37"/>
    <x v="64"/>
    <x v="0"/>
    <x v="3"/>
    <x v="8"/>
    <x v="0"/>
  </r>
  <r>
    <s v="b8536298"/>
    <x v="6"/>
    <x v="3"/>
    <n v="1705.82"/>
    <n v="47"/>
    <x v="49"/>
    <x v="1"/>
    <x v="1"/>
    <x v="6"/>
    <x v="5"/>
  </r>
  <r>
    <s v="9321b5ed"/>
    <x v="1"/>
    <x v="10"/>
    <n v="2025.59"/>
    <n v="68"/>
    <x v="65"/>
    <x v="0"/>
    <x v="2"/>
    <x v="3"/>
    <x v="4"/>
  </r>
  <r>
    <s v="58e27ccc"/>
    <x v="1"/>
    <x v="8"/>
    <n v="1655.76"/>
    <n v="39"/>
    <x v="33"/>
    <x v="0"/>
    <x v="2"/>
    <x v="10"/>
    <x v="0"/>
  </r>
  <r>
    <s v="ad48c99b"/>
    <x v="2"/>
    <x v="5"/>
    <n v="538.91"/>
    <n v="20"/>
    <x v="66"/>
    <x v="1"/>
    <x v="0"/>
    <x v="5"/>
    <x v="1"/>
  </r>
  <r>
    <s v="66c7636e"/>
    <x v="3"/>
    <x v="9"/>
    <n v="2238.11"/>
    <n v="54"/>
    <x v="67"/>
    <x v="1"/>
    <x v="3"/>
    <x v="2"/>
    <x v="2"/>
  </r>
  <r>
    <s v="0be93a02"/>
    <x v="5"/>
    <x v="5"/>
    <n v="539.41"/>
    <n v="62"/>
    <x v="68"/>
    <x v="0"/>
    <x v="3"/>
    <x v="1"/>
    <x v="4"/>
  </r>
  <r>
    <s v="63bfe14c"/>
    <x v="2"/>
    <x v="4"/>
    <n v="2049.4499999999998"/>
    <n v="62"/>
    <x v="69"/>
    <x v="1"/>
    <x v="0"/>
    <x v="3"/>
    <x v="4"/>
  </r>
  <r>
    <s v="5538c3e9"/>
    <x v="1"/>
    <x v="5"/>
    <n v="2310.1799999999998"/>
    <n v="25"/>
    <x v="70"/>
    <x v="0"/>
    <x v="3"/>
    <x v="10"/>
    <x v="1"/>
  </r>
  <r>
    <s v="cd13573f"/>
    <x v="1"/>
    <x v="2"/>
    <n v="1569.54"/>
    <n v="66"/>
    <x v="71"/>
    <x v="1"/>
    <x v="3"/>
    <x v="6"/>
    <x v="4"/>
  </r>
  <r>
    <s v="3f9768ed"/>
    <x v="7"/>
    <x v="7"/>
    <n v="2181.44"/>
    <n v="46"/>
    <x v="72"/>
    <x v="0"/>
    <x v="2"/>
    <x v="5"/>
    <x v="5"/>
  </r>
  <r>
    <s v="baddaa50"/>
    <x v="1"/>
    <x v="10"/>
    <n v="1641.52"/>
    <n v="35"/>
    <x v="73"/>
    <x v="0"/>
    <x v="2"/>
    <x v="6"/>
    <x v="0"/>
  </r>
  <r>
    <s v="6dd8231e"/>
    <x v="2"/>
    <x v="11"/>
    <n v="972.45"/>
    <n v="52"/>
    <x v="74"/>
    <x v="0"/>
    <x v="1"/>
    <x v="6"/>
    <x v="2"/>
  </r>
  <r>
    <s v="3e325363"/>
    <x v="2"/>
    <x v="9"/>
    <n v="1796.08"/>
    <n v="63"/>
    <x v="75"/>
    <x v="0"/>
    <x v="3"/>
    <x v="0"/>
    <x v="4"/>
  </r>
  <r>
    <s v="5b312370"/>
    <x v="5"/>
    <x v="6"/>
    <n v="1448.01"/>
    <n v="44"/>
    <x v="76"/>
    <x v="0"/>
    <x v="3"/>
    <x v="6"/>
    <x v="5"/>
  </r>
  <r>
    <s v="c12857ca"/>
    <x v="5"/>
    <x v="3"/>
    <n v="2375.94"/>
    <n v="19"/>
    <x v="77"/>
    <x v="1"/>
    <x v="3"/>
    <x v="0"/>
    <x v="3"/>
  </r>
  <r>
    <s v="9cf1a203"/>
    <x v="9"/>
    <x v="6"/>
    <n v="886.81"/>
    <n v="42"/>
    <x v="78"/>
    <x v="0"/>
    <x v="3"/>
    <x v="6"/>
    <x v="5"/>
  </r>
  <r>
    <n v="13871559"/>
    <x v="2"/>
    <x v="11"/>
    <n v="1202.42"/>
    <n v="19"/>
    <x v="79"/>
    <x v="1"/>
    <x v="3"/>
    <x v="11"/>
    <x v="3"/>
  </r>
  <r>
    <s v="cb369b04"/>
    <x v="7"/>
    <x v="10"/>
    <n v="2314.9499999999998"/>
    <n v="57"/>
    <x v="80"/>
    <x v="0"/>
    <x v="3"/>
    <x v="3"/>
    <x v="2"/>
  </r>
  <r>
    <s v="06c22ad7"/>
    <x v="6"/>
    <x v="3"/>
    <n v="1724.9"/>
    <n v="23"/>
    <x v="81"/>
    <x v="1"/>
    <x v="1"/>
    <x v="8"/>
    <x v="1"/>
  </r>
  <r>
    <s v="d31bda4f"/>
    <x v="3"/>
    <x v="4"/>
    <n v="315.64999999999998"/>
    <n v="42"/>
    <x v="82"/>
    <x v="0"/>
    <x v="3"/>
    <x v="4"/>
    <x v="5"/>
  </r>
  <r>
    <s v="db2e538c"/>
    <x v="8"/>
    <x v="6"/>
    <n v="1950.83"/>
    <n v="42"/>
    <x v="8"/>
    <x v="1"/>
    <x v="2"/>
    <x v="8"/>
    <x v="5"/>
  </r>
  <r>
    <s v="ec8ed2f6"/>
    <x v="0"/>
    <x v="10"/>
    <n v="244.58"/>
    <n v="52"/>
    <x v="83"/>
    <x v="1"/>
    <x v="1"/>
    <x v="11"/>
    <x v="2"/>
  </r>
  <r>
    <s v="d75cd7ab"/>
    <x v="0"/>
    <x v="8"/>
    <n v="292.58999999999997"/>
    <n v="19"/>
    <x v="84"/>
    <x v="0"/>
    <x v="0"/>
    <x v="5"/>
    <x v="3"/>
  </r>
  <r>
    <s v="d1ccbee6"/>
    <x v="6"/>
    <x v="4"/>
    <n v="748.65"/>
    <n v="48"/>
    <x v="85"/>
    <x v="0"/>
    <x v="1"/>
    <x v="7"/>
    <x v="5"/>
  </r>
  <r>
    <s v="17b1e36e"/>
    <x v="3"/>
    <x v="7"/>
    <n v="789.36"/>
    <n v="41"/>
    <x v="86"/>
    <x v="0"/>
    <x v="1"/>
    <x v="3"/>
    <x v="5"/>
  </r>
  <r>
    <s v="ef359088"/>
    <x v="4"/>
    <x v="1"/>
    <n v="1530.97"/>
    <n v="37"/>
    <x v="77"/>
    <x v="1"/>
    <x v="3"/>
    <x v="0"/>
    <x v="0"/>
  </r>
  <r>
    <s v="7c81ed4e"/>
    <x v="2"/>
    <x v="1"/>
    <n v="1561.83"/>
    <n v="58"/>
    <x v="87"/>
    <x v="0"/>
    <x v="2"/>
    <x v="5"/>
    <x v="2"/>
  </r>
  <r>
    <s v="f4865501"/>
    <x v="6"/>
    <x v="1"/>
    <n v="2031.32"/>
    <n v="54"/>
    <x v="51"/>
    <x v="1"/>
    <x v="3"/>
    <x v="11"/>
    <x v="2"/>
  </r>
  <r>
    <s v="3b731440"/>
    <x v="8"/>
    <x v="1"/>
    <n v="1363.71"/>
    <n v="39"/>
    <x v="88"/>
    <x v="1"/>
    <x v="3"/>
    <x v="1"/>
    <x v="0"/>
  </r>
  <r>
    <s v="247532b5"/>
    <x v="0"/>
    <x v="9"/>
    <n v="2409.81"/>
    <n v="58"/>
    <x v="89"/>
    <x v="0"/>
    <x v="3"/>
    <x v="10"/>
    <x v="2"/>
  </r>
  <r>
    <s v="5fa3de21"/>
    <x v="7"/>
    <x v="7"/>
    <n v="1400.02"/>
    <n v="59"/>
    <x v="90"/>
    <x v="1"/>
    <x v="3"/>
    <x v="8"/>
    <x v="2"/>
  </r>
  <r>
    <s v="54c97622"/>
    <x v="5"/>
    <x v="7"/>
    <n v="1562.69"/>
    <n v="38"/>
    <x v="91"/>
    <x v="0"/>
    <x v="2"/>
    <x v="5"/>
    <x v="0"/>
  </r>
  <r>
    <s v="fc654a6a"/>
    <x v="3"/>
    <x v="5"/>
    <n v="1926.1"/>
    <n v="54"/>
    <x v="92"/>
    <x v="1"/>
    <x v="2"/>
    <x v="5"/>
    <x v="2"/>
  </r>
  <r>
    <s v="20710d72"/>
    <x v="9"/>
    <x v="10"/>
    <n v="2157.19"/>
    <n v="29"/>
    <x v="93"/>
    <x v="0"/>
    <x v="2"/>
    <x v="9"/>
    <x v="1"/>
  </r>
  <r>
    <s v="3c99fb1f"/>
    <x v="4"/>
    <x v="6"/>
    <n v="843.21"/>
    <n v="56"/>
    <x v="94"/>
    <x v="1"/>
    <x v="0"/>
    <x v="4"/>
    <x v="2"/>
  </r>
  <r>
    <s v="f1cdbbf2"/>
    <x v="1"/>
    <x v="5"/>
    <n v="396.91"/>
    <n v="64"/>
    <x v="95"/>
    <x v="1"/>
    <x v="1"/>
    <x v="11"/>
    <x v="4"/>
  </r>
  <r>
    <s v="a88d1368"/>
    <x v="3"/>
    <x v="8"/>
    <n v="1837.24"/>
    <n v="46"/>
    <x v="96"/>
    <x v="0"/>
    <x v="2"/>
    <x v="1"/>
    <x v="5"/>
  </r>
  <r>
    <s v="ea856918"/>
    <x v="2"/>
    <x v="9"/>
    <n v="1791.11"/>
    <n v="37"/>
    <x v="97"/>
    <x v="1"/>
    <x v="3"/>
    <x v="7"/>
    <x v="0"/>
  </r>
  <r>
    <s v="4b947bf8"/>
    <x v="1"/>
    <x v="2"/>
    <n v="990.64"/>
    <n v="65"/>
    <x v="98"/>
    <x v="1"/>
    <x v="2"/>
    <x v="2"/>
    <x v="4"/>
  </r>
  <r>
    <s v="09ed4f7f"/>
    <x v="3"/>
    <x v="11"/>
    <n v="905.23"/>
    <n v="32"/>
    <x v="25"/>
    <x v="0"/>
    <x v="2"/>
    <x v="9"/>
    <x v="0"/>
  </r>
  <r>
    <s v="f9c2b6c8"/>
    <x v="0"/>
    <x v="7"/>
    <n v="1432.49"/>
    <n v="66"/>
    <x v="99"/>
    <x v="0"/>
    <x v="1"/>
    <x v="4"/>
    <x v="4"/>
  </r>
  <r>
    <s v="5444044d"/>
    <x v="2"/>
    <x v="7"/>
    <n v="1313.66"/>
    <n v="64"/>
    <x v="100"/>
    <x v="1"/>
    <x v="0"/>
    <x v="0"/>
    <x v="4"/>
  </r>
  <r>
    <s v="df943326"/>
    <x v="2"/>
    <x v="11"/>
    <n v="723.21"/>
    <n v="29"/>
    <x v="101"/>
    <x v="0"/>
    <x v="1"/>
    <x v="7"/>
    <x v="1"/>
  </r>
  <r>
    <s v="3e23a903"/>
    <x v="4"/>
    <x v="0"/>
    <n v="2440.88"/>
    <n v="53"/>
    <x v="102"/>
    <x v="0"/>
    <x v="3"/>
    <x v="8"/>
    <x v="2"/>
  </r>
  <r>
    <s v="5724be7f"/>
    <x v="0"/>
    <x v="0"/>
    <n v="1520.35"/>
    <n v="48"/>
    <x v="103"/>
    <x v="1"/>
    <x v="2"/>
    <x v="9"/>
    <x v="5"/>
  </r>
  <r>
    <s v="fb034d0a"/>
    <x v="7"/>
    <x v="0"/>
    <n v="780.7"/>
    <n v="48"/>
    <x v="104"/>
    <x v="0"/>
    <x v="3"/>
    <x v="10"/>
    <x v="5"/>
  </r>
  <r>
    <s v="4e92ae04"/>
    <x v="3"/>
    <x v="1"/>
    <n v="1527.15"/>
    <n v="61"/>
    <x v="105"/>
    <x v="0"/>
    <x v="1"/>
    <x v="11"/>
    <x v="4"/>
  </r>
  <r>
    <s v="1455d6ba"/>
    <x v="6"/>
    <x v="11"/>
    <n v="395.92"/>
    <n v="33"/>
    <x v="106"/>
    <x v="1"/>
    <x v="1"/>
    <x v="9"/>
    <x v="0"/>
  </r>
  <r>
    <s v="c3ff43ed"/>
    <x v="1"/>
    <x v="9"/>
    <n v="1236.18"/>
    <n v="46"/>
    <x v="107"/>
    <x v="1"/>
    <x v="2"/>
    <x v="7"/>
    <x v="5"/>
  </r>
  <r>
    <s v="81c3b6db"/>
    <x v="6"/>
    <x v="3"/>
    <n v="338.53"/>
    <n v="65"/>
    <x v="108"/>
    <x v="0"/>
    <x v="1"/>
    <x v="10"/>
    <x v="4"/>
  </r>
  <r>
    <s v="bd539dfb"/>
    <x v="4"/>
    <x v="8"/>
    <n v="386.73"/>
    <n v="33"/>
    <x v="109"/>
    <x v="0"/>
    <x v="1"/>
    <x v="3"/>
    <x v="0"/>
  </r>
  <r>
    <s v="0ca7023e"/>
    <x v="9"/>
    <x v="9"/>
    <n v="1236.1600000000001"/>
    <n v="56"/>
    <x v="110"/>
    <x v="1"/>
    <x v="0"/>
    <x v="10"/>
    <x v="2"/>
  </r>
  <r>
    <s v="cdecfd48"/>
    <x v="2"/>
    <x v="11"/>
    <n v="1826"/>
    <n v="62"/>
    <x v="111"/>
    <x v="0"/>
    <x v="1"/>
    <x v="10"/>
    <x v="4"/>
  </r>
  <r>
    <s v="9741a7c9"/>
    <x v="4"/>
    <x v="8"/>
    <n v="1556.52"/>
    <n v="69"/>
    <x v="112"/>
    <x v="1"/>
    <x v="0"/>
    <x v="2"/>
    <x v="4"/>
  </r>
  <r>
    <s v="021d2419"/>
    <x v="1"/>
    <x v="5"/>
    <n v="1689.56"/>
    <n v="35"/>
    <x v="113"/>
    <x v="0"/>
    <x v="0"/>
    <x v="9"/>
    <x v="0"/>
  </r>
  <r>
    <s v="b391721f"/>
    <x v="7"/>
    <x v="11"/>
    <n v="1568.6"/>
    <n v="70"/>
    <x v="114"/>
    <x v="1"/>
    <x v="3"/>
    <x v="0"/>
    <x v="6"/>
  </r>
  <r>
    <s v="a952df8d"/>
    <x v="0"/>
    <x v="10"/>
    <n v="1783.96"/>
    <n v="62"/>
    <x v="115"/>
    <x v="1"/>
    <x v="3"/>
    <x v="11"/>
    <x v="4"/>
  </r>
  <r>
    <s v="e1f26736"/>
    <x v="3"/>
    <x v="1"/>
    <n v="1575.48"/>
    <n v="45"/>
    <x v="116"/>
    <x v="1"/>
    <x v="0"/>
    <x v="7"/>
    <x v="5"/>
  </r>
  <r>
    <s v="37561d27"/>
    <x v="0"/>
    <x v="5"/>
    <n v="2412.4"/>
    <n v="54"/>
    <x v="117"/>
    <x v="0"/>
    <x v="2"/>
    <x v="0"/>
    <x v="2"/>
  </r>
  <r>
    <s v="acab73ac"/>
    <x v="6"/>
    <x v="0"/>
    <n v="1955.15"/>
    <n v="29"/>
    <x v="110"/>
    <x v="1"/>
    <x v="2"/>
    <x v="10"/>
    <x v="1"/>
  </r>
  <r>
    <s v="359ac2e4"/>
    <x v="7"/>
    <x v="3"/>
    <n v="1202.54"/>
    <n v="70"/>
    <x v="118"/>
    <x v="0"/>
    <x v="3"/>
    <x v="9"/>
    <x v="6"/>
  </r>
  <r>
    <s v="0ecb4fe5"/>
    <x v="8"/>
    <x v="9"/>
    <n v="966.61"/>
    <n v="60"/>
    <x v="119"/>
    <x v="0"/>
    <x v="2"/>
    <x v="10"/>
    <x v="4"/>
  </r>
  <r>
    <s v="3ec9fc89"/>
    <x v="5"/>
    <x v="7"/>
    <n v="1339.58"/>
    <n v="60"/>
    <x v="120"/>
    <x v="0"/>
    <x v="3"/>
    <x v="11"/>
    <x v="4"/>
  </r>
  <r>
    <s v="c95e472d"/>
    <x v="0"/>
    <x v="6"/>
    <n v="780.52"/>
    <n v="25"/>
    <x v="121"/>
    <x v="0"/>
    <x v="3"/>
    <x v="11"/>
    <x v="1"/>
  </r>
  <r>
    <s v="1cf5efa1"/>
    <x v="5"/>
    <x v="0"/>
    <n v="631.44000000000005"/>
    <n v="41"/>
    <x v="122"/>
    <x v="1"/>
    <x v="3"/>
    <x v="5"/>
    <x v="5"/>
  </r>
  <r>
    <s v="1d8cf26d"/>
    <x v="9"/>
    <x v="5"/>
    <n v="814.23"/>
    <n v="26"/>
    <x v="123"/>
    <x v="1"/>
    <x v="3"/>
    <x v="8"/>
    <x v="1"/>
  </r>
  <r>
    <s v="3c4b6e9f"/>
    <x v="0"/>
    <x v="0"/>
    <n v="2438.2399999999998"/>
    <n v="56"/>
    <x v="124"/>
    <x v="0"/>
    <x v="2"/>
    <x v="5"/>
    <x v="2"/>
  </r>
  <r>
    <s v="ad9393de"/>
    <x v="1"/>
    <x v="0"/>
    <n v="1470.18"/>
    <n v="23"/>
    <x v="125"/>
    <x v="0"/>
    <x v="3"/>
    <x v="0"/>
    <x v="1"/>
  </r>
  <r>
    <s v="864ae88f"/>
    <x v="0"/>
    <x v="8"/>
    <n v="2113.9299999999998"/>
    <n v="49"/>
    <x v="126"/>
    <x v="1"/>
    <x v="3"/>
    <x v="8"/>
    <x v="5"/>
  </r>
  <r>
    <s v="0ac0ba0a"/>
    <x v="3"/>
    <x v="10"/>
    <n v="760.58"/>
    <n v="53"/>
    <x v="127"/>
    <x v="1"/>
    <x v="1"/>
    <x v="9"/>
    <x v="2"/>
  </r>
  <r>
    <s v="0876ac3d"/>
    <x v="6"/>
    <x v="2"/>
    <n v="1916.47"/>
    <n v="26"/>
    <x v="128"/>
    <x v="1"/>
    <x v="3"/>
    <x v="6"/>
    <x v="1"/>
  </r>
  <r>
    <s v="3c44d02d"/>
    <x v="8"/>
    <x v="2"/>
    <n v="814.5"/>
    <n v="18"/>
    <x v="129"/>
    <x v="1"/>
    <x v="3"/>
    <x v="8"/>
    <x v="3"/>
  </r>
  <r>
    <s v="d8dd5e4b"/>
    <x v="7"/>
    <x v="10"/>
    <n v="1438.74"/>
    <n v="40"/>
    <x v="54"/>
    <x v="1"/>
    <x v="3"/>
    <x v="4"/>
    <x v="5"/>
  </r>
  <r>
    <s v="58e2c5a4"/>
    <x v="8"/>
    <x v="5"/>
    <n v="2455.7800000000002"/>
    <n v="33"/>
    <x v="130"/>
    <x v="1"/>
    <x v="1"/>
    <x v="0"/>
    <x v="0"/>
  </r>
  <r>
    <s v="999b5cd8"/>
    <x v="5"/>
    <x v="0"/>
    <n v="931.81"/>
    <n v="48"/>
    <x v="131"/>
    <x v="1"/>
    <x v="3"/>
    <x v="4"/>
    <x v="5"/>
  </r>
  <r>
    <s v="6a1c56bf"/>
    <x v="7"/>
    <x v="10"/>
    <n v="2419.1"/>
    <n v="26"/>
    <x v="132"/>
    <x v="1"/>
    <x v="0"/>
    <x v="9"/>
    <x v="1"/>
  </r>
  <r>
    <s v="e5c0a88a"/>
    <x v="7"/>
    <x v="1"/>
    <n v="1279.83"/>
    <n v="34"/>
    <x v="133"/>
    <x v="1"/>
    <x v="0"/>
    <x v="4"/>
    <x v="0"/>
  </r>
  <r>
    <s v="5943a26e"/>
    <x v="6"/>
    <x v="1"/>
    <n v="739.97"/>
    <n v="61"/>
    <x v="123"/>
    <x v="0"/>
    <x v="0"/>
    <x v="8"/>
    <x v="4"/>
  </r>
  <r>
    <s v="ec0839de"/>
    <x v="5"/>
    <x v="1"/>
    <n v="1948.85"/>
    <n v="63"/>
    <x v="43"/>
    <x v="1"/>
    <x v="1"/>
    <x v="10"/>
    <x v="4"/>
  </r>
  <r>
    <s v="c27a2d4e"/>
    <x v="4"/>
    <x v="0"/>
    <n v="305.77999999999997"/>
    <n v="68"/>
    <x v="134"/>
    <x v="1"/>
    <x v="2"/>
    <x v="11"/>
    <x v="4"/>
  </r>
  <r>
    <s v="27e9ad29"/>
    <x v="8"/>
    <x v="9"/>
    <n v="534.80999999999995"/>
    <n v="51"/>
    <x v="135"/>
    <x v="0"/>
    <x v="1"/>
    <x v="11"/>
    <x v="2"/>
  </r>
  <r>
    <s v="ae2b64c4"/>
    <x v="7"/>
    <x v="1"/>
    <n v="1601.83"/>
    <n v="42"/>
    <x v="40"/>
    <x v="0"/>
    <x v="3"/>
    <x v="5"/>
    <x v="5"/>
  </r>
  <r>
    <s v="489f18e7"/>
    <x v="6"/>
    <x v="4"/>
    <n v="734.03"/>
    <n v="58"/>
    <x v="136"/>
    <x v="1"/>
    <x v="2"/>
    <x v="5"/>
    <x v="2"/>
  </r>
  <r>
    <s v="b05a9bfe"/>
    <x v="9"/>
    <x v="10"/>
    <n v="2272.7800000000002"/>
    <n v="61"/>
    <x v="137"/>
    <x v="0"/>
    <x v="0"/>
    <x v="2"/>
    <x v="4"/>
  </r>
  <r>
    <s v="e00822e3"/>
    <x v="3"/>
    <x v="6"/>
    <n v="2471.6"/>
    <n v="37"/>
    <x v="19"/>
    <x v="1"/>
    <x v="2"/>
    <x v="8"/>
    <x v="0"/>
  </r>
  <r>
    <s v="afe3e489"/>
    <x v="3"/>
    <x v="11"/>
    <n v="658.2"/>
    <n v="42"/>
    <x v="138"/>
    <x v="0"/>
    <x v="1"/>
    <x v="9"/>
    <x v="5"/>
  </r>
  <r>
    <s v="3fb562f6"/>
    <x v="5"/>
    <x v="3"/>
    <n v="1025.6099999999999"/>
    <n v="36"/>
    <x v="139"/>
    <x v="1"/>
    <x v="0"/>
    <x v="4"/>
    <x v="0"/>
  </r>
  <r>
    <s v="4a0e3203"/>
    <x v="5"/>
    <x v="11"/>
    <n v="218.63"/>
    <n v="61"/>
    <x v="140"/>
    <x v="1"/>
    <x v="2"/>
    <x v="11"/>
    <x v="4"/>
  </r>
  <r>
    <s v="880e018c"/>
    <x v="2"/>
    <x v="3"/>
    <n v="2044.44"/>
    <n v="32"/>
    <x v="141"/>
    <x v="0"/>
    <x v="2"/>
    <x v="8"/>
    <x v="0"/>
  </r>
  <r>
    <s v="a9f603c5"/>
    <x v="7"/>
    <x v="8"/>
    <n v="423.48"/>
    <n v="58"/>
    <x v="142"/>
    <x v="0"/>
    <x v="2"/>
    <x v="8"/>
    <x v="2"/>
  </r>
  <r>
    <s v="da7ac8f1"/>
    <x v="3"/>
    <x v="0"/>
    <n v="1533.02"/>
    <n v="64"/>
    <x v="143"/>
    <x v="0"/>
    <x v="2"/>
    <x v="9"/>
    <x v="4"/>
  </r>
  <r>
    <s v="7157dcee"/>
    <x v="8"/>
    <x v="7"/>
    <n v="1155.6600000000001"/>
    <n v="30"/>
    <x v="144"/>
    <x v="1"/>
    <x v="2"/>
    <x v="9"/>
    <x v="0"/>
  </r>
  <r>
    <s v="0cac58e0"/>
    <x v="7"/>
    <x v="11"/>
    <n v="2302.31"/>
    <n v="48"/>
    <x v="145"/>
    <x v="1"/>
    <x v="0"/>
    <x v="8"/>
    <x v="5"/>
  </r>
  <r>
    <s v="4eeb7c55"/>
    <x v="3"/>
    <x v="1"/>
    <n v="523.74"/>
    <n v="32"/>
    <x v="146"/>
    <x v="1"/>
    <x v="2"/>
    <x v="7"/>
    <x v="0"/>
  </r>
  <r>
    <s v="d0d24155"/>
    <x v="0"/>
    <x v="9"/>
    <n v="232.01"/>
    <n v="52"/>
    <x v="147"/>
    <x v="1"/>
    <x v="2"/>
    <x v="9"/>
    <x v="2"/>
  </r>
  <r>
    <s v="89692ab0"/>
    <x v="4"/>
    <x v="3"/>
    <n v="1076.3599999999999"/>
    <n v="58"/>
    <x v="148"/>
    <x v="0"/>
    <x v="1"/>
    <x v="1"/>
    <x v="2"/>
  </r>
  <r>
    <s v="71aeb23c"/>
    <x v="3"/>
    <x v="0"/>
    <n v="1624.96"/>
    <n v="53"/>
    <x v="82"/>
    <x v="0"/>
    <x v="0"/>
    <x v="4"/>
    <x v="2"/>
  </r>
  <r>
    <s v="c0badf2f"/>
    <x v="3"/>
    <x v="7"/>
    <n v="895.04"/>
    <n v="44"/>
    <x v="149"/>
    <x v="0"/>
    <x v="0"/>
    <x v="10"/>
    <x v="5"/>
  </r>
  <r>
    <s v="102197d1"/>
    <x v="9"/>
    <x v="11"/>
    <n v="2490.63"/>
    <n v="25"/>
    <x v="150"/>
    <x v="0"/>
    <x v="1"/>
    <x v="10"/>
    <x v="1"/>
  </r>
  <r>
    <s v="351e5d2f"/>
    <x v="5"/>
    <x v="10"/>
    <n v="1053.33"/>
    <n v="65"/>
    <x v="151"/>
    <x v="1"/>
    <x v="1"/>
    <x v="4"/>
    <x v="4"/>
  </r>
  <r>
    <s v="16ee11dd"/>
    <x v="5"/>
    <x v="8"/>
    <n v="427.75"/>
    <n v="49"/>
    <x v="152"/>
    <x v="1"/>
    <x v="2"/>
    <x v="5"/>
    <x v="5"/>
  </r>
  <r>
    <s v="a86ff3cc"/>
    <x v="9"/>
    <x v="7"/>
    <n v="1052.22"/>
    <n v="46"/>
    <x v="153"/>
    <x v="0"/>
    <x v="2"/>
    <x v="6"/>
    <x v="5"/>
  </r>
  <r>
    <s v="9bdb7291"/>
    <x v="0"/>
    <x v="8"/>
    <n v="1044.8699999999999"/>
    <n v="59"/>
    <x v="154"/>
    <x v="0"/>
    <x v="3"/>
    <x v="1"/>
    <x v="2"/>
  </r>
  <r>
    <s v="6e53a830"/>
    <x v="4"/>
    <x v="5"/>
    <n v="2426.88"/>
    <n v="70"/>
    <x v="35"/>
    <x v="0"/>
    <x v="1"/>
    <x v="10"/>
    <x v="6"/>
  </r>
  <r>
    <s v="6a9ec64b"/>
    <x v="6"/>
    <x v="0"/>
    <n v="316.33"/>
    <n v="39"/>
    <x v="155"/>
    <x v="0"/>
    <x v="1"/>
    <x v="5"/>
    <x v="0"/>
  </r>
  <r>
    <s v="1962006d"/>
    <x v="0"/>
    <x v="2"/>
    <n v="676.46"/>
    <n v="31"/>
    <x v="156"/>
    <x v="1"/>
    <x v="1"/>
    <x v="0"/>
    <x v="0"/>
  </r>
  <r>
    <s v="c45329bb"/>
    <x v="6"/>
    <x v="0"/>
    <n v="837.73"/>
    <n v="27"/>
    <x v="157"/>
    <x v="1"/>
    <x v="1"/>
    <x v="9"/>
    <x v="1"/>
  </r>
  <r>
    <s v="864a0be5"/>
    <x v="0"/>
    <x v="8"/>
    <n v="2192.83"/>
    <n v="26"/>
    <x v="158"/>
    <x v="1"/>
    <x v="1"/>
    <x v="1"/>
    <x v="1"/>
  </r>
  <r>
    <s v="16f714ae"/>
    <x v="6"/>
    <x v="6"/>
    <n v="236.3"/>
    <n v="34"/>
    <x v="83"/>
    <x v="0"/>
    <x v="3"/>
    <x v="11"/>
    <x v="0"/>
  </r>
  <r>
    <s v="bd3f7c9c"/>
    <x v="1"/>
    <x v="1"/>
    <n v="1915.03"/>
    <n v="48"/>
    <x v="159"/>
    <x v="1"/>
    <x v="0"/>
    <x v="10"/>
    <x v="5"/>
  </r>
  <r>
    <s v="8ed4ed4d"/>
    <x v="3"/>
    <x v="2"/>
    <n v="709.56"/>
    <n v="57"/>
    <x v="160"/>
    <x v="1"/>
    <x v="3"/>
    <x v="11"/>
    <x v="2"/>
  </r>
  <r>
    <s v="ffa4a53e"/>
    <x v="9"/>
    <x v="0"/>
    <n v="2496.75"/>
    <n v="43"/>
    <x v="161"/>
    <x v="0"/>
    <x v="3"/>
    <x v="6"/>
    <x v="5"/>
  </r>
  <r>
    <s v="debdc74a"/>
    <x v="3"/>
    <x v="1"/>
    <n v="2268.31"/>
    <n v="38"/>
    <x v="162"/>
    <x v="0"/>
    <x v="0"/>
    <x v="5"/>
    <x v="0"/>
  </r>
  <r>
    <s v="af28536f"/>
    <x v="7"/>
    <x v="11"/>
    <n v="1635.93"/>
    <n v="55"/>
    <x v="163"/>
    <x v="1"/>
    <x v="3"/>
    <x v="2"/>
    <x v="2"/>
  </r>
  <r>
    <s v="94f2cbbd"/>
    <x v="6"/>
    <x v="2"/>
    <n v="878.26"/>
    <n v="50"/>
    <x v="164"/>
    <x v="1"/>
    <x v="0"/>
    <x v="5"/>
    <x v="2"/>
  </r>
  <r>
    <s v="bb132574"/>
    <x v="0"/>
    <x v="8"/>
    <n v="1697.11"/>
    <n v="67"/>
    <x v="165"/>
    <x v="0"/>
    <x v="3"/>
    <x v="2"/>
    <x v="4"/>
  </r>
  <r>
    <s v="fc024cd6"/>
    <x v="3"/>
    <x v="5"/>
    <n v="1151.77"/>
    <n v="70"/>
    <x v="111"/>
    <x v="1"/>
    <x v="3"/>
    <x v="10"/>
    <x v="6"/>
  </r>
  <r>
    <s v="589dc7e2"/>
    <x v="0"/>
    <x v="6"/>
    <n v="1181.56"/>
    <n v="60"/>
    <x v="166"/>
    <x v="1"/>
    <x v="1"/>
    <x v="5"/>
    <x v="4"/>
  </r>
  <r>
    <s v="2b96a517"/>
    <x v="3"/>
    <x v="1"/>
    <n v="409.82"/>
    <n v="23"/>
    <x v="33"/>
    <x v="1"/>
    <x v="0"/>
    <x v="10"/>
    <x v="1"/>
  </r>
  <r>
    <s v="9f92a219"/>
    <x v="8"/>
    <x v="4"/>
    <n v="1479.65"/>
    <n v="55"/>
    <x v="167"/>
    <x v="1"/>
    <x v="0"/>
    <x v="2"/>
    <x v="2"/>
  </r>
  <r>
    <s v="f4879e98"/>
    <x v="5"/>
    <x v="6"/>
    <n v="2209.3000000000002"/>
    <n v="66"/>
    <x v="29"/>
    <x v="0"/>
    <x v="2"/>
    <x v="6"/>
    <x v="4"/>
  </r>
  <r>
    <s v="3645f979"/>
    <x v="6"/>
    <x v="11"/>
    <n v="1008.79"/>
    <n v="54"/>
    <x v="168"/>
    <x v="0"/>
    <x v="1"/>
    <x v="3"/>
    <x v="2"/>
  </r>
  <r>
    <s v="d8762c7d"/>
    <x v="3"/>
    <x v="5"/>
    <n v="2148.73"/>
    <n v="40"/>
    <x v="169"/>
    <x v="1"/>
    <x v="0"/>
    <x v="2"/>
    <x v="5"/>
  </r>
  <r>
    <s v="0c44d635"/>
    <x v="4"/>
    <x v="3"/>
    <n v="720.17"/>
    <n v="45"/>
    <x v="170"/>
    <x v="0"/>
    <x v="2"/>
    <x v="2"/>
    <x v="5"/>
  </r>
  <r>
    <s v="8891ab60"/>
    <x v="9"/>
    <x v="4"/>
    <n v="828.52"/>
    <n v="66"/>
    <x v="171"/>
    <x v="1"/>
    <x v="2"/>
    <x v="7"/>
    <x v="4"/>
  </r>
  <r>
    <s v="75cb780e"/>
    <x v="9"/>
    <x v="4"/>
    <n v="2200.6799999999998"/>
    <n v="54"/>
    <x v="172"/>
    <x v="1"/>
    <x v="0"/>
    <x v="7"/>
    <x v="2"/>
  </r>
  <r>
    <s v="359f61fb"/>
    <x v="7"/>
    <x v="7"/>
    <n v="1656.3"/>
    <n v="19"/>
    <x v="173"/>
    <x v="0"/>
    <x v="3"/>
    <x v="10"/>
    <x v="3"/>
  </r>
  <r>
    <s v="cfa5e61b"/>
    <x v="5"/>
    <x v="10"/>
    <n v="984.06"/>
    <n v="41"/>
    <x v="174"/>
    <x v="1"/>
    <x v="0"/>
    <x v="7"/>
    <x v="5"/>
  </r>
  <r>
    <s v="96d27f19"/>
    <x v="9"/>
    <x v="4"/>
    <n v="562.04"/>
    <n v="57"/>
    <x v="140"/>
    <x v="0"/>
    <x v="2"/>
    <x v="11"/>
    <x v="2"/>
  </r>
  <r>
    <s v="fd56180c"/>
    <x v="3"/>
    <x v="8"/>
    <n v="1175.23"/>
    <n v="56"/>
    <x v="49"/>
    <x v="1"/>
    <x v="2"/>
    <x v="6"/>
    <x v="2"/>
  </r>
  <r>
    <s v="150473d2"/>
    <x v="2"/>
    <x v="2"/>
    <n v="461.78"/>
    <n v="45"/>
    <x v="175"/>
    <x v="1"/>
    <x v="3"/>
    <x v="10"/>
    <x v="5"/>
  </r>
  <r>
    <s v="f70c78f6"/>
    <x v="1"/>
    <x v="8"/>
    <n v="909.36"/>
    <n v="32"/>
    <x v="176"/>
    <x v="0"/>
    <x v="0"/>
    <x v="11"/>
    <x v="0"/>
  </r>
  <r>
    <s v="a350d3c7"/>
    <x v="2"/>
    <x v="11"/>
    <n v="2374.25"/>
    <n v="67"/>
    <x v="177"/>
    <x v="1"/>
    <x v="2"/>
    <x v="9"/>
    <x v="4"/>
  </r>
  <r>
    <s v="97de2000"/>
    <x v="8"/>
    <x v="1"/>
    <n v="217.78"/>
    <n v="65"/>
    <x v="178"/>
    <x v="0"/>
    <x v="1"/>
    <x v="6"/>
    <x v="4"/>
  </r>
  <r>
    <s v="4be19698"/>
    <x v="5"/>
    <x v="2"/>
    <n v="1818.44"/>
    <n v="50"/>
    <x v="179"/>
    <x v="1"/>
    <x v="0"/>
    <x v="2"/>
    <x v="2"/>
  </r>
  <r>
    <s v="2c6372ec"/>
    <x v="5"/>
    <x v="7"/>
    <n v="297.3"/>
    <n v="19"/>
    <x v="89"/>
    <x v="0"/>
    <x v="2"/>
    <x v="10"/>
    <x v="3"/>
  </r>
  <r>
    <s v="3d843e93"/>
    <x v="6"/>
    <x v="9"/>
    <n v="1518.82"/>
    <n v="63"/>
    <x v="180"/>
    <x v="1"/>
    <x v="2"/>
    <x v="8"/>
    <x v="4"/>
  </r>
  <r>
    <s v="028afc5f"/>
    <x v="0"/>
    <x v="9"/>
    <n v="247.97"/>
    <n v="38"/>
    <x v="181"/>
    <x v="1"/>
    <x v="2"/>
    <x v="3"/>
    <x v="0"/>
  </r>
  <r>
    <s v="a82f5d1c"/>
    <x v="0"/>
    <x v="9"/>
    <n v="2142.31"/>
    <n v="33"/>
    <x v="61"/>
    <x v="1"/>
    <x v="0"/>
    <x v="6"/>
    <x v="0"/>
  </r>
  <r>
    <s v="aa34ae78"/>
    <x v="5"/>
    <x v="11"/>
    <n v="1915.35"/>
    <n v="32"/>
    <x v="182"/>
    <x v="0"/>
    <x v="0"/>
    <x v="4"/>
    <x v="0"/>
  </r>
  <r>
    <s v="6a8536e8"/>
    <x v="1"/>
    <x v="8"/>
    <n v="462.26"/>
    <n v="50"/>
    <x v="183"/>
    <x v="1"/>
    <x v="2"/>
    <x v="2"/>
    <x v="2"/>
  </r>
  <r>
    <s v="3da7416d"/>
    <x v="7"/>
    <x v="5"/>
    <n v="436.45"/>
    <n v="34"/>
    <x v="112"/>
    <x v="0"/>
    <x v="1"/>
    <x v="2"/>
    <x v="0"/>
  </r>
  <r>
    <s v="f173db91"/>
    <x v="0"/>
    <x v="4"/>
    <n v="2387.9699999999998"/>
    <n v="58"/>
    <x v="184"/>
    <x v="1"/>
    <x v="3"/>
    <x v="9"/>
    <x v="2"/>
  </r>
  <r>
    <s v="4a4e9124"/>
    <x v="6"/>
    <x v="8"/>
    <n v="1661.19"/>
    <n v="57"/>
    <x v="116"/>
    <x v="1"/>
    <x v="1"/>
    <x v="7"/>
    <x v="2"/>
  </r>
  <r>
    <s v="f054086e"/>
    <x v="3"/>
    <x v="1"/>
    <n v="1278.52"/>
    <n v="58"/>
    <x v="185"/>
    <x v="1"/>
    <x v="0"/>
    <x v="7"/>
    <x v="2"/>
  </r>
  <r>
    <s v="d92682ad"/>
    <x v="8"/>
    <x v="2"/>
    <n v="370.64"/>
    <n v="47"/>
    <x v="186"/>
    <x v="0"/>
    <x v="0"/>
    <x v="10"/>
    <x v="5"/>
  </r>
  <r>
    <s v="6cf3c263"/>
    <x v="8"/>
    <x v="11"/>
    <n v="376.48"/>
    <n v="23"/>
    <x v="187"/>
    <x v="1"/>
    <x v="3"/>
    <x v="5"/>
    <x v="1"/>
  </r>
  <r>
    <s v="7b35a559"/>
    <x v="6"/>
    <x v="2"/>
    <n v="2394.73"/>
    <n v="65"/>
    <x v="51"/>
    <x v="1"/>
    <x v="1"/>
    <x v="11"/>
    <x v="4"/>
  </r>
  <r>
    <s v="bdd55781"/>
    <x v="8"/>
    <x v="3"/>
    <n v="1293.95"/>
    <n v="27"/>
    <x v="76"/>
    <x v="1"/>
    <x v="0"/>
    <x v="6"/>
    <x v="1"/>
  </r>
  <r>
    <s v="5f66145c"/>
    <x v="8"/>
    <x v="7"/>
    <n v="393.96"/>
    <n v="59"/>
    <x v="188"/>
    <x v="0"/>
    <x v="1"/>
    <x v="3"/>
    <x v="2"/>
  </r>
  <r>
    <s v="27534cac"/>
    <x v="3"/>
    <x v="10"/>
    <n v="1405.36"/>
    <n v="57"/>
    <x v="189"/>
    <x v="1"/>
    <x v="2"/>
    <x v="3"/>
    <x v="2"/>
  </r>
  <r>
    <s v="a6ae7e2b"/>
    <x v="4"/>
    <x v="9"/>
    <n v="1140.17"/>
    <n v="39"/>
    <x v="58"/>
    <x v="0"/>
    <x v="2"/>
    <x v="7"/>
    <x v="0"/>
  </r>
  <r>
    <s v="1dacc17c"/>
    <x v="0"/>
    <x v="6"/>
    <n v="417.36"/>
    <n v="61"/>
    <x v="190"/>
    <x v="1"/>
    <x v="2"/>
    <x v="1"/>
    <x v="4"/>
  </r>
  <r>
    <s v="fdca0064"/>
    <x v="6"/>
    <x v="4"/>
    <n v="966.73"/>
    <n v="55"/>
    <x v="97"/>
    <x v="0"/>
    <x v="2"/>
    <x v="7"/>
    <x v="2"/>
  </r>
  <r>
    <s v="03a1a9e9"/>
    <x v="1"/>
    <x v="9"/>
    <n v="1680.03"/>
    <n v="39"/>
    <x v="191"/>
    <x v="0"/>
    <x v="3"/>
    <x v="9"/>
    <x v="0"/>
  </r>
  <r>
    <s v="96bcadda"/>
    <x v="1"/>
    <x v="6"/>
    <n v="241.93"/>
    <n v="37"/>
    <x v="192"/>
    <x v="0"/>
    <x v="2"/>
    <x v="2"/>
    <x v="0"/>
  </r>
  <r>
    <s v="dabc9632"/>
    <x v="3"/>
    <x v="5"/>
    <n v="721.05"/>
    <n v="26"/>
    <x v="53"/>
    <x v="0"/>
    <x v="2"/>
    <x v="3"/>
    <x v="1"/>
  </r>
  <r>
    <s v="ebddb904"/>
    <x v="0"/>
    <x v="2"/>
    <n v="1973.01"/>
    <n v="65"/>
    <x v="193"/>
    <x v="0"/>
    <x v="2"/>
    <x v="3"/>
    <x v="4"/>
  </r>
  <r>
    <s v="33bae404"/>
    <x v="6"/>
    <x v="4"/>
    <n v="1573.67"/>
    <n v="27"/>
    <x v="194"/>
    <x v="0"/>
    <x v="1"/>
    <x v="3"/>
    <x v="1"/>
  </r>
  <r>
    <s v="8d286ba3"/>
    <x v="3"/>
    <x v="0"/>
    <n v="1144.97"/>
    <n v="61"/>
    <x v="195"/>
    <x v="1"/>
    <x v="2"/>
    <x v="5"/>
    <x v="4"/>
  </r>
  <r>
    <s v="147624f6"/>
    <x v="6"/>
    <x v="10"/>
    <n v="1261.8599999999999"/>
    <n v="36"/>
    <x v="55"/>
    <x v="1"/>
    <x v="1"/>
    <x v="1"/>
    <x v="0"/>
  </r>
  <r>
    <s v="f5053c3b"/>
    <x v="2"/>
    <x v="3"/>
    <n v="518.32000000000005"/>
    <n v="34"/>
    <x v="83"/>
    <x v="1"/>
    <x v="2"/>
    <x v="11"/>
    <x v="0"/>
  </r>
  <r>
    <s v="e07d3d62"/>
    <x v="1"/>
    <x v="1"/>
    <n v="1836.22"/>
    <n v="51"/>
    <x v="196"/>
    <x v="1"/>
    <x v="0"/>
    <x v="9"/>
    <x v="2"/>
  </r>
  <r>
    <s v="a903085b"/>
    <x v="7"/>
    <x v="11"/>
    <n v="1233.43"/>
    <n v="50"/>
    <x v="197"/>
    <x v="1"/>
    <x v="0"/>
    <x v="9"/>
    <x v="2"/>
  </r>
  <r>
    <s v="55a32ff1"/>
    <x v="2"/>
    <x v="10"/>
    <n v="2234.65"/>
    <n v="19"/>
    <x v="198"/>
    <x v="0"/>
    <x v="3"/>
    <x v="11"/>
    <x v="3"/>
  </r>
  <r>
    <s v="34cc65d9"/>
    <x v="1"/>
    <x v="6"/>
    <n v="742.29"/>
    <n v="23"/>
    <x v="199"/>
    <x v="0"/>
    <x v="0"/>
    <x v="1"/>
    <x v="1"/>
  </r>
  <r>
    <s v="0ae7065b"/>
    <x v="8"/>
    <x v="1"/>
    <n v="2130.11"/>
    <n v="59"/>
    <x v="200"/>
    <x v="0"/>
    <x v="1"/>
    <x v="4"/>
    <x v="2"/>
  </r>
  <r>
    <s v="3f42e383"/>
    <x v="9"/>
    <x v="11"/>
    <n v="2310.0100000000002"/>
    <n v="48"/>
    <x v="201"/>
    <x v="0"/>
    <x v="3"/>
    <x v="4"/>
    <x v="5"/>
  </r>
  <r>
    <s v="55eebf5f"/>
    <x v="3"/>
    <x v="3"/>
    <n v="212.08"/>
    <n v="23"/>
    <x v="202"/>
    <x v="1"/>
    <x v="1"/>
    <x v="1"/>
    <x v="1"/>
  </r>
  <r>
    <s v="ee44ed35"/>
    <x v="7"/>
    <x v="2"/>
    <n v="2362.52"/>
    <n v="56"/>
    <x v="203"/>
    <x v="1"/>
    <x v="0"/>
    <x v="3"/>
    <x v="2"/>
  </r>
  <r>
    <s v="329daaa9"/>
    <x v="4"/>
    <x v="5"/>
    <n v="892.65"/>
    <n v="21"/>
    <x v="204"/>
    <x v="1"/>
    <x v="3"/>
    <x v="5"/>
    <x v="1"/>
  </r>
  <r>
    <s v="1c612580"/>
    <x v="0"/>
    <x v="1"/>
    <n v="2124.38"/>
    <n v="49"/>
    <x v="205"/>
    <x v="0"/>
    <x v="1"/>
    <x v="5"/>
    <x v="5"/>
  </r>
  <r>
    <s v="42a7c110"/>
    <x v="7"/>
    <x v="11"/>
    <n v="1187.25"/>
    <n v="57"/>
    <x v="206"/>
    <x v="0"/>
    <x v="3"/>
    <x v="4"/>
    <x v="2"/>
  </r>
  <r>
    <s v="8499adf1"/>
    <x v="7"/>
    <x v="8"/>
    <n v="1736.89"/>
    <n v="51"/>
    <x v="207"/>
    <x v="0"/>
    <x v="0"/>
    <x v="1"/>
    <x v="2"/>
  </r>
  <r>
    <s v="3701c0c2"/>
    <x v="5"/>
    <x v="10"/>
    <n v="300.13"/>
    <n v="42"/>
    <x v="208"/>
    <x v="1"/>
    <x v="0"/>
    <x v="1"/>
    <x v="5"/>
  </r>
  <r>
    <s v="685aa126"/>
    <x v="8"/>
    <x v="1"/>
    <n v="993.05"/>
    <n v="64"/>
    <x v="209"/>
    <x v="0"/>
    <x v="2"/>
    <x v="7"/>
    <x v="4"/>
  </r>
  <r>
    <s v="31edbacc"/>
    <x v="7"/>
    <x v="0"/>
    <n v="1010.29"/>
    <n v="39"/>
    <x v="81"/>
    <x v="0"/>
    <x v="3"/>
    <x v="8"/>
    <x v="0"/>
  </r>
  <r>
    <s v="cd6c5f62"/>
    <x v="3"/>
    <x v="8"/>
    <n v="619.24"/>
    <n v="26"/>
    <x v="210"/>
    <x v="1"/>
    <x v="0"/>
    <x v="6"/>
    <x v="1"/>
  </r>
  <r>
    <s v="6da8f489"/>
    <x v="4"/>
    <x v="5"/>
    <n v="300.75"/>
    <n v="30"/>
    <x v="51"/>
    <x v="1"/>
    <x v="2"/>
    <x v="11"/>
    <x v="0"/>
  </r>
  <r>
    <s v="99ec03fc"/>
    <x v="1"/>
    <x v="9"/>
    <n v="2474.98"/>
    <n v="52"/>
    <x v="28"/>
    <x v="1"/>
    <x v="0"/>
    <x v="10"/>
    <x v="2"/>
  </r>
  <r>
    <s v="73caef41"/>
    <x v="2"/>
    <x v="11"/>
    <n v="1021.04"/>
    <n v="67"/>
    <x v="211"/>
    <x v="1"/>
    <x v="2"/>
    <x v="11"/>
    <x v="4"/>
  </r>
  <r>
    <s v="a563d2c5"/>
    <x v="0"/>
    <x v="6"/>
    <n v="1204.99"/>
    <n v="43"/>
    <x v="73"/>
    <x v="1"/>
    <x v="2"/>
    <x v="6"/>
    <x v="5"/>
  </r>
  <r>
    <s v="1cdb0e0b"/>
    <x v="7"/>
    <x v="10"/>
    <n v="1791.76"/>
    <n v="41"/>
    <x v="212"/>
    <x v="1"/>
    <x v="0"/>
    <x v="3"/>
    <x v="5"/>
  </r>
  <r>
    <s v="f44e71e3"/>
    <x v="5"/>
    <x v="1"/>
    <n v="1190.4000000000001"/>
    <n v="70"/>
    <x v="192"/>
    <x v="1"/>
    <x v="2"/>
    <x v="2"/>
    <x v="6"/>
  </r>
  <r>
    <s v="dfd529e1"/>
    <x v="0"/>
    <x v="1"/>
    <n v="954.22"/>
    <n v="36"/>
    <x v="213"/>
    <x v="1"/>
    <x v="3"/>
    <x v="7"/>
    <x v="0"/>
  </r>
  <r>
    <s v="099eb853"/>
    <x v="7"/>
    <x v="7"/>
    <n v="1220.99"/>
    <n v="46"/>
    <x v="214"/>
    <x v="1"/>
    <x v="3"/>
    <x v="11"/>
    <x v="5"/>
  </r>
  <r>
    <s v="9ab72ce0"/>
    <x v="4"/>
    <x v="8"/>
    <n v="2454.06"/>
    <n v="21"/>
    <x v="215"/>
    <x v="1"/>
    <x v="2"/>
    <x v="6"/>
    <x v="1"/>
  </r>
  <r>
    <s v="416ff42a"/>
    <x v="1"/>
    <x v="7"/>
    <n v="1762.64"/>
    <n v="19"/>
    <x v="216"/>
    <x v="1"/>
    <x v="0"/>
    <x v="9"/>
    <x v="3"/>
  </r>
  <r>
    <s v="6d4adf42"/>
    <x v="7"/>
    <x v="1"/>
    <n v="742.79"/>
    <n v="59"/>
    <x v="217"/>
    <x v="1"/>
    <x v="3"/>
    <x v="1"/>
    <x v="2"/>
  </r>
  <r>
    <s v="c934f6e0"/>
    <x v="6"/>
    <x v="0"/>
    <n v="1591.72"/>
    <n v="61"/>
    <x v="218"/>
    <x v="1"/>
    <x v="2"/>
    <x v="10"/>
    <x v="4"/>
  </r>
  <r>
    <s v="cc307b4f"/>
    <x v="3"/>
    <x v="1"/>
    <n v="1520.02"/>
    <n v="51"/>
    <x v="217"/>
    <x v="1"/>
    <x v="2"/>
    <x v="1"/>
    <x v="2"/>
  </r>
  <r>
    <s v="2d0abed4"/>
    <x v="4"/>
    <x v="5"/>
    <n v="2409.1999999999998"/>
    <n v="19"/>
    <x v="219"/>
    <x v="1"/>
    <x v="3"/>
    <x v="2"/>
    <x v="3"/>
  </r>
  <r>
    <s v="f3fb444c"/>
    <x v="1"/>
    <x v="1"/>
    <n v="802.09"/>
    <n v="34"/>
    <x v="44"/>
    <x v="1"/>
    <x v="1"/>
    <x v="4"/>
    <x v="0"/>
  </r>
  <r>
    <s v="bd9d86a4"/>
    <x v="6"/>
    <x v="11"/>
    <n v="1796.16"/>
    <n v="49"/>
    <x v="220"/>
    <x v="0"/>
    <x v="1"/>
    <x v="2"/>
    <x v="5"/>
  </r>
  <r>
    <s v="9be89748"/>
    <x v="0"/>
    <x v="10"/>
    <n v="597.11"/>
    <n v="63"/>
    <x v="153"/>
    <x v="0"/>
    <x v="2"/>
    <x v="6"/>
    <x v="4"/>
  </r>
  <r>
    <s v="96b81e4e"/>
    <x v="8"/>
    <x v="7"/>
    <n v="349.36"/>
    <n v="52"/>
    <x v="221"/>
    <x v="1"/>
    <x v="1"/>
    <x v="8"/>
    <x v="2"/>
  </r>
  <r>
    <s v="6c89bec3"/>
    <x v="7"/>
    <x v="6"/>
    <n v="1370.14"/>
    <n v="25"/>
    <x v="24"/>
    <x v="0"/>
    <x v="1"/>
    <x v="2"/>
    <x v="1"/>
  </r>
  <r>
    <s v="55fba74f"/>
    <x v="3"/>
    <x v="0"/>
    <n v="1030.06"/>
    <n v="54"/>
    <x v="222"/>
    <x v="1"/>
    <x v="1"/>
    <x v="1"/>
    <x v="2"/>
  </r>
  <r>
    <s v="7b302cad"/>
    <x v="6"/>
    <x v="1"/>
    <n v="351.22"/>
    <n v="43"/>
    <x v="103"/>
    <x v="1"/>
    <x v="3"/>
    <x v="9"/>
    <x v="5"/>
  </r>
  <r>
    <s v="8038587a"/>
    <x v="6"/>
    <x v="1"/>
    <n v="488.25"/>
    <n v="38"/>
    <x v="223"/>
    <x v="0"/>
    <x v="3"/>
    <x v="8"/>
    <x v="0"/>
  </r>
  <r>
    <s v="a53f3040"/>
    <x v="3"/>
    <x v="8"/>
    <n v="1389.93"/>
    <n v="26"/>
    <x v="165"/>
    <x v="0"/>
    <x v="1"/>
    <x v="2"/>
    <x v="1"/>
  </r>
  <r>
    <s v="737e325c"/>
    <x v="5"/>
    <x v="2"/>
    <n v="2294.64"/>
    <n v="21"/>
    <x v="196"/>
    <x v="0"/>
    <x v="2"/>
    <x v="9"/>
    <x v="1"/>
  </r>
  <r>
    <s v="097a44f5"/>
    <x v="7"/>
    <x v="4"/>
    <n v="942.12"/>
    <n v="63"/>
    <x v="125"/>
    <x v="1"/>
    <x v="2"/>
    <x v="0"/>
    <x v="4"/>
  </r>
  <r>
    <s v="3de28127"/>
    <x v="0"/>
    <x v="11"/>
    <n v="651.49"/>
    <n v="53"/>
    <x v="224"/>
    <x v="0"/>
    <x v="2"/>
    <x v="8"/>
    <x v="2"/>
  </r>
  <r>
    <s v="5ebb70ab"/>
    <x v="6"/>
    <x v="2"/>
    <n v="414.89"/>
    <n v="59"/>
    <x v="225"/>
    <x v="0"/>
    <x v="1"/>
    <x v="3"/>
    <x v="2"/>
  </r>
  <r>
    <s v="dfe7faf9"/>
    <x v="6"/>
    <x v="7"/>
    <n v="2274.6"/>
    <n v="39"/>
    <x v="226"/>
    <x v="0"/>
    <x v="0"/>
    <x v="2"/>
    <x v="0"/>
  </r>
  <r>
    <s v="986a48e2"/>
    <x v="0"/>
    <x v="0"/>
    <n v="2381.66"/>
    <n v="67"/>
    <x v="227"/>
    <x v="1"/>
    <x v="1"/>
    <x v="0"/>
    <x v="4"/>
  </r>
  <r>
    <s v="4099cfb2"/>
    <x v="6"/>
    <x v="9"/>
    <n v="1621.65"/>
    <n v="19"/>
    <x v="228"/>
    <x v="1"/>
    <x v="2"/>
    <x v="9"/>
    <x v="3"/>
  </r>
  <r>
    <s v="0a886685"/>
    <x v="3"/>
    <x v="5"/>
    <n v="2050.7800000000002"/>
    <n v="61"/>
    <x v="229"/>
    <x v="1"/>
    <x v="3"/>
    <x v="11"/>
    <x v="4"/>
  </r>
  <r>
    <s v="6448d719"/>
    <x v="0"/>
    <x v="7"/>
    <n v="337.8"/>
    <n v="46"/>
    <x v="230"/>
    <x v="1"/>
    <x v="3"/>
    <x v="6"/>
    <x v="5"/>
  </r>
  <r>
    <s v="21efef56"/>
    <x v="7"/>
    <x v="6"/>
    <n v="1384.45"/>
    <n v="24"/>
    <x v="231"/>
    <x v="0"/>
    <x v="3"/>
    <x v="7"/>
    <x v="1"/>
  </r>
  <r>
    <s v="5bf3a078"/>
    <x v="0"/>
    <x v="11"/>
    <n v="1234.07"/>
    <n v="27"/>
    <x v="150"/>
    <x v="0"/>
    <x v="2"/>
    <x v="10"/>
    <x v="1"/>
  </r>
  <r>
    <s v="9739362b"/>
    <x v="7"/>
    <x v="10"/>
    <n v="2490.73"/>
    <n v="47"/>
    <x v="232"/>
    <x v="1"/>
    <x v="3"/>
    <x v="9"/>
    <x v="5"/>
  </r>
  <r>
    <s v="27daecb0"/>
    <x v="9"/>
    <x v="1"/>
    <n v="2374.04"/>
    <n v="50"/>
    <x v="233"/>
    <x v="0"/>
    <x v="1"/>
    <x v="10"/>
    <x v="2"/>
  </r>
  <r>
    <s v="16e03b2f"/>
    <x v="6"/>
    <x v="6"/>
    <n v="311.91000000000003"/>
    <n v="36"/>
    <x v="234"/>
    <x v="1"/>
    <x v="2"/>
    <x v="9"/>
    <x v="0"/>
  </r>
  <r>
    <s v="dc6fb413"/>
    <x v="1"/>
    <x v="0"/>
    <n v="2148.5"/>
    <n v="45"/>
    <x v="45"/>
    <x v="1"/>
    <x v="2"/>
    <x v="9"/>
    <x v="5"/>
  </r>
  <r>
    <s v="5602e1f6"/>
    <x v="5"/>
    <x v="6"/>
    <n v="304.06"/>
    <n v="21"/>
    <x v="235"/>
    <x v="0"/>
    <x v="2"/>
    <x v="0"/>
    <x v="1"/>
  </r>
  <r>
    <s v="bf47cc8b"/>
    <x v="1"/>
    <x v="11"/>
    <n v="369.12"/>
    <n v="50"/>
    <x v="236"/>
    <x v="1"/>
    <x v="0"/>
    <x v="10"/>
    <x v="2"/>
  </r>
  <r>
    <s v="90db284c"/>
    <x v="7"/>
    <x v="1"/>
    <n v="1105.98"/>
    <n v="68"/>
    <x v="237"/>
    <x v="1"/>
    <x v="1"/>
    <x v="4"/>
    <x v="4"/>
  </r>
  <r>
    <s v="9206ff81"/>
    <x v="2"/>
    <x v="3"/>
    <n v="1370.98"/>
    <n v="50"/>
    <x v="238"/>
    <x v="0"/>
    <x v="0"/>
    <x v="11"/>
    <x v="2"/>
  </r>
  <r>
    <s v="da8bdcae"/>
    <x v="7"/>
    <x v="7"/>
    <n v="965.99"/>
    <n v="48"/>
    <x v="212"/>
    <x v="1"/>
    <x v="1"/>
    <x v="3"/>
    <x v="5"/>
  </r>
  <r>
    <s v="219bc081"/>
    <x v="6"/>
    <x v="2"/>
    <n v="521.5"/>
    <n v="57"/>
    <x v="231"/>
    <x v="0"/>
    <x v="3"/>
    <x v="7"/>
    <x v="2"/>
  </r>
  <r>
    <s v="219f202b"/>
    <x v="6"/>
    <x v="7"/>
    <n v="2137.98"/>
    <n v="55"/>
    <x v="4"/>
    <x v="1"/>
    <x v="2"/>
    <x v="4"/>
    <x v="2"/>
  </r>
  <r>
    <s v="5415d25a"/>
    <x v="3"/>
    <x v="0"/>
    <n v="1047.22"/>
    <n v="61"/>
    <x v="15"/>
    <x v="1"/>
    <x v="2"/>
    <x v="10"/>
    <x v="4"/>
  </r>
  <r>
    <s v="82ad343d"/>
    <x v="9"/>
    <x v="3"/>
    <n v="1291.56"/>
    <n v="59"/>
    <x v="239"/>
    <x v="0"/>
    <x v="0"/>
    <x v="0"/>
    <x v="2"/>
  </r>
  <r>
    <s v="596e8cfa"/>
    <x v="6"/>
    <x v="10"/>
    <n v="592.17999999999995"/>
    <n v="58"/>
    <x v="40"/>
    <x v="1"/>
    <x v="1"/>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5141AB-70C2-4113-8530-57DE047EE101}" name="PivotTable9"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
  <location ref="L24:O36" firstHeaderRow="1" firstDataRow="2" firstDataCol="1"/>
  <pivotFields count="10">
    <pivotField dataField="1" showAll="0"/>
    <pivotField axis="axisRow" showAll="0">
      <items count="11">
        <item x="3"/>
        <item x="2"/>
        <item x="6"/>
        <item x="8"/>
        <item x="9"/>
        <item x="7"/>
        <item x="0"/>
        <item x="4"/>
        <item x="5"/>
        <item x="1"/>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Col" showAll="0">
      <items count="3">
        <item x="0"/>
        <item x="1"/>
        <item t="default"/>
      </items>
    </pivotField>
    <pivotField showAll="0" sortType="ascending"/>
    <pivotField showAll="0"/>
    <pivotField showAll="0"/>
  </pivotFields>
  <rowFields count="1">
    <field x="1"/>
  </rowFields>
  <rowItems count="11">
    <i>
      <x/>
    </i>
    <i>
      <x v="1"/>
    </i>
    <i>
      <x v="2"/>
    </i>
    <i>
      <x v="3"/>
    </i>
    <i>
      <x v="4"/>
    </i>
    <i>
      <x v="5"/>
    </i>
    <i>
      <x v="6"/>
    </i>
    <i>
      <x v="7"/>
    </i>
    <i>
      <x v="8"/>
    </i>
    <i>
      <x v="9"/>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F2FC2-0252-4E8B-9101-E13EEFAA4D05}" name="PivotTable6"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L47:M58" firstHeaderRow="1" firstDataRow="1" firstDataCol="1"/>
  <pivotFields count="10">
    <pivotField showAll="0"/>
    <pivotField axis="axisRow" showAll="0" sortType="ascending">
      <items count="11">
        <item x="3"/>
        <item x="2"/>
        <item x="6"/>
        <item x="8"/>
        <item x="9"/>
        <item x="7"/>
        <item x="0"/>
        <item x="4"/>
        <item x="5"/>
        <item x="1"/>
        <item t="default"/>
      </items>
      <autoSortScope>
        <pivotArea dataOnly="0" outline="0" fieldPosition="0">
          <references count="1">
            <reference field="4294967294" count="1" selected="0">
              <x v="0"/>
            </reference>
          </references>
        </pivotArea>
      </autoSortScope>
    </pivotField>
    <pivotField showAll="0">
      <items count="13">
        <item x="0"/>
        <item x="1"/>
        <item x="4"/>
        <item x="5"/>
        <item x="11"/>
        <item x="6"/>
        <item x="9"/>
        <item x="10"/>
        <item x="2"/>
        <item x="3"/>
        <item x="8"/>
        <item x="7"/>
        <item t="default"/>
      </items>
    </pivotField>
    <pivotField dataField="1" numFmtId="164" showAll="0"/>
    <pivotField numFmtId="1" showAll="0"/>
    <pivotField numFmtId="14" showAll="0"/>
    <pivotField showAll="0">
      <items count="3">
        <item x="0"/>
        <item x="1"/>
        <item t="default"/>
      </items>
    </pivotField>
    <pivotField showAll="0" sortType="ascending"/>
    <pivotField showAll="0"/>
    <pivotField showAll="0"/>
  </pivotFields>
  <rowFields count="1">
    <field x="1"/>
  </rowFields>
  <rowItems count="11">
    <i>
      <x v="3"/>
    </i>
    <i>
      <x v="8"/>
    </i>
    <i>
      <x/>
    </i>
    <i>
      <x v="2"/>
    </i>
    <i>
      <x v="7"/>
    </i>
    <i>
      <x v="6"/>
    </i>
    <i>
      <x v="9"/>
    </i>
    <i>
      <x v="5"/>
    </i>
    <i>
      <x v="1"/>
    </i>
    <i>
      <x v="4"/>
    </i>
    <i t="grand">
      <x/>
    </i>
  </rowItems>
  <colItems count="1">
    <i/>
  </colItems>
  <dataFields count="1">
    <dataField name="Average of Price_USD" fld="3" subtotal="average" baseField="1"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3EB514-BB7B-44F5-988A-CDA3F3D94980}" name="PivotTable16"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2">
  <location ref="B72:C75" firstHeaderRow="1" firstDataRow="1"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Row" showAll="0">
      <items count="3">
        <item x="0"/>
        <item x="1"/>
        <item t="default"/>
      </items>
    </pivotField>
    <pivotField showAll="0" sortType="ascending"/>
    <pivotField showAll="0"/>
    <pivotField showAll="0"/>
  </pivotFields>
  <rowFields count="1">
    <field x="6"/>
  </rowFields>
  <rowItems count="3">
    <i>
      <x/>
    </i>
    <i>
      <x v="1"/>
    </i>
    <i t="grand">
      <x/>
    </i>
  </rowItems>
  <colItems count="1">
    <i/>
  </colItems>
  <dataFields count="1">
    <dataField name="Count of Booking_ID" fld="0" subtotal="count" baseField="0" baseItem="0"/>
  </dataFields>
  <chartFormats count="4">
    <chartFormat chart="2"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6" count="1" selected="0">
            <x v="0"/>
          </reference>
        </references>
      </pivotArea>
    </chartFormat>
    <chartFormat chart="10"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5CC0F1-F946-4599-8565-A16AA6F89E4E}" name="PivotTable5"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2">
  <location ref="G47:H58" firstHeaderRow="1" firstDataRow="1" firstDataCol="1"/>
  <pivotFields count="10">
    <pivotField showAll="0"/>
    <pivotField axis="axisRow" showAll="0" sortType="descending">
      <items count="11">
        <item x="3"/>
        <item x="2"/>
        <item x="6"/>
        <item x="8"/>
        <item x="9"/>
        <item x="7"/>
        <item x="0"/>
        <item x="4"/>
        <item x="5"/>
        <item x="1"/>
        <item t="default"/>
      </items>
      <autoSortScope>
        <pivotArea dataOnly="0" outline="0" fieldPosition="0">
          <references count="1">
            <reference field="4294967294" count="1" selected="0">
              <x v="0"/>
            </reference>
          </references>
        </pivotArea>
      </autoSortScope>
    </pivotField>
    <pivotField showAll="0">
      <items count="13">
        <item x="0"/>
        <item x="1"/>
        <item x="4"/>
        <item x="5"/>
        <item x="11"/>
        <item x="6"/>
        <item x="9"/>
        <item x="10"/>
        <item x="2"/>
        <item x="3"/>
        <item x="8"/>
        <item x="7"/>
        <item t="default"/>
      </items>
    </pivotField>
    <pivotField dataField="1" numFmtId="164" showAll="0"/>
    <pivotField numFmtId="1" showAll="0"/>
    <pivotField numFmtId="14" showAll="0"/>
    <pivotField showAll="0">
      <items count="3">
        <item x="0"/>
        <item x="1"/>
        <item t="default"/>
      </items>
    </pivotField>
    <pivotField showAll="0" sortType="ascending"/>
    <pivotField showAll="0"/>
    <pivotField showAll="0"/>
  </pivotFields>
  <rowFields count="1">
    <field x="1"/>
  </rowFields>
  <rowItems count="11">
    <i>
      <x v="6"/>
    </i>
    <i>
      <x v="5"/>
    </i>
    <i>
      <x v="2"/>
    </i>
    <i>
      <x v="9"/>
    </i>
    <i>
      <x/>
    </i>
    <i>
      <x v="1"/>
    </i>
    <i>
      <x v="4"/>
    </i>
    <i>
      <x v="8"/>
    </i>
    <i>
      <x v="7"/>
    </i>
    <i>
      <x v="3"/>
    </i>
    <i t="grand">
      <x/>
    </i>
  </rowItems>
  <colItems count="1">
    <i/>
  </colItems>
  <dataFields count="1">
    <dataField name="Sum of Price_USD" fld="3" baseField="0" baseItem="0" numFmtId="164"/>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6EBD6-2DB4-436B-A899-FC10970230BE}" name="PivotTable15"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1">
  <location ref="G24:J38" firstHeaderRow="1" firstDataRow="2"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items count="241">
        <item x="18"/>
        <item x="68"/>
        <item x="88"/>
        <item x="158"/>
        <item x="96"/>
        <item x="202"/>
        <item x="1"/>
        <item x="59"/>
        <item x="238"/>
        <item x="51"/>
        <item x="214"/>
        <item x="160"/>
        <item x="48"/>
        <item x="211"/>
        <item x="140"/>
        <item x="83"/>
        <item x="105"/>
        <item x="134"/>
        <item x="34"/>
        <item x="76"/>
        <item x="210"/>
        <item x="27"/>
        <item x="128"/>
        <item x="215"/>
        <item x="32"/>
        <item x="6"/>
        <item x="74"/>
        <item x="173"/>
        <item x="33"/>
        <item x="150"/>
        <item x="30"/>
        <item x="108"/>
        <item x="43"/>
        <item x="119"/>
        <item x="15"/>
        <item x="175"/>
        <item x="104"/>
        <item x="149"/>
        <item x="106"/>
        <item x="25"/>
        <item x="147"/>
        <item x="196"/>
        <item x="191"/>
        <item x="157"/>
        <item x="143"/>
        <item x="144"/>
        <item x="45"/>
        <item x="177"/>
        <item x="13"/>
        <item x="113"/>
        <item x="216"/>
        <item x="127"/>
        <item x="197"/>
        <item x="50"/>
        <item x="53"/>
        <item x="38"/>
        <item x="189"/>
        <item x="3"/>
        <item x="194"/>
        <item x="23"/>
        <item x="86"/>
        <item x="225"/>
        <item x="65"/>
        <item x="181"/>
        <item x="188"/>
        <item x="109"/>
        <item x="192"/>
        <item x="219"/>
        <item x="36"/>
        <item x="183"/>
        <item x="67"/>
        <item x="112"/>
        <item x="2"/>
        <item x="220"/>
        <item x="24"/>
        <item x="41"/>
        <item x="75"/>
        <item x="0"/>
        <item x="125"/>
        <item x="26"/>
        <item x="156"/>
        <item x="39"/>
        <item x="195"/>
        <item x="204"/>
        <item x="124"/>
        <item x="87"/>
        <item x="155"/>
        <item x="66"/>
        <item x="91"/>
        <item x="84"/>
        <item x="136"/>
        <item x="166"/>
        <item x="72"/>
        <item x="9"/>
        <item x="90"/>
        <item x="224"/>
        <item x="8"/>
        <item x="46"/>
        <item x="129"/>
        <item x="64"/>
        <item x="123"/>
        <item x="221"/>
        <item x="126"/>
        <item x="102"/>
        <item x="145"/>
        <item x="107"/>
        <item x="42"/>
        <item x="101"/>
        <item x="185"/>
        <item x="213"/>
        <item x="21"/>
        <item x="171"/>
        <item x="174"/>
        <item x="37"/>
        <item x="12"/>
        <item x="11"/>
        <item x="231"/>
        <item x="116"/>
        <item x="63"/>
        <item x="82"/>
        <item x="57"/>
        <item x="62"/>
        <item x="54"/>
        <item x="182"/>
        <item x="200"/>
        <item x="4"/>
        <item x="133"/>
        <item x="237"/>
        <item x="56"/>
        <item x="206"/>
        <item x="154"/>
        <item x="207"/>
        <item x="14"/>
        <item x="217"/>
        <item x="222"/>
        <item x="148"/>
        <item x="208"/>
        <item x="199"/>
        <item x="10"/>
        <item x="55"/>
        <item x="190"/>
        <item x="79"/>
        <item x="176"/>
        <item x="120"/>
        <item x="115"/>
        <item x="121"/>
        <item x="229"/>
        <item x="95"/>
        <item x="135"/>
        <item x="198"/>
        <item x="230"/>
        <item x="78"/>
        <item x="29"/>
        <item x="161"/>
        <item x="178"/>
        <item x="61"/>
        <item x="73"/>
        <item x="49"/>
        <item x="71"/>
        <item x="153"/>
        <item x="159"/>
        <item x="218"/>
        <item x="236"/>
        <item x="186"/>
        <item x="111"/>
        <item x="35"/>
        <item x="70"/>
        <item x="233"/>
        <item x="89"/>
        <item x="110"/>
        <item x="28"/>
        <item x="103"/>
        <item x="138"/>
        <item x="22"/>
        <item x="93"/>
        <item x="118"/>
        <item x="184"/>
        <item x="234"/>
        <item x="228"/>
        <item x="232"/>
        <item x="132"/>
        <item x="47"/>
        <item x="168"/>
        <item x="69"/>
        <item x="212"/>
        <item x="193"/>
        <item x="203"/>
        <item x="20"/>
        <item x="80"/>
        <item x="31"/>
        <item x="137"/>
        <item x="163"/>
        <item x="98"/>
        <item x="165"/>
        <item x="169"/>
        <item x="179"/>
        <item x="170"/>
        <item x="167"/>
        <item x="226"/>
        <item x="114"/>
        <item x="235"/>
        <item x="130"/>
        <item x="77"/>
        <item x="227"/>
        <item x="239"/>
        <item x="117"/>
        <item x="100"/>
        <item x="16"/>
        <item x="205"/>
        <item x="5"/>
        <item x="164"/>
        <item x="60"/>
        <item x="162"/>
        <item x="92"/>
        <item x="187"/>
        <item x="152"/>
        <item x="40"/>
        <item x="122"/>
        <item x="141"/>
        <item x="19"/>
        <item x="180"/>
        <item x="223"/>
        <item x="81"/>
        <item x="142"/>
        <item x="209"/>
        <item x="172"/>
        <item x="7"/>
        <item x="97"/>
        <item x="52"/>
        <item x="85"/>
        <item x="146"/>
        <item x="58"/>
        <item x="17"/>
        <item x="99"/>
        <item x="201"/>
        <item x="151"/>
        <item x="139"/>
        <item x="94"/>
        <item x="44"/>
        <item x="131"/>
        <item t="default"/>
      </items>
    </pivotField>
    <pivotField axis="axisCol" showAll="0">
      <items count="3">
        <item x="0"/>
        <item x="1"/>
        <item t="default"/>
      </items>
    </pivotField>
    <pivotField showAll="0" sortType="ascending"/>
    <pivotField showAll="0"/>
    <pivotField showAll="0"/>
  </pivotFields>
  <rowFields count="1">
    <field x="2"/>
  </rowFields>
  <rowItems count="13">
    <i>
      <x/>
    </i>
    <i>
      <x v="1"/>
    </i>
    <i>
      <x v="2"/>
    </i>
    <i>
      <x v="3"/>
    </i>
    <i>
      <x v="4"/>
    </i>
    <i>
      <x v="5"/>
    </i>
    <i>
      <x v="6"/>
    </i>
    <i>
      <x v="7"/>
    </i>
    <i>
      <x v="8"/>
    </i>
    <i>
      <x v="9"/>
    </i>
    <i>
      <x v="10"/>
    </i>
    <i>
      <x v="11"/>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775ED8-9017-4FDD-82E5-DF86824DFE8B}" name="PivotTable14"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L4:O18" firstHeaderRow="1" firstDataRow="2"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pivotField axis="axisCol" showAll="0">
      <items count="3">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A9AF86-96A9-406D-AFFB-1013CE00E2BD}" name="PivotTable17"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B85:C93" firstHeaderRow="1" firstDataRow="1" firstDataCol="1" rowPageCount="1" colPageCount="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Page" multipleItemSelectionAllowed="1" showAll="0">
      <items count="3">
        <item x="0"/>
        <item x="1"/>
        <item t="default"/>
      </items>
    </pivotField>
    <pivotField showAll="0"/>
    <pivotField showAll="0"/>
    <pivotField axis="axisRow" showAll="0">
      <items count="8">
        <item x="3"/>
        <item x="1"/>
        <item x="0"/>
        <item x="5"/>
        <item x="2"/>
        <item x="4"/>
        <item x="6"/>
        <item t="default"/>
      </items>
    </pivotField>
  </pivotFields>
  <rowFields count="1">
    <field x="9"/>
  </rowFields>
  <rowItems count="8">
    <i>
      <x/>
    </i>
    <i>
      <x v="1"/>
    </i>
    <i>
      <x v="2"/>
    </i>
    <i>
      <x v="3"/>
    </i>
    <i>
      <x v="4"/>
    </i>
    <i>
      <x v="5"/>
    </i>
    <i>
      <x v="6"/>
    </i>
    <i t="grand">
      <x/>
    </i>
  </rowItems>
  <colItems count="1">
    <i/>
  </colItems>
  <pageFields count="1">
    <pageField fld="6" hier="-1"/>
  </pageFields>
  <dataFields count="1">
    <dataField name="Count of Booking_ID" fld="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9" count="1" selected="0">
            <x v="0"/>
          </reference>
        </references>
      </pivotArea>
    </chartFormat>
    <chartFormat chart="4" format="18">
      <pivotArea type="data" outline="0" fieldPosition="0">
        <references count="2">
          <reference field="4294967294" count="1" selected="0">
            <x v="0"/>
          </reference>
          <reference field="9" count="1" selected="0">
            <x v="1"/>
          </reference>
        </references>
      </pivotArea>
    </chartFormat>
    <chartFormat chart="4" format="19">
      <pivotArea type="data" outline="0" fieldPosition="0">
        <references count="2">
          <reference field="4294967294" count="1" selected="0">
            <x v="0"/>
          </reference>
          <reference field="9" count="1" selected="0">
            <x v="2"/>
          </reference>
        </references>
      </pivotArea>
    </chartFormat>
    <chartFormat chart="4" format="20">
      <pivotArea type="data" outline="0" fieldPosition="0">
        <references count="2">
          <reference field="4294967294" count="1" selected="0">
            <x v="0"/>
          </reference>
          <reference field="9" count="1" selected="0">
            <x v="3"/>
          </reference>
        </references>
      </pivotArea>
    </chartFormat>
    <chartFormat chart="4" format="21">
      <pivotArea type="data" outline="0" fieldPosition="0">
        <references count="2">
          <reference field="4294967294" count="1" selected="0">
            <x v="0"/>
          </reference>
          <reference field="9" count="1" selected="0">
            <x v="4"/>
          </reference>
        </references>
      </pivotArea>
    </chartFormat>
    <chartFormat chart="4" format="22">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E67A0C-6356-4F7F-8D6F-817CB850EEA7}" name="PivotTable12"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B4:C17" firstHeaderRow="1" firstDataRow="1"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pivotField axis="axisRow" showAll="0">
      <items count="13">
        <item x="1"/>
        <item x="11"/>
        <item x="6"/>
        <item x="10"/>
        <item x="9"/>
        <item x="3"/>
        <item x="2"/>
        <item x="0"/>
        <item x="5"/>
        <item x="8"/>
        <item x="7"/>
        <item x="4"/>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C9E0C6-77A6-4AF1-BEC9-2126DA687013}" name="PivotTable8"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7">
  <location ref="G64:H77" firstHeaderRow="1" firstDataRow="1"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sortType="ascending"/>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Booking_ID" fld="0" subtotal="count" baseField="0" baseItem="0"/>
  </dataFields>
  <chartFormats count="1">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9EA988-57A6-4C82-B969-03B8C369CC2B}" name="PivotTable7"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6">
  <location ref="B64:D67" firstHeaderRow="0" firstDataRow="1"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dataField="1" numFmtId="164" showAll="0"/>
    <pivotField numFmtId="1" showAll="0"/>
    <pivotField numFmtId="14" showAll="0"/>
    <pivotField axis="axisRow" showAll="0">
      <items count="3">
        <item x="0"/>
        <item x="1"/>
        <item t="default"/>
      </items>
    </pivotField>
    <pivotField showAll="0" sortType="ascending"/>
    <pivotField showAll="0"/>
    <pivotField showAll="0"/>
  </pivotFields>
  <rowFields count="1">
    <field x="6"/>
  </rowFields>
  <rowItems count="3">
    <i>
      <x/>
    </i>
    <i>
      <x v="1"/>
    </i>
    <i t="grand">
      <x/>
    </i>
  </rowItems>
  <colFields count="1">
    <field x="-2"/>
  </colFields>
  <colItems count="2">
    <i>
      <x/>
    </i>
    <i i="1">
      <x v="1"/>
    </i>
  </colItems>
  <dataFields count="2">
    <dataField name="Average of Price_USD" fld="3" subtotal="average" baseField="6" baseItem="0" numFmtId="164"/>
    <dataField name="Count of Booking_ID" fld="0" subtotal="count" baseField="0" baseItem="0"/>
  </dataFields>
  <chartFormats count="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FDB3E9-CF2B-4C31-9470-8F54A2834665}" name="PivotTable10"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3">
  <location ref="B24:E30" firstHeaderRow="1" firstDataRow="2" firstDataCol="1"/>
  <pivotFields count="10">
    <pivotField dataField="1" showAll="0"/>
    <pivotField showAll="0">
      <items count="11">
        <item x="1"/>
        <item x="5"/>
        <item x="4"/>
        <item x="0"/>
        <item x="7"/>
        <item x="9"/>
        <item x="8"/>
        <item x="6"/>
        <item x="2"/>
        <item x="3"/>
        <item t="default"/>
      </items>
    </pivotField>
    <pivotField showAll="0">
      <items count="13">
        <item x="0"/>
        <item x="1"/>
        <item x="4"/>
        <item x="5"/>
        <item x="11"/>
        <item x="6"/>
        <item x="9"/>
        <item x="10"/>
        <item x="2"/>
        <item x="3"/>
        <item x="8"/>
        <item x="7"/>
        <item t="default"/>
      </items>
    </pivotField>
    <pivotField numFmtId="164" showAll="0"/>
    <pivotField numFmtId="1" showAll="0"/>
    <pivotField numFmtId="14" showAll="0"/>
    <pivotField axis="axisCol" showAll="0">
      <items count="3">
        <item x="0"/>
        <item x="1"/>
        <item t="default"/>
      </items>
    </pivotField>
    <pivotField axis="axisRow" showAll="0" sortType="ascending">
      <items count="5">
        <item x="2"/>
        <item x="0"/>
        <item x="3"/>
        <item x="1"/>
        <item t="default"/>
      </items>
    </pivotField>
    <pivotField showAll="0"/>
    <pivotField showAll="0"/>
  </pivotFields>
  <rowFields count="1">
    <field x="7"/>
  </rowFields>
  <rowItems count="5">
    <i>
      <x/>
    </i>
    <i>
      <x v="1"/>
    </i>
    <i>
      <x v="2"/>
    </i>
    <i>
      <x v="3"/>
    </i>
    <i t="grand">
      <x/>
    </i>
  </rowItems>
  <colFields count="1">
    <field x="6"/>
  </colFields>
  <colItems count="3">
    <i>
      <x/>
    </i>
    <i>
      <x v="1"/>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1BEAF4-DD7B-4080-AE35-8B4D8382AFCD}" name="PivotTable13"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F4:G17" firstHeaderRow="1" firstDataRow="1" firstDataCol="1"/>
  <pivotFields count="10">
    <pivotField dataField="1" showAll="0"/>
    <pivotField showAll="0">
      <items count="11">
        <item x="1"/>
        <item x="5"/>
        <item x="4"/>
        <item x="0"/>
        <item x="7"/>
        <item x="9"/>
        <item x="8"/>
        <item x="6"/>
        <item x="2"/>
        <item x="3"/>
        <item t="default"/>
      </items>
    </pivotField>
    <pivotField axis="axisRow"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016FC2-CE63-4C19-BED5-BC685C5843C9}" name="PivotTable3" cacheId="437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B47:C58" firstHeaderRow="1" firstDataRow="1" firstDataCol="1"/>
  <pivotFields count="10">
    <pivotField dataField="1" showAll="0"/>
    <pivotField axis="axisRow" showAll="0" sortType="descending">
      <items count="11">
        <item x="3"/>
        <item x="2"/>
        <item x="6"/>
        <item x="8"/>
        <item x="9"/>
        <item x="7"/>
        <item x="0"/>
        <item x="4"/>
        <item x="5"/>
        <item x="1"/>
        <item t="default"/>
      </items>
      <autoSortScope>
        <pivotArea dataOnly="0" outline="0" fieldPosition="0">
          <references count="1">
            <reference field="4294967294" count="1" selected="0">
              <x v="0"/>
            </reference>
          </references>
        </pivotArea>
      </autoSortScope>
    </pivotField>
    <pivotField showAll="0">
      <items count="13">
        <item x="0"/>
        <item x="1"/>
        <item x="4"/>
        <item x="5"/>
        <item x="11"/>
        <item x="6"/>
        <item x="9"/>
        <item x="10"/>
        <item x="2"/>
        <item x="3"/>
        <item x="8"/>
        <item x="7"/>
        <item t="default"/>
      </items>
    </pivotField>
    <pivotField numFmtId="164" showAll="0"/>
    <pivotField numFmtId="1" showAll="0"/>
    <pivotField numFmtId="14" showAll="0"/>
    <pivotField showAll="0">
      <items count="3">
        <item x="0"/>
        <item x="1"/>
        <item t="default"/>
      </items>
    </pivotField>
    <pivotField showAll="0"/>
    <pivotField showAll="0"/>
    <pivotField showAll="0"/>
  </pivotFields>
  <rowFields count="1">
    <field x="1"/>
  </rowFields>
  <rowItems count="11">
    <i>
      <x v="6"/>
    </i>
    <i>
      <x v="2"/>
    </i>
    <i>
      <x/>
    </i>
    <i>
      <x v="5"/>
    </i>
    <i>
      <x v="9"/>
    </i>
    <i>
      <x v="8"/>
    </i>
    <i>
      <x v="1"/>
    </i>
    <i>
      <x v="3"/>
    </i>
    <i>
      <x v="7"/>
    </i>
    <i>
      <x v="4"/>
    </i>
    <i t="grand">
      <x/>
    </i>
  </rowItems>
  <colItems count="1">
    <i/>
  </colItems>
  <dataFields count="1">
    <dataField name="Count of Booking_ID" fld="0" subtotal="count" baseField="0" baseItem="0"/>
  </dataFields>
  <chartFormats count="2">
    <chartFormat chart="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Type" xr10:uid="{4422821A-D21A-4014-834C-A5EEDB86CFE3}" sourceName="Travel_Type">
  <pivotTables>
    <pivotTable tabId="8" name="PivotTable7"/>
    <pivotTable tabId="8" name="PivotTable10"/>
    <pivotTable tabId="8" name="PivotTable12"/>
    <pivotTable tabId="8" name="PivotTable13"/>
    <pivotTable tabId="8" name="PivotTable14"/>
    <pivotTable tabId="8" name="PivotTable15"/>
    <pivotTable tabId="8" name="PivotTable16"/>
    <pivotTable tabId="8" name="PivotTable17"/>
    <pivotTable tabId="8" name="PivotTable3"/>
    <pivotTable tabId="8" name="PivotTable5"/>
    <pivotTable tabId="8" name="PivotTable6"/>
    <pivotTable tabId="8" name="PivotTable8"/>
    <pivotTable tabId="8" name="PivotTable9"/>
  </pivotTables>
  <data>
    <tabular pivotCacheId="9596144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EE316422-97EE-49A7-8475-D24109119A4F}" sourceName="Destination">
  <pivotTables>
    <pivotTable tabId="8" name="PivotTable3"/>
    <pivotTable tabId="8" name="PivotTable10"/>
    <pivotTable tabId="8" name="PivotTable12"/>
    <pivotTable tabId="8" name="PivotTable13"/>
    <pivotTable tabId="8" name="PivotTable14"/>
    <pivotTable tabId="8" name="PivotTable15"/>
    <pivotTable tabId="8" name="PivotTable16"/>
    <pivotTable tabId="8" name="PivotTable17"/>
    <pivotTable tabId="8" name="PivotTable5"/>
    <pivotTable tabId="8" name="PivotTable6"/>
    <pivotTable tabId="8" name="PivotTable7"/>
    <pivotTable tabId="8" name="PivotTable8"/>
    <pivotTable tabId="8" name="PivotTable9"/>
  </pivotTables>
  <data>
    <tabular pivotCacheId="959614464">
      <items count="10">
        <i x="1" s="1"/>
        <i x="5" s="1"/>
        <i x="4" s="1"/>
        <i x="0" s="1"/>
        <i x="7" s="1"/>
        <i x="9" s="1"/>
        <i x="8"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Month" xr10:uid="{31B01806-18B6-452C-A9F7-DA7138F13520}" sourceName="Travel_Month">
  <pivotTables>
    <pivotTable tabId="8" name="PivotTable15"/>
    <pivotTable tabId="8" name="PivotTable10"/>
    <pivotTable tabId="8" name="PivotTable12"/>
    <pivotTable tabId="8" name="PivotTable13"/>
    <pivotTable tabId="8" name="PivotTable14"/>
    <pivotTable tabId="8" name="PivotTable16"/>
    <pivotTable tabId="8" name="PivotTable17"/>
    <pivotTable tabId="8" name="PivotTable3"/>
    <pivotTable tabId="8" name="PivotTable5"/>
    <pivotTable tabId="8" name="PivotTable6"/>
    <pivotTable tabId="8" name="PivotTable7"/>
    <pivotTable tabId="8" name="PivotTable8"/>
    <pivotTable tabId="8" name="PivotTable9"/>
  </pivotTables>
  <data>
    <tabular pivotCacheId="959614464">
      <items count="12">
        <i x="0" s="1"/>
        <i x="1" s="1"/>
        <i x="4" s="1"/>
        <i x="5" s="1"/>
        <i x="11" s="1"/>
        <i x="6" s="1"/>
        <i x="9" s="1"/>
        <i x="10" s="1"/>
        <i x="2" s="1"/>
        <i x="3"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vel_Type" xr10:uid="{EC449298-1107-4018-A30C-146EC6523770}" cache="Slicer_Travel_Type" caption="Travel Type" columnCount="2" style="SlicerStyleLight2" rowHeight="365760"/>
  <slicer name="Destination" xr10:uid="{7DD62E8C-932A-45B8-947C-C24A00352DAE}" cache="Slicer_Destination" caption="Destination" columnCount="3" style="SlicerStyleLight2" rowHeight="265176"/>
  <slicer name="Travel_Month" xr10:uid="{57D8393B-63FB-4029-8D27-E95847097A51}" cache="Slicer_Travel_Month" caption="Travel_Month"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429137-1803-49D0-B778-78B6264C6440}" name="Table2" displayName="Table2" ref="A1:J294" totalsRowShown="0" headerRowDxfId="21" dataDxfId="20" headerRowBorderDxfId="18" tableBorderDxfId="19" totalsRowBorderDxfId="17">
  <autoFilter ref="A1:J294" xr:uid="{16429137-1803-49D0-B778-78B6264C6440}"/>
  <tableColumns count="10">
    <tableColumn id="1" xr3:uid="{D15B19FF-BF68-40C3-BB8F-1B5259698248}" name="Booking_ID" dataDxfId="16"/>
    <tableColumn id="2" xr3:uid="{4E32A966-5B02-4E34-AF9F-845AFA08C75D}" name="Destination" dataDxfId="15"/>
    <tableColumn id="3" xr3:uid="{62890E11-2A19-4044-BBD3-28E719E5CEF2}" name="Travel_Month" dataDxfId="14"/>
    <tableColumn id="4" xr3:uid="{1FA898B9-31A2-4B4B-96CB-A77EAE137476}" name="Price_USD" dataDxfId="13"/>
    <tableColumn id="5" xr3:uid="{2BD9FD65-88EE-43EF-B70C-440DDF2626DF}" name="Customer_Age" dataDxfId="12"/>
    <tableColumn id="6" xr3:uid="{F706F403-7976-484F-A0D1-8B76F53A10A8}" name="Booking_Date" dataDxfId="11"/>
    <tableColumn id="7" xr3:uid="{BD1C136E-B314-4911-A399-690E7C9AB3C6}" name="Travel_Type" dataDxfId="10"/>
    <tableColumn id="8" xr3:uid="{16958850-DAEB-4B68-B36A-920CFBC6ED7E}" name="Payment_Method" dataDxfId="9"/>
    <tableColumn id="10" xr3:uid="{64442D02-04B9-4016-AF58-A77C3560365B}" name="Booking_Month" dataDxfId="8">
      <calculatedColumnFormula>TEXT(Table2[[#This Row],[Booking_Date]],"mmmm")</calculatedColumnFormula>
    </tableColumn>
    <tableColumn id="11" xr3:uid="{61AC80A7-1545-4796-B38E-CADAA7382AFE}" name="Age_Groups" dataDxfId="7">
      <calculatedColumnFormula>IF(Table2[[#This Row],[Customer_Age]]&lt;20,"10-19", IF(Table2[[#This Row],[Customer_Age]]&lt;30,"20-29", IF(Table2[[#This Row],[Customer_Age]]&lt;40,"30-39", IF(Table2[[#This Row],[Customer_Age]]&lt;50,"40-49", IF(Table2[[#This Row],[Customer_Age]]&lt;60,"50-59", IF(Table2[[#This Row],[Customer_Age]]&lt;70,"60-69","70+"))))))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8BE49-70FD-4BB2-88E5-4FE1E4ECAEDC}" name="Table1" displayName="Table1" ref="K65:M72" totalsRowShown="0" headerRowDxfId="6" headerRowBorderDxfId="4" tableBorderDxfId="5" totalsRowBorderDxfId="3">
  <autoFilter ref="K65:M72" xr:uid="{0F08BE49-70FD-4BB2-88E5-4FE1E4ECAEDC}"/>
  <tableColumns count="3">
    <tableColumn id="1" xr3:uid="{84ECE51A-12E0-453E-8981-0B17760E36DA}" name="Bin Range" dataDxfId="2"/>
    <tableColumn id="2" xr3:uid="{17FF551B-8ADF-4E88-8725-262537DA5845}" name="Age_Groups" dataDxfId="1"/>
    <tableColumn id="3" xr3:uid="{89564F0F-A22E-417A-94F3-F66E5B3CEC2E}" name="Frequency" dataDxfId="0">
      <calculatedColumnFormula>COUNTIFS(Table2[Customer_Age],"&gt;="&amp;Table1[[#This Row],[Bin Range]],Table2[Customer_Age],"&lt;="&amp;IF('Pivot Tables'!K67="",100,'Pivot Tables'!K67-1))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J294"/>
  <sheetViews>
    <sheetView workbookViewId="0">
      <selection activeCell="C25" sqref="C25"/>
    </sheetView>
  </sheetViews>
  <sheetFormatPr defaultRowHeight="14.45"/>
  <cols>
    <col min="1" max="1" width="17.85546875" customWidth="1"/>
    <col min="2" max="2" width="19.140625" customWidth="1"/>
    <col min="3" max="3" width="21.7109375" customWidth="1"/>
    <col min="4" max="4" width="18" style="20" customWidth="1"/>
    <col min="5" max="5" width="20.42578125" style="15" customWidth="1"/>
    <col min="6" max="6" width="21.140625" style="29" customWidth="1"/>
    <col min="7" max="7" width="18.140625" customWidth="1"/>
    <col min="8" max="8" width="22.7109375" customWidth="1"/>
    <col min="9" max="9" width="20" customWidth="1"/>
    <col min="10" max="10" width="18.28515625" customWidth="1"/>
  </cols>
  <sheetData>
    <row r="1" spans="1:10" s="14" customFormat="1" ht="26.45" customHeight="1">
      <c r="A1" s="30" t="s">
        <v>0</v>
      </c>
      <c r="B1" s="35" t="s">
        <v>1</v>
      </c>
      <c r="C1" s="36" t="s">
        <v>2</v>
      </c>
      <c r="D1" s="16" t="s">
        <v>3</v>
      </c>
      <c r="E1" s="21" t="s">
        <v>4</v>
      </c>
      <c r="F1" s="25" t="s">
        <v>5</v>
      </c>
      <c r="G1" s="35" t="s">
        <v>6</v>
      </c>
      <c r="H1" s="43" t="s">
        <v>7</v>
      </c>
      <c r="I1" s="36" t="s">
        <v>8</v>
      </c>
      <c r="J1" s="37" t="s">
        <v>9</v>
      </c>
    </row>
    <row r="2" spans="1:10">
      <c r="A2" s="31" t="s">
        <v>10</v>
      </c>
      <c r="B2" s="38" t="s">
        <v>11</v>
      </c>
      <c r="C2" s="39" t="s">
        <v>12</v>
      </c>
      <c r="D2" s="17">
        <v>1905.57</v>
      </c>
      <c r="E2" s="22">
        <v>33</v>
      </c>
      <c r="F2" s="26">
        <v>45155</v>
      </c>
      <c r="G2" s="38" t="s">
        <v>13</v>
      </c>
      <c r="H2" s="38" t="s">
        <v>14</v>
      </c>
      <c r="I2" s="2" t="str">
        <f>TEXT(Table2[[#This Row],[Booking_Date]],"mmmm")</f>
        <v>August</v>
      </c>
      <c r="J2" s="6" t="str">
        <f>IF(Table2[[#This Row],[Customer_Age]]&lt;20,"10-19", IF(Table2[[#This Row],[Customer_Age]]&lt;30,"20-29", IF(Table2[[#This Row],[Customer_Age]]&lt;40,"30-39", IF(Table2[[#This Row],[Customer_Age]]&lt;50,"40-49", IF(Table2[[#This Row],[Customer_Age]]&lt;60,"50-59", IF(Table2[[#This Row],[Customer_Age]]&lt;70,"60-69","70+"))))))</f>
        <v>30-39</v>
      </c>
    </row>
    <row r="3" spans="1:10">
      <c r="A3" s="32" t="s">
        <v>15</v>
      </c>
      <c r="B3" s="39" t="s">
        <v>16</v>
      </c>
      <c r="C3" s="39" t="s">
        <v>17</v>
      </c>
      <c r="D3" s="18">
        <v>1558.13</v>
      </c>
      <c r="E3" s="23">
        <v>20</v>
      </c>
      <c r="F3" s="27">
        <v>44957</v>
      </c>
      <c r="G3" s="39" t="s">
        <v>13</v>
      </c>
      <c r="H3" s="39" t="s">
        <v>18</v>
      </c>
      <c r="I3" s="2" t="str">
        <f>TEXT(Table2[[#This Row],[Booking_Date]],"mmmm")</f>
        <v>January</v>
      </c>
      <c r="J3" s="6" t="str">
        <f>IF(Table2[[#This Row],[Customer_Age]]&lt;20,"10-19", IF(Table2[[#This Row],[Customer_Age]]&lt;30,"20-29", IF(Table2[[#This Row],[Customer_Age]]&lt;40,"30-39", IF(Table2[[#This Row],[Customer_Age]]&lt;50,"40-49", IF(Table2[[#This Row],[Customer_Age]]&lt;60,"50-59", IF(Table2[[#This Row],[Customer_Age]]&lt;70,"60-69","70+"))))))</f>
        <v>20-29</v>
      </c>
    </row>
    <row r="4" spans="1:10">
      <c r="A4" s="31" t="s">
        <v>19</v>
      </c>
      <c r="B4" s="38" t="s">
        <v>20</v>
      </c>
      <c r="C4" s="39" t="s">
        <v>21</v>
      </c>
      <c r="D4" s="17">
        <v>1584.64</v>
      </c>
      <c r="E4" s="22">
        <v>53</v>
      </c>
      <c r="F4" s="26">
        <v>45130</v>
      </c>
      <c r="G4" s="38" t="s">
        <v>22</v>
      </c>
      <c r="H4" s="38" t="s">
        <v>18</v>
      </c>
      <c r="I4" s="2" t="str">
        <f>TEXT(Table2[[#This Row],[Booking_Date]],"mmmm")</f>
        <v>July</v>
      </c>
      <c r="J4" s="6" t="str">
        <f>IF(Table2[[#This Row],[Customer_Age]]&lt;20,"10-19", IF(Table2[[#This Row],[Customer_Age]]&lt;30,"20-29", IF(Table2[[#This Row],[Customer_Age]]&lt;40,"30-39", IF(Table2[[#This Row],[Customer_Age]]&lt;50,"40-49", IF(Table2[[#This Row],[Customer_Age]]&lt;60,"50-59", IF(Table2[[#This Row],[Customer_Age]]&lt;70,"60-69","70+"))))))</f>
        <v>50-59</v>
      </c>
    </row>
    <row r="5" spans="1:10">
      <c r="A5" s="32" t="s">
        <v>23</v>
      </c>
      <c r="B5" s="39" t="s">
        <v>24</v>
      </c>
      <c r="C5" s="39" t="s">
        <v>25</v>
      </c>
      <c r="D5" s="18">
        <v>839.84</v>
      </c>
      <c r="E5" s="23">
        <v>18</v>
      </c>
      <c r="F5" s="27">
        <v>45090</v>
      </c>
      <c r="G5" s="39" t="s">
        <v>22</v>
      </c>
      <c r="H5" s="39" t="s">
        <v>26</v>
      </c>
      <c r="I5" s="2" t="str">
        <f>TEXT(Table2[[#This Row],[Booking_Date]],"mmmm")</f>
        <v>June</v>
      </c>
      <c r="J5" s="6" t="str">
        <f>IF(Table2[[#This Row],[Customer_Age]]&lt;20,"10-19", IF(Table2[[#This Row],[Customer_Age]]&lt;30,"20-29", IF(Table2[[#This Row],[Customer_Age]]&lt;40,"30-39", IF(Table2[[#This Row],[Customer_Age]]&lt;50,"40-49", IF(Table2[[#This Row],[Customer_Age]]&lt;60,"50-59", IF(Table2[[#This Row],[Customer_Age]]&lt;70,"60-69","70+"))))))</f>
        <v>10-19</v>
      </c>
    </row>
    <row r="6" spans="1:10">
      <c r="A6" s="31" t="s">
        <v>27</v>
      </c>
      <c r="B6" s="38" t="s">
        <v>28</v>
      </c>
      <c r="C6" s="39" t="s">
        <v>29</v>
      </c>
      <c r="D6" s="17">
        <v>695.22</v>
      </c>
      <c r="E6" s="22">
        <v>66</v>
      </c>
      <c r="F6" s="26">
        <v>45271</v>
      </c>
      <c r="G6" s="38" t="s">
        <v>13</v>
      </c>
      <c r="H6" s="38" t="s">
        <v>14</v>
      </c>
      <c r="I6" s="2" t="str">
        <f>TEXT(Table2[[#This Row],[Booking_Date]],"mmmm")</f>
        <v>December</v>
      </c>
      <c r="J6" s="6" t="str">
        <f>IF(Table2[[#This Row],[Customer_Age]]&lt;20,"10-19", IF(Table2[[#This Row],[Customer_Age]]&lt;30,"20-29", IF(Table2[[#This Row],[Customer_Age]]&lt;40,"30-39", IF(Table2[[#This Row],[Customer_Age]]&lt;50,"40-49", IF(Table2[[#This Row],[Customer_Age]]&lt;60,"50-59", IF(Table2[[#This Row],[Customer_Age]]&lt;70,"60-69","70+"))))))</f>
        <v>60-69</v>
      </c>
    </row>
    <row r="7" spans="1:10">
      <c r="A7" s="32" t="s">
        <v>30</v>
      </c>
      <c r="B7" s="39" t="s">
        <v>31</v>
      </c>
      <c r="C7" s="39" t="s">
        <v>17</v>
      </c>
      <c r="D7" s="18">
        <v>1025.6500000000001</v>
      </c>
      <c r="E7" s="23">
        <v>40</v>
      </c>
      <c r="F7" s="27">
        <v>45545</v>
      </c>
      <c r="G7" s="39" t="s">
        <v>22</v>
      </c>
      <c r="H7" s="39" t="s">
        <v>14</v>
      </c>
      <c r="I7" s="2" t="str">
        <f>TEXT(Table2[[#This Row],[Booking_Date]],"mmmm")</f>
        <v>September</v>
      </c>
      <c r="J7" s="6" t="str">
        <f>IF(Table2[[#This Row],[Customer_Age]]&lt;20,"10-19", IF(Table2[[#This Row],[Customer_Age]]&lt;30,"20-29", IF(Table2[[#This Row],[Customer_Age]]&lt;40,"30-39", IF(Table2[[#This Row],[Customer_Age]]&lt;50,"40-49", IF(Table2[[#This Row],[Customer_Age]]&lt;60,"50-59", IF(Table2[[#This Row],[Customer_Age]]&lt;70,"60-69","70+"))))))</f>
        <v>40-49</v>
      </c>
    </row>
    <row r="8" spans="1:10">
      <c r="A8" s="31" t="s">
        <v>32</v>
      </c>
      <c r="B8" s="38" t="s">
        <v>24</v>
      </c>
      <c r="C8" s="39" t="s">
        <v>21</v>
      </c>
      <c r="D8" s="17">
        <v>487.1</v>
      </c>
      <c r="E8" s="22">
        <v>42</v>
      </c>
      <c r="F8" s="26">
        <v>45007</v>
      </c>
      <c r="G8" s="38" t="s">
        <v>22</v>
      </c>
      <c r="H8" s="38" t="s">
        <v>26</v>
      </c>
      <c r="I8" s="2" t="str">
        <f>TEXT(Table2[[#This Row],[Booking_Date]],"mmmm")</f>
        <v>March</v>
      </c>
      <c r="J8" s="6" t="str">
        <f>IF(Table2[[#This Row],[Customer_Age]]&lt;20,"10-19", IF(Table2[[#This Row],[Customer_Age]]&lt;30,"20-29", IF(Table2[[#This Row],[Customer_Age]]&lt;40,"30-39", IF(Table2[[#This Row],[Customer_Age]]&lt;50,"40-49", IF(Table2[[#This Row],[Customer_Age]]&lt;60,"50-59", IF(Table2[[#This Row],[Customer_Age]]&lt;70,"60-69","70+"))))))</f>
        <v>40-49</v>
      </c>
    </row>
    <row r="9" spans="1:10">
      <c r="A9" s="32" t="s">
        <v>33</v>
      </c>
      <c r="B9" s="39" t="s">
        <v>34</v>
      </c>
      <c r="C9" s="39" t="s">
        <v>35</v>
      </c>
      <c r="D9" s="18">
        <v>1820.52</v>
      </c>
      <c r="E9" s="23">
        <v>20</v>
      </c>
      <c r="F9" s="27">
        <v>45604</v>
      </c>
      <c r="G9" s="39" t="s">
        <v>13</v>
      </c>
      <c r="H9" s="39" t="s">
        <v>26</v>
      </c>
      <c r="I9" s="2" t="str">
        <f>TEXT(Table2[[#This Row],[Booking_Date]],"mmmm")</f>
        <v>November</v>
      </c>
      <c r="J9" s="6" t="str">
        <f>IF(Table2[[#This Row],[Customer_Age]]&lt;20,"10-19", IF(Table2[[#This Row],[Customer_Age]]&lt;30,"20-29", IF(Table2[[#This Row],[Customer_Age]]&lt;40,"30-39", IF(Table2[[#This Row],[Customer_Age]]&lt;50,"40-49", IF(Table2[[#This Row],[Customer_Age]]&lt;60,"50-59", IF(Table2[[#This Row],[Customer_Age]]&lt;70,"60-69","70+"))))))</f>
        <v>20-29</v>
      </c>
    </row>
    <row r="10" spans="1:10">
      <c r="A10" s="31" t="s">
        <v>36</v>
      </c>
      <c r="B10" s="38" t="s">
        <v>11</v>
      </c>
      <c r="C10" s="39" t="s">
        <v>35</v>
      </c>
      <c r="D10" s="17">
        <v>2192.91</v>
      </c>
      <c r="E10" s="22">
        <v>42</v>
      </c>
      <c r="F10" s="26">
        <v>45211</v>
      </c>
      <c r="G10" s="38" t="s">
        <v>22</v>
      </c>
      <c r="H10" s="38" t="s">
        <v>26</v>
      </c>
      <c r="I10" s="2" t="str">
        <f>TEXT(Table2[[#This Row],[Booking_Date]],"mmmm")</f>
        <v>October</v>
      </c>
      <c r="J10" s="6" t="str">
        <f>IF(Table2[[#This Row],[Customer_Age]]&lt;20,"10-19", IF(Table2[[#This Row],[Customer_Age]]&lt;30,"20-29", IF(Table2[[#This Row],[Customer_Age]]&lt;40,"30-39", IF(Table2[[#This Row],[Customer_Age]]&lt;50,"40-49", IF(Table2[[#This Row],[Customer_Age]]&lt;60,"50-59", IF(Table2[[#This Row],[Customer_Age]]&lt;70,"60-69","70+"))))))</f>
        <v>40-49</v>
      </c>
    </row>
    <row r="11" spans="1:10">
      <c r="A11" s="32" t="s">
        <v>37</v>
      </c>
      <c r="B11" s="39" t="s">
        <v>38</v>
      </c>
      <c r="C11" s="39" t="s">
        <v>39</v>
      </c>
      <c r="D11" s="18">
        <v>1017.12</v>
      </c>
      <c r="E11" s="23">
        <v>60</v>
      </c>
      <c r="F11" s="27">
        <v>45200</v>
      </c>
      <c r="G11" s="39" t="s">
        <v>13</v>
      </c>
      <c r="H11" s="39" t="s">
        <v>18</v>
      </c>
      <c r="I11" s="2" t="str">
        <f>TEXT(Table2[[#This Row],[Booking_Date]],"mmmm")</f>
        <v>October</v>
      </c>
      <c r="J11" s="6" t="str">
        <f>IF(Table2[[#This Row],[Customer_Age]]&lt;20,"10-19", IF(Table2[[#This Row],[Customer_Age]]&lt;30,"20-29", IF(Table2[[#This Row],[Customer_Age]]&lt;40,"30-39", IF(Table2[[#This Row],[Customer_Age]]&lt;50,"40-49", IF(Table2[[#This Row],[Customer_Age]]&lt;60,"50-59", IF(Table2[[#This Row],[Customer_Age]]&lt;70,"60-69","70+"))))))</f>
        <v>60-69</v>
      </c>
    </row>
    <row r="12" spans="1:10">
      <c r="A12" s="31" t="s">
        <v>40</v>
      </c>
      <c r="B12" s="38" t="s">
        <v>16</v>
      </c>
      <c r="C12" s="39" t="s">
        <v>41</v>
      </c>
      <c r="D12" s="17">
        <v>763.07</v>
      </c>
      <c r="E12" s="22">
        <v>47</v>
      </c>
      <c r="F12" s="26">
        <v>45315</v>
      </c>
      <c r="G12" s="38" t="s">
        <v>22</v>
      </c>
      <c r="H12" s="38" t="s">
        <v>18</v>
      </c>
      <c r="I12" s="2" t="str">
        <f>TEXT(Table2[[#This Row],[Booking_Date]],"mmmm")</f>
        <v>January</v>
      </c>
      <c r="J12" s="6" t="str">
        <f>IF(Table2[[#This Row],[Customer_Age]]&lt;20,"10-19", IF(Table2[[#This Row],[Customer_Age]]&lt;30,"20-29", IF(Table2[[#This Row],[Customer_Age]]&lt;40,"30-39", IF(Table2[[#This Row],[Customer_Age]]&lt;50,"40-49", IF(Table2[[#This Row],[Customer_Age]]&lt;60,"50-59", IF(Table2[[#This Row],[Customer_Age]]&lt;70,"60-69","70+"))))))</f>
        <v>40-49</v>
      </c>
    </row>
    <row r="13" spans="1:10">
      <c r="A13" s="32" t="s">
        <v>42</v>
      </c>
      <c r="B13" s="39" t="s">
        <v>43</v>
      </c>
      <c r="C13" s="39" t="s">
        <v>12</v>
      </c>
      <c r="D13" s="18">
        <v>726.81</v>
      </c>
      <c r="E13" s="23">
        <v>20</v>
      </c>
      <c r="F13" s="27">
        <v>45250</v>
      </c>
      <c r="G13" s="39" t="s">
        <v>22</v>
      </c>
      <c r="H13" s="39" t="s">
        <v>26</v>
      </c>
      <c r="I13" s="2" t="str">
        <f>TEXT(Table2[[#This Row],[Booking_Date]],"mmmm")</f>
        <v>November</v>
      </c>
      <c r="J13" s="6" t="str">
        <f>IF(Table2[[#This Row],[Customer_Age]]&lt;20,"10-19", IF(Table2[[#This Row],[Customer_Age]]&lt;30,"20-29", IF(Table2[[#This Row],[Customer_Age]]&lt;40,"30-39", IF(Table2[[#This Row],[Customer_Age]]&lt;50,"40-49", IF(Table2[[#This Row],[Customer_Age]]&lt;60,"50-59", IF(Table2[[#This Row],[Customer_Age]]&lt;70,"60-69","70+"))))))</f>
        <v>20-29</v>
      </c>
    </row>
    <row r="14" spans="1:10">
      <c r="A14" s="31" t="s">
        <v>44</v>
      </c>
      <c r="B14" s="38" t="s">
        <v>11</v>
      </c>
      <c r="C14" s="39" t="s">
        <v>35</v>
      </c>
      <c r="D14" s="17">
        <v>2300.21</v>
      </c>
      <c r="E14" s="22">
        <v>54</v>
      </c>
      <c r="F14" s="26">
        <v>45249</v>
      </c>
      <c r="G14" s="38" t="s">
        <v>13</v>
      </c>
      <c r="H14" s="38" t="s">
        <v>45</v>
      </c>
      <c r="I14" s="2" t="str">
        <f>TEXT(Table2[[#This Row],[Booking_Date]],"mmmm")</f>
        <v>November</v>
      </c>
      <c r="J14" s="6" t="str">
        <f>IF(Table2[[#This Row],[Customer_Age]]&lt;20,"10-19", IF(Table2[[#This Row],[Customer_Age]]&lt;30,"20-29", IF(Table2[[#This Row],[Customer_Age]]&lt;40,"30-39", IF(Table2[[#This Row],[Customer_Age]]&lt;50,"40-49", IF(Table2[[#This Row],[Customer_Age]]&lt;60,"50-59", IF(Table2[[#This Row],[Customer_Age]]&lt;70,"60-69","70+"))))))</f>
        <v>50-59</v>
      </c>
    </row>
    <row r="15" spans="1:10">
      <c r="A15" s="32" t="s">
        <v>46</v>
      </c>
      <c r="B15" s="39" t="s">
        <v>31</v>
      </c>
      <c r="C15" s="39" t="s">
        <v>47</v>
      </c>
      <c r="D15" s="18">
        <v>1255.3599999999999</v>
      </c>
      <c r="E15" s="23">
        <v>34</v>
      </c>
      <c r="F15" s="27">
        <v>45069</v>
      </c>
      <c r="G15" s="39" t="s">
        <v>13</v>
      </c>
      <c r="H15" s="39" t="s">
        <v>26</v>
      </c>
      <c r="I15" s="2" t="str">
        <f>TEXT(Table2[[#This Row],[Booking_Date]],"mmmm")</f>
        <v>May</v>
      </c>
      <c r="J15" s="6" t="str">
        <f>IF(Table2[[#This Row],[Customer_Age]]&lt;20,"10-19", IF(Table2[[#This Row],[Customer_Age]]&lt;30,"20-29", IF(Table2[[#This Row],[Customer_Age]]&lt;40,"30-39", IF(Table2[[#This Row],[Customer_Age]]&lt;50,"40-49", IF(Table2[[#This Row],[Customer_Age]]&lt;60,"50-59", IF(Table2[[#This Row],[Customer_Age]]&lt;70,"60-69","70+"))))))</f>
        <v>30-39</v>
      </c>
    </row>
    <row r="16" spans="1:10">
      <c r="A16" s="31" t="s">
        <v>48</v>
      </c>
      <c r="B16" s="38" t="s">
        <v>34</v>
      </c>
      <c r="C16" s="39" t="s">
        <v>49</v>
      </c>
      <c r="D16" s="17">
        <v>2264.9899999999998</v>
      </c>
      <c r="E16" s="22">
        <v>43</v>
      </c>
      <c r="F16" s="26">
        <v>45297</v>
      </c>
      <c r="G16" s="38" t="s">
        <v>13</v>
      </c>
      <c r="H16" s="38" t="s">
        <v>18</v>
      </c>
      <c r="I16" s="2" t="str">
        <f>TEXT(Table2[[#This Row],[Booking_Date]],"mmmm")</f>
        <v>January</v>
      </c>
      <c r="J16" s="6" t="str">
        <f>IF(Table2[[#This Row],[Customer_Age]]&lt;20,"10-19", IF(Table2[[#This Row],[Customer_Age]]&lt;30,"20-29", IF(Table2[[#This Row],[Customer_Age]]&lt;40,"30-39", IF(Table2[[#This Row],[Customer_Age]]&lt;50,"40-49", IF(Table2[[#This Row],[Customer_Age]]&lt;60,"50-59", IF(Table2[[#This Row],[Customer_Age]]&lt;70,"60-69","70+"))))))</f>
        <v>40-49</v>
      </c>
    </row>
    <row r="17" spans="1:10">
      <c r="A17" s="32" t="s">
        <v>50</v>
      </c>
      <c r="B17" s="39" t="s">
        <v>16</v>
      </c>
      <c r="C17" s="39" t="s">
        <v>51</v>
      </c>
      <c r="D17" s="18">
        <v>409.09</v>
      </c>
      <c r="E17" s="23">
        <v>21</v>
      </c>
      <c r="F17" s="27">
        <v>45039</v>
      </c>
      <c r="G17" s="39" t="s">
        <v>13</v>
      </c>
      <c r="H17" s="39" t="s">
        <v>18</v>
      </c>
      <c r="I17" s="2" t="str">
        <f>TEXT(Table2[[#This Row],[Booking_Date]],"mmmm")</f>
        <v>April</v>
      </c>
      <c r="J17" s="6" t="str">
        <f>IF(Table2[[#This Row],[Customer_Age]]&lt;20,"10-19", IF(Table2[[#This Row],[Customer_Age]]&lt;30,"20-29", IF(Table2[[#This Row],[Customer_Age]]&lt;40,"30-39", IF(Table2[[#This Row],[Customer_Age]]&lt;50,"40-49", IF(Table2[[#This Row],[Customer_Age]]&lt;60,"50-59", IF(Table2[[#This Row],[Customer_Age]]&lt;70,"60-69","70+"))))))</f>
        <v>20-29</v>
      </c>
    </row>
    <row r="18" spans="1:10">
      <c r="A18" s="31" t="s">
        <v>52</v>
      </c>
      <c r="B18" s="38" t="s">
        <v>31</v>
      </c>
      <c r="C18" s="39" t="s">
        <v>25</v>
      </c>
      <c r="D18" s="17">
        <v>346.11</v>
      </c>
      <c r="E18" s="22">
        <v>42</v>
      </c>
      <c r="F18" s="26">
        <v>45537</v>
      </c>
      <c r="G18" s="38" t="s">
        <v>22</v>
      </c>
      <c r="H18" s="38" t="s">
        <v>26</v>
      </c>
      <c r="I18" s="2" t="str">
        <f>TEXT(Table2[[#This Row],[Booking_Date]],"mmmm")</f>
        <v>September</v>
      </c>
      <c r="J18" s="6" t="str">
        <f>IF(Table2[[#This Row],[Customer_Age]]&lt;20,"10-19", IF(Table2[[#This Row],[Customer_Age]]&lt;30,"20-29", IF(Table2[[#This Row],[Customer_Age]]&lt;40,"30-39", IF(Table2[[#This Row],[Customer_Age]]&lt;50,"40-49", IF(Table2[[#This Row],[Customer_Age]]&lt;60,"50-59", IF(Table2[[#This Row],[Customer_Age]]&lt;70,"60-69","70+"))))))</f>
        <v>40-49</v>
      </c>
    </row>
    <row r="19" spans="1:10">
      <c r="A19" s="32" t="s">
        <v>53</v>
      </c>
      <c r="B19" s="39" t="s">
        <v>16</v>
      </c>
      <c r="C19" s="39" t="s">
        <v>12</v>
      </c>
      <c r="D19" s="18">
        <v>1764.65</v>
      </c>
      <c r="E19" s="23">
        <v>25</v>
      </c>
      <c r="F19" s="27">
        <v>45625</v>
      </c>
      <c r="G19" s="39" t="s">
        <v>22</v>
      </c>
      <c r="H19" s="39" t="s">
        <v>26</v>
      </c>
      <c r="I19" s="2" t="str">
        <f>TEXT(Table2[[#This Row],[Booking_Date]],"mmmm")</f>
        <v>November</v>
      </c>
      <c r="J19" s="6" t="str">
        <f>IF(Table2[[#This Row],[Customer_Age]]&lt;20,"10-19", IF(Table2[[#This Row],[Customer_Age]]&lt;30,"20-29", IF(Table2[[#This Row],[Customer_Age]]&lt;40,"30-39", IF(Table2[[#This Row],[Customer_Age]]&lt;50,"40-49", IF(Table2[[#This Row],[Customer_Age]]&lt;60,"50-59", IF(Table2[[#This Row],[Customer_Age]]&lt;70,"60-69","70+"))))))</f>
        <v>20-29</v>
      </c>
    </row>
    <row r="20" spans="1:10">
      <c r="A20" s="31" t="s">
        <v>54</v>
      </c>
      <c r="B20" s="38" t="s">
        <v>11</v>
      </c>
      <c r="C20" s="39" t="s">
        <v>55</v>
      </c>
      <c r="D20" s="17">
        <v>1199.96</v>
      </c>
      <c r="E20" s="22">
        <v>47</v>
      </c>
      <c r="F20" s="26">
        <v>44930</v>
      </c>
      <c r="G20" s="38" t="s">
        <v>22</v>
      </c>
      <c r="H20" s="38" t="s">
        <v>18</v>
      </c>
      <c r="I20" s="2" t="str">
        <f>TEXT(Table2[[#This Row],[Booking_Date]],"mmmm")</f>
        <v>January</v>
      </c>
      <c r="J20" s="6" t="str">
        <f>IF(Table2[[#This Row],[Customer_Age]]&lt;20,"10-19", IF(Table2[[#This Row],[Customer_Age]]&lt;30,"20-29", IF(Table2[[#This Row],[Customer_Age]]&lt;40,"30-39", IF(Table2[[#This Row],[Customer_Age]]&lt;50,"40-49", IF(Table2[[#This Row],[Customer_Age]]&lt;60,"50-59", IF(Table2[[#This Row],[Customer_Age]]&lt;70,"60-69","70+"))))))</f>
        <v>40-49</v>
      </c>
    </row>
    <row r="21" spans="1:10">
      <c r="A21" s="32" t="s">
        <v>56</v>
      </c>
      <c r="B21" s="39" t="s">
        <v>16</v>
      </c>
      <c r="C21" s="39" t="s">
        <v>17</v>
      </c>
      <c r="D21" s="18">
        <v>2202.19</v>
      </c>
      <c r="E21" s="23">
        <v>37</v>
      </c>
      <c r="F21" s="27">
        <v>45581</v>
      </c>
      <c r="G21" s="39" t="s">
        <v>13</v>
      </c>
      <c r="H21" s="39" t="s">
        <v>18</v>
      </c>
      <c r="I21" s="2" t="str">
        <f>TEXT(Table2[[#This Row],[Booking_Date]],"mmmm")</f>
        <v>October</v>
      </c>
      <c r="J21" s="6" t="str">
        <f>IF(Table2[[#This Row],[Customer_Age]]&lt;20,"10-19", IF(Table2[[#This Row],[Customer_Age]]&lt;30,"20-29", IF(Table2[[#This Row],[Customer_Age]]&lt;40,"30-39", IF(Table2[[#This Row],[Customer_Age]]&lt;50,"40-49", IF(Table2[[#This Row],[Customer_Age]]&lt;60,"50-59", IF(Table2[[#This Row],[Customer_Age]]&lt;70,"60-69","70+"))))))</f>
        <v>30-39</v>
      </c>
    </row>
    <row r="22" spans="1:10">
      <c r="A22" s="31" t="s">
        <v>57</v>
      </c>
      <c r="B22" s="38" t="s">
        <v>43</v>
      </c>
      <c r="C22" s="39" t="s">
        <v>29</v>
      </c>
      <c r="D22" s="17">
        <v>1440.57</v>
      </c>
      <c r="E22" s="22">
        <v>67</v>
      </c>
      <c r="F22" s="26">
        <v>45470</v>
      </c>
      <c r="G22" s="38" t="s">
        <v>13</v>
      </c>
      <c r="H22" s="38" t="s">
        <v>26</v>
      </c>
      <c r="I22" s="2" t="str">
        <f>TEXT(Table2[[#This Row],[Booking_Date]],"mmmm")</f>
        <v>June</v>
      </c>
      <c r="J22" s="6" t="str">
        <f>IF(Table2[[#This Row],[Customer_Age]]&lt;20,"10-19", IF(Table2[[#This Row],[Customer_Age]]&lt;30,"20-29", IF(Table2[[#This Row],[Customer_Age]]&lt;40,"30-39", IF(Table2[[#This Row],[Customer_Age]]&lt;50,"40-49", IF(Table2[[#This Row],[Customer_Age]]&lt;60,"50-59", IF(Table2[[#This Row],[Customer_Age]]&lt;70,"60-69","70+"))))))</f>
        <v>60-69</v>
      </c>
    </row>
    <row r="23" spans="1:10">
      <c r="A23" s="32" t="s">
        <v>58</v>
      </c>
      <c r="B23" s="39" t="s">
        <v>24</v>
      </c>
      <c r="C23" s="39" t="s">
        <v>12</v>
      </c>
      <c r="D23" s="18">
        <v>457.3</v>
      </c>
      <c r="E23" s="23">
        <v>41</v>
      </c>
      <c r="F23" s="27">
        <v>45241</v>
      </c>
      <c r="G23" s="39" t="s">
        <v>13</v>
      </c>
      <c r="H23" s="39" t="s">
        <v>14</v>
      </c>
      <c r="I23" s="2" t="str">
        <f>TEXT(Table2[[#This Row],[Booking_Date]],"mmmm")</f>
        <v>November</v>
      </c>
      <c r="J23" s="6" t="str">
        <f>IF(Table2[[#This Row],[Customer_Age]]&lt;20,"10-19", IF(Table2[[#This Row],[Customer_Age]]&lt;30,"20-29", IF(Table2[[#This Row],[Customer_Age]]&lt;40,"30-39", IF(Table2[[#This Row],[Customer_Age]]&lt;50,"40-49", IF(Table2[[#This Row],[Customer_Age]]&lt;60,"50-59", IF(Table2[[#This Row],[Customer_Age]]&lt;70,"60-69","70+"))))))</f>
        <v>40-49</v>
      </c>
    </row>
    <row r="24" spans="1:10">
      <c r="A24" s="31" t="s">
        <v>59</v>
      </c>
      <c r="B24" s="38" t="s">
        <v>20</v>
      </c>
      <c r="C24" s="39" t="s">
        <v>25</v>
      </c>
      <c r="D24" s="17">
        <v>2377.98</v>
      </c>
      <c r="E24" s="22">
        <v>23</v>
      </c>
      <c r="F24" s="26">
        <v>45424</v>
      </c>
      <c r="G24" s="38" t="s">
        <v>13</v>
      </c>
      <c r="H24" s="38" t="s">
        <v>18</v>
      </c>
      <c r="I24" s="2" t="str">
        <f>TEXT(Table2[[#This Row],[Booking_Date]],"mmmm")</f>
        <v>May</v>
      </c>
      <c r="J24" s="6" t="str">
        <f>IF(Table2[[#This Row],[Customer_Age]]&lt;20,"10-19", IF(Table2[[#This Row],[Customer_Age]]&lt;30,"20-29", IF(Table2[[#This Row],[Customer_Age]]&lt;40,"30-39", IF(Table2[[#This Row],[Customer_Age]]&lt;50,"40-49", IF(Table2[[#This Row],[Customer_Age]]&lt;60,"50-59", IF(Table2[[#This Row],[Customer_Age]]&lt;70,"60-69","70+"))))))</f>
        <v>20-29</v>
      </c>
    </row>
    <row r="25" spans="1:10">
      <c r="A25" s="32" t="s">
        <v>60</v>
      </c>
      <c r="B25" s="39" t="s">
        <v>38</v>
      </c>
      <c r="C25" s="39" t="s">
        <v>47</v>
      </c>
      <c r="D25" s="18">
        <v>1293.1500000000001</v>
      </c>
      <c r="E25" s="23">
        <v>53</v>
      </c>
      <c r="F25" s="27">
        <v>45096</v>
      </c>
      <c r="G25" s="39" t="s">
        <v>22</v>
      </c>
      <c r="H25" s="39" t="s">
        <v>45</v>
      </c>
      <c r="I25" s="2" t="str">
        <f>TEXT(Table2[[#This Row],[Booking_Date]],"mmmm")</f>
        <v>June</v>
      </c>
      <c r="J25" s="6" t="str">
        <f>IF(Table2[[#This Row],[Customer_Age]]&lt;20,"10-19", IF(Table2[[#This Row],[Customer_Age]]&lt;30,"20-29", IF(Table2[[#This Row],[Customer_Age]]&lt;40,"30-39", IF(Table2[[#This Row],[Customer_Age]]&lt;50,"40-49", IF(Table2[[#This Row],[Customer_Age]]&lt;60,"50-59", IF(Table2[[#This Row],[Customer_Age]]&lt;70,"60-69","70+"))))))</f>
        <v>50-59</v>
      </c>
    </row>
    <row r="26" spans="1:10">
      <c r="A26" s="31" t="s">
        <v>61</v>
      </c>
      <c r="B26" s="38" t="s">
        <v>20</v>
      </c>
      <c r="C26" s="39" t="s">
        <v>21</v>
      </c>
      <c r="D26" s="17">
        <v>1937.11</v>
      </c>
      <c r="E26" s="22">
        <v>62</v>
      </c>
      <c r="F26" s="26">
        <v>45132</v>
      </c>
      <c r="G26" s="38" t="s">
        <v>22</v>
      </c>
      <c r="H26" s="38" t="s">
        <v>45</v>
      </c>
      <c r="I26" s="2" t="str">
        <f>TEXT(Table2[[#This Row],[Booking_Date]],"mmmm")</f>
        <v>July</v>
      </c>
      <c r="J26" s="6" t="str">
        <f>IF(Table2[[#This Row],[Customer_Age]]&lt;20,"10-19", IF(Table2[[#This Row],[Customer_Age]]&lt;30,"20-29", IF(Table2[[#This Row],[Customer_Age]]&lt;40,"30-39", IF(Table2[[#This Row],[Customer_Age]]&lt;50,"40-49", IF(Table2[[#This Row],[Customer_Age]]&lt;60,"50-59", IF(Table2[[#This Row],[Customer_Age]]&lt;70,"60-69","70+"))))))</f>
        <v>60-69</v>
      </c>
    </row>
    <row r="27" spans="1:10">
      <c r="A27" s="32" t="s">
        <v>62</v>
      </c>
      <c r="B27" s="39" t="s">
        <v>43</v>
      </c>
      <c r="C27" s="39" t="s">
        <v>51</v>
      </c>
      <c r="D27" s="18">
        <v>2269.11</v>
      </c>
      <c r="E27" s="23">
        <v>46</v>
      </c>
      <c r="F27" s="27">
        <v>45050</v>
      </c>
      <c r="G27" s="39" t="s">
        <v>13</v>
      </c>
      <c r="H27" s="39" t="s">
        <v>18</v>
      </c>
      <c r="I27" s="2" t="str">
        <f>TEXT(Table2[[#This Row],[Booking_Date]],"mmmm")</f>
        <v>May</v>
      </c>
      <c r="J27" s="6" t="str">
        <f>IF(Table2[[#This Row],[Customer_Age]]&lt;20,"10-19", IF(Table2[[#This Row],[Customer_Age]]&lt;30,"20-29", IF(Table2[[#This Row],[Customer_Age]]&lt;40,"30-39", IF(Table2[[#This Row],[Customer_Age]]&lt;50,"40-49", IF(Table2[[#This Row],[Customer_Age]]&lt;60,"50-59", IF(Table2[[#This Row],[Customer_Age]]&lt;70,"60-69","70+"))))))</f>
        <v>40-49</v>
      </c>
    </row>
    <row r="28" spans="1:10">
      <c r="A28" s="31" t="s">
        <v>63</v>
      </c>
      <c r="B28" s="38" t="s">
        <v>11</v>
      </c>
      <c r="C28" s="39" t="s">
        <v>39</v>
      </c>
      <c r="D28" s="17">
        <v>248.38</v>
      </c>
      <c r="E28" s="22">
        <v>53</v>
      </c>
      <c r="F28" s="26">
        <v>45162</v>
      </c>
      <c r="G28" s="38" t="s">
        <v>13</v>
      </c>
      <c r="H28" s="38" t="s">
        <v>14</v>
      </c>
      <c r="I28" s="2" t="str">
        <f>TEXT(Table2[[#This Row],[Booking_Date]],"mmmm")</f>
        <v>August</v>
      </c>
      <c r="J28" s="6" t="str">
        <f>IF(Table2[[#This Row],[Customer_Age]]&lt;20,"10-19", IF(Table2[[#This Row],[Customer_Age]]&lt;30,"20-29", IF(Table2[[#This Row],[Customer_Age]]&lt;40,"30-39", IF(Table2[[#This Row],[Customer_Age]]&lt;50,"40-49", IF(Table2[[#This Row],[Customer_Age]]&lt;60,"50-59", IF(Table2[[#This Row],[Customer_Age]]&lt;70,"60-69","70+"))))))</f>
        <v>50-59</v>
      </c>
    </row>
    <row r="29" spans="1:10">
      <c r="A29" s="32" t="s">
        <v>64</v>
      </c>
      <c r="B29" s="39" t="s">
        <v>11</v>
      </c>
      <c r="C29" s="39" t="s">
        <v>41</v>
      </c>
      <c r="D29" s="18">
        <v>1651.54</v>
      </c>
      <c r="E29" s="23">
        <v>32</v>
      </c>
      <c r="F29" s="27">
        <v>44996</v>
      </c>
      <c r="G29" s="39" t="s">
        <v>13</v>
      </c>
      <c r="H29" s="39" t="s">
        <v>26</v>
      </c>
      <c r="I29" s="2" t="str">
        <f>TEXT(Table2[[#This Row],[Booking_Date]],"mmmm")</f>
        <v>March</v>
      </c>
      <c r="J29" s="6" t="str">
        <f>IF(Table2[[#This Row],[Customer_Age]]&lt;20,"10-19", IF(Table2[[#This Row],[Customer_Age]]&lt;30,"20-29", IF(Table2[[#This Row],[Customer_Age]]&lt;40,"30-39", IF(Table2[[#This Row],[Customer_Age]]&lt;50,"40-49", IF(Table2[[#This Row],[Customer_Age]]&lt;60,"50-59", IF(Table2[[#This Row],[Customer_Age]]&lt;70,"60-69","70+"))))))</f>
        <v>30-39</v>
      </c>
    </row>
    <row r="30" spans="1:10">
      <c r="A30" s="31" t="s">
        <v>65</v>
      </c>
      <c r="B30" s="38" t="s">
        <v>11</v>
      </c>
      <c r="C30" s="39" t="s">
        <v>21</v>
      </c>
      <c r="D30" s="17">
        <v>747.41</v>
      </c>
      <c r="E30" s="22">
        <v>60</v>
      </c>
      <c r="F30" s="26">
        <v>45424</v>
      </c>
      <c r="G30" s="38" t="s">
        <v>13</v>
      </c>
      <c r="H30" s="38" t="s">
        <v>18</v>
      </c>
      <c r="I30" s="2" t="str">
        <f>TEXT(Table2[[#This Row],[Booking_Date]],"mmmm")</f>
        <v>May</v>
      </c>
      <c r="J30" s="6" t="str">
        <f>IF(Table2[[#This Row],[Customer_Age]]&lt;20,"10-19", IF(Table2[[#This Row],[Customer_Age]]&lt;30,"20-29", IF(Table2[[#This Row],[Customer_Age]]&lt;40,"30-39", IF(Table2[[#This Row],[Customer_Age]]&lt;50,"40-49", IF(Table2[[#This Row],[Customer_Age]]&lt;60,"50-59", IF(Table2[[#This Row],[Customer_Age]]&lt;70,"60-69","70+"))))))</f>
        <v>60-69</v>
      </c>
    </row>
    <row r="31" spans="1:10">
      <c r="A31" s="32" t="s">
        <v>66</v>
      </c>
      <c r="B31" s="39" t="s">
        <v>34</v>
      </c>
      <c r="C31" s="39" t="s">
        <v>25</v>
      </c>
      <c r="D31" s="18">
        <v>1287.1400000000001</v>
      </c>
      <c r="E31" s="23">
        <v>68</v>
      </c>
      <c r="F31" s="27">
        <v>45411</v>
      </c>
      <c r="G31" s="39" t="s">
        <v>22</v>
      </c>
      <c r="H31" s="39" t="s">
        <v>18</v>
      </c>
      <c r="I31" s="2" t="str">
        <f>TEXT(Table2[[#This Row],[Booking_Date]],"mmmm")</f>
        <v>April</v>
      </c>
      <c r="J31" s="6" t="str">
        <f>IF(Table2[[#This Row],[Customer_Age]]&lt;20,"10-19", IF(Table2[[#This Row],[Customer_Age]]&lt;30,"20-29", IF(Table2[[#This Row],[Customer_Age]]&lt;40,"30-39", IF(Table2[[#This Row],[Customer_Age]]&lt;50,"40-49", IF(Table2[[#This Row],[Customer_Age]]&lt;60,"50-59", IF(Table2[[#This Row],[Customer_Age]]&lt;70,"60-69","70+"))))))</f>
        <v>60-69</v>
      </c>
    </row>
    <row r="32" spans="1:10">
      <c r="A32" s="31" t="s">
        <v>67</v>
      </c>
      <c r="B32" s="38" t="s">
        <v>11</v>
      </c>
      <c r="C32" s="39" t="s">
        <v>17</v>
      </c>
      <c r="D32" s="17">
        <v>1715.66</v>
      </c>
      <c r="E32" s="22">
        <v>40</v>
      </c>
      <c r="F32" s="26">
        <v>45360</v>
      </c>
      <c r="G32" s="38" t="s">
        <v>22</v>
      </c>
      <c r="H32" s="38" t="s">
        <v>45</v>
      </c>
      <c r="I32" s="2" t="str">
        <f>TEXT(Table2[[#This Row],[Booking_Date]],"mmmm")</f>
        <v>March</v>
      </c>
      <c r="J32" s="6" t="str">
        <f>IF(Table2[[#This Row],[Customer_Age]]&lt;20,"10-19", IF(Table2[[#This Row],[Customer_Age]]&lt;30,"20-29", IF(Table2[[#This Row],[Customer_Age]]&lt;40,"30-39", IF(Table2[[#This Row],[Customer_Age]]&lt;50,"40-49", IF(Table2[[#This Row],[Customer_Age]]&lt;60,"50-59", IF(Table2[[#This Row],[Customer_Age]]&lt;70,"60-69","70+"))))))</f>
        <v>40-49</v>
      </c>
    </row>
    <row r="33" spans="1:10">
      <c r="A33" s="32" t="s">
        <v>68</v>
      </c>
      <c r="B33" s="39" t="s">
        <v>69</v>
      </c>
      <c r="C33" s="39" t="s">
        <v>47</v>
      </c>
      <c r="D33" s="18">
        <v>1702.95</v>
      </c>
      <c r="E33" s="23">
        <v>59</v>
      </c>
      <c r="F33" s="27">
        <v>45027</v>
      </c>
      <c r="G33" s="39" t="s">
        <v>13</v>
      </c>
      <c r="H33" s="39" t="s">
        <v>45</v>
      </c>
      <c r="I33" s="2" t="str">
        <f>TEXT(Table2[[#This Row],[Booking_Date]],"mmmm")</f>
        <v>April</v>
      </c>
      <c r="J33" s="6" t="str">
        <f>IF(Table2[[#This Row],[Customer_Age]]&lt;20,"10-19", IF(Table2[[#This Row],[Customer_Age]]&lt;30,"20-29", IF(Table2[[#This Row],[Customer_Age]]&lt;40,"30-39", IF(Table2[[#This Row],[Customer_Age]]&lt;50,"40-49", IF(Table2[[#This Row],[Customer_Age]]&lt;60,"50-59", IF(Table2[[#This Row],[Customer_Age]]&lt;70,"60-69","70+"))))))</f>
        <v>50-59</v>
      </c>
    </row>
    <row r="34" spans="1:10">
      <c r="A34" s="31" t="s">
        <v>70</v>
      </c>
      <c r="B34" s="38" t="s">
        <v>43</v>
      </c>
      <c r="C34" s="39" t="s">
        <v>17</v>
      </c>
      <c r="D34" s="17">
        <v>771.91</v>
      </c>
      <c r="E34" s="22">
        <v>30</v>
      </c>
      <c r="F34" s="26">
        <v>45476</v>
      </c>
      <c r="G34" s="38" t="s">
        <v>22</v>
      </c>
      <c r="H34" s="38" t="s">
        <v>18</v>
      </c>
      <c r="I34" s="2" t="str">
        <f>TEXT(Table2[[#This Row],[Booking_Date]],"mmmm")</f>
        <v>July</v>
      </c>
      <c r="J34" s="6" t="str">
        <f>IF(Table2[[#This Row],[Customer_Age]]&lt;20,"10-19", IF(Table2[[#This Row],[Customer_Age]]&lt;30,"20-29", IF(Table2[[#This Row],[Customer_Age]]&lt;40,"30-39", IF(Table2[[#This Row],[Customer_Age]]&lt;50,"40-49", IF(Table2[[#This Row],[Customer_Age]]&lt;60,"50-59", IF(Table2[[#This Row],[Customer_Age]]&lt;70,"60-69","70+"))))))</f>
        <v>30-39</v>
      </c>
    </row>
    <row r="35" spans="1:10">
      <c r="A35" s="32" t="s">
        <v>71</v>
      </c>
      <c r="B35" s="39" t="s">
        <v>31</v>
      </c>
      <c r="C35" s="39" t="s">
        <v>29</v>
      </c>
      <c r="D35" s="18">
        <v>840.65</v>
      </c>
      <c r="E35" s="23">
        <v>33</v>
      </c>
      <c r="F35" s="27">
        <v>45004</v>
      </c>
      <c r="G35" s="39" t="s">
        <v>22</v>
      </c>
      <c r="H35" s="39" t="s">
        <v>14</v>
      </c>
      <c r="I35" s="2" t="str">
        <f>TEXT(Table2[[#This Row],[Booking_Date]],"mmmm")</f>
        <v>March</v>
      </c>
      <c r="J35" s="6" t="str">
        <f>IF(Table2[[#This Row],[Customer_Age]]&lt;20,"10-19", IF(Table2[[#This Row],[Customer_Age]]&lt;30,"20-29", IF(Table2[[#This Row],[Customer_Age]]&lt;40,"30-39", IF(Table2[[#This Row],[Customer_Age]]&lt;50,"40-49", IF(Table2[[#This Row],[Customer_Age]]&lt;60,"50-59", IF(Table2[[#This Row],[Customer_Age]]&lt;70,"60-69","70+"))))))</f>
        <v>30-39</v>
      </c>
    </row>
    <row r="36" spans="1:10">
      <c r="A36" s="31" t="s">
        <v>72</v>
      </c>
      <c r="B36" s="38" t="s">
        <v>69</v>
      </c>
      <c r="C36" s="39" t="s">
        <v>47</v>
      </c>
      <c r="D36" s="17">
        <v>2498.35</v>
      </c>
      <c r="E36" s="22">
        <v>18</v>
      </c>
      <c r="F36" s="26">
        <v>45022</v>
      </c>
      <c r="G36" s="38" t="s">
        <v>13</v>
      </c>
      <c r="H36" s="38" t="s">
        <v>18</v>
      </c>
      <c r="I36" s="2" t="str">
        <f>TEXT(Table2[[#This Row],[Booking_Date]],"mmmm")</f>
        <v>April</v>
      </c>
      <c r="J36" s="6" t="str">
        <f>IF(Table2[[#This Row],[Customer_Age]]&lt;20,"10-19", IF(Table2[[#This Row],[Customer_Age]]&lt;30,"20-29", IF(Table2[[#This Row],[Customer_Age]]&lt;40,"30-39", IF(Table2[[#This Row],[Customer_Age]]&lt;50,"40-49", IF(Table2[[#This Row],[Customer_Age]]&lt;60,"50-59", IF(Table2[[#This Row],[Customer_Age]]&lt;70,"60-69","70+"))))))</f>
        <v>10-19</v>
      </c>
    </row>
    <row r="37" spans="1:10">
      <c r="A37" s="32" t="s">
        <v>73</v>
      </c>
      <c r="B37" s="39" t="s">
        <v>31</v>
      </c>
      <c r="C37" s="39" t="s">
        <v>51</v>
      </c>
      <c r="D37" s="18">
        <v>1307.1199999999999</v>
      </c>
      <c r="E37" s="23">
        <v>43</v>
      </c>
      <c r="F37" s="27">
        <v>44987</v>
      </c>
      <c r="G37" s="39" t="s">
        <v>13</v>
      </c>
      <c r="H37" s="39" t="s">
        <v>45</v>
      </c>
      <c r="I37" s="2" t="str">
        <f>TEXT(Table2[[#This Row],[Booking_Date]],"mmmm")</f>
        <v>March</v>
      </c>
      <c r="J37" s="6" t="str">
        <f>IF(Table2[[#This Row],[Customer_Age]]&lt;20,"10-19", IF(Table2[[#This Row],[Customer_Age]]&lt;30,"20-29", IF(Table2[[#This Row],[Customer_Age]]&lt;40,"30-39", IF(Table2[[#This Row],[Customer_Age]]&lt;50,"40-49", IF(Table2[[#This Row],[Customer_Age]]&lt;60,"50-59", IF(Table2[[#This Row],[Customer_Age]]&lt;70,"60-69","70+"))))))</f>
        <v>40-49</v>
      </c>
    </row>
    <row r="38" spans="1:10">
      <c r="A38" s="31" t="s">
        <v>74</v>
      </c>
      <c r="B38" s="38" t="s">
        <v>69</v>
      </c>
      <c r="C38" s="39" t="s">
        <v>49</v>
      </c>
      <c r="D38" s="17">
        <v>809.97</v>
      </c>
      <c r="E38" s="22">
        <v>68</v>
      </c>
      <c r="F38" s="26">
        <v>45392</v>
      </c>
      <c r="G38" s="38" t="s">
        <v>22</v>
      </c>
      <c r="H38" s="38" t="s">
        <v>45</v>
      </c>
      <c r="I38" s="2" t="str">
        <f>TEXT(Table2[[#This Row],[Booking_Date]],"mmmm")</f>
        <v>April</v>
      </c>
      <c r="J38" s="6" t="str">
        <f>IF(Table2[[#This Row],[Customer_Age]]&lt;20,"10-19", IF(Table2[[#This Row],[Customer_Age]]&lt;30,"20-29", IF(Table2[[#This Row],[Customer_Age]]&lt;40,"30-39", IF(Table2[[#This Row],[Customer_Age]]&lt;50,"40-49", IF(Table2[[#This Row],[Customer_Age]]&lt;60,"50-59", IF(Table2[[#This Row],[Customer_Age]]&lt;70,"60-69","70+"))))))</f>
        <v>60-69</v>
      </c>
    </row>
    <row r="39" spans="1:10">
      <c r="A39" s="32" t="s">
        <v>75</v>
      </c>
      <c r="B39" s="39" t="s">
        <v>16</v>
      </c>
      <c r="C39" s="39" t="s">
        <v>47</v>
      </c>
      <c r="D39" s="18">
        <v>1852.34</v>
      </c>
      <c r="E39" s="23">
        <v>27</v>
      </c>
      <c r="F39" s="27">
        <v>45121</v>
      </c>
      <c r="G39" s="39" t="s">
        <v>22</v>
      </c>
      <c r="H39" s="39" t="s">
        <v>18</v>
      </c>
      <c r="I39" s="2" t="str">
        <f>TEXT(Table2[[#This Row],[Booking_Date]],"mmmm")</f>
        <v>July</v>
      </c>
      <c r="J39" s="6" t="str">
        <f>IF(Table2[[#This Row],[Customer_Age]]&lt;20,"10-19", IF(Table2[[#This Row],[Customer_Age]]&lt;30,"20-29", IF(Table2[[#This Row],[Customer_Age]]&lt;40,"30-39", IF(Table2[[#This Row],[Customer_Age]]&lt;50,"40-49", IF(Table2[[#This Row],[Customer_Age]]&lt;60,"50-59", IF(Table2[[#This Row],[Customer_Age]]&lt;70,"60-69","70+"))))))</f>
        <v>20-29</v>
      </c>
    </row>
    <row r="40" spans="1:10">
      <c r="A40" s="31" t="s">
        <v>76</v>
      </c>
      <c r="B40" s="38" t="s">
        <v>69</v>
      </c>
      <c r="C40" s="39" t="s">
        <v>25</v>
      </c>
      <c r="D40" s="17">
        <v>1892.2</v>
      </c>
      <c r="E40" s="22">
        <v>21</v>
      </c>
      <c r="F40" s="26">
        <v>45248</v>
      </c>
      <c r="G40" s="38" t="s">
        <v>13</v>
      </c>
      <c r="H40" s="38" t="s">
        <v>14</v>
      </c>
      <c r="I40" s="2" t="str">
        <f>TEXT(Table2[[#This Row],[Booking_Date]],"mmmm")</f>
        <v>November</v>
      </c>
      <c r="J40" s="6" t="str">
        <f>IF(Table2[[#This Row],[Customer_Age]]&lt;20,"10-19", IF(Table2[[#This Row],[Customer_Age]]&lt;30,"20-29", IF(Table2[[#This Row],[Customer_Age]]&lt;40,"30-39", IF(Table2[[#This Row],[Customer_Age]]&lt;50,"40-49", IF(Table2[[#This Row],[Customer_Age]]&lt;60,"50-59", IF(Table2[[#This Row],[Customer_Age]]&lt;70,"60-69","70+"))))))</f>
        <v>20-29</v>
      </c>
    </row>
    <row r="41" spans="1:10">
      <c r="A41" s="32" t="s">
        <v>77</v>
      </c>
      <c r="B41" s="39" t="s">
        <v>34</v>
      </c>
      <c r="C41" s="39" t="s">
        <v>51</v>
      </c>
      <c r="D41" s="18">
        <v>1356.56</v>
      </c>
      <c r="E41" s="23">
        <v>51</v>
      </c>
      <c r="F41" s="27">
        <v>45088</v>
      </c>
      <c r="G41" s="39" t="s">
        <v>13</v>
      </c>
      <c r="H41" s="39" t="s">
        <v>14</v>
      </c>
      <c r="I41" s="2" t="str">
        <f>TEXT(Table2[[#This Row],[Booking_Date]],"mmmm")</f>
        <v>June</v>
      </c>
      <c r="J41" s="6" t="str">
        <f>IF(Table2[[#This Row],[Customer_Age]]&lt;20,"10-19", IF(Table2[[#This Row],[Customer_Age]]&lt;30,"20-29", IF(Table2[[#This Row],[Customer_Age]]&lt;40,"30-39", IF(Table2[[#This Row],[Customer_Age]]&lt;50,"40-49", IF(Table2[[#This Row],[Customer_Age]]&lt;60,"50-59", IF(Table2[[#This Row],[Customer_Age]]&lt;70,"60-69","70+"))))))</f>
        <v>50-59</v>
      </c>
    </row>
    <row r="42" spans="1:10">
      <c r="A42" s="31" t="s">
        <v>78</v>
      </c>
      <c r="B42" s="38" t="s">
        <v>38</v>
      </c>
      <c r="C42" s="39" t="s">
        <v>17</v>
      </c>
      <c r="D42" s="17">
        <v>1568.58</v>
      </c>
      <c r="E42" s="22">
        <v>61</v>
      </c>
      <c r="F42" s="26">
        <v>45167</v>
      </c>
      <c r="G42" s="38" t="s">
        <v>22</v>
      </c>
      <c r="H42" s="38" t="s">
        <v>14</v>
      </c>
      <c r="I42" s="2" t="str">
        <f>TEXT(Table2[[#This Row],[Booking_Date]],"mmmm")</f>
        <v>August</v>
      </c>
      <c r="J42" s="6" t="str">
        <f>IF(Table2[[#This Row],[Customer_Age]]&lt;20,"10-19", IF(Table2[[#This Row],[Customer_Age]]&lt;30,"20-29", IF(Table2[[#This Row],[Customer_Age]]&lt;40,"30-39", IF(Table2[[#This Row],[Customer_Age]]&lt;50,"40-49", IF(Table2[[#This Row],[Customer_Age]]&lt;60,"50-59", IF(Table2[[#This Row],[Customer_Age]]&lt;70,"60-69","70+"))))))</f>
        <v>60-69</v>
      </c>
    </row>
    <row r="43" spans="1:10">
      <c r="A43" s="32" t="s">
        <v>79</v>
      </c>
      <c r="B43" s="39" t="s">
        <v>34</v>
      </c>
      <c r="C43" s="39" t="s">
        <v>35</v>
      </c>
      <c r="D43" s="18">
        <v>1531.51</v>
      </c>
      <c r="E43" s="23">
        <v>20</v>
      </c>
      <c r="F43" s="27">
        <v>45561</v>
      </c>
      <c r="G43" s="39" t="s">
        <v>13</v>
      </c>
      <c r="H43" s="39" t="s">
        <v>45</v>
      </c>
      <c r="I43" s="2" t="str">
        <f>TEXT(Table2[[#This Row],[Booking_Date]],"mmmm")</f>
        <v>September</v>
      </c>
      <c r="J43" s="6" t="str">
        <f>IF(Table2[[#This Row],[Customer_Age]]&lt;20,"10-19", IF(Table2[[#This Row],[Customer_Age]]&lt;30,"20-29", IF(Table2[[#This Row],[Customer_Age]]&lt;40,"30-39", IF(Table2[[#This Row],[Customer_Age]]&lt;50,"40-49", IF(Table2[[#This Row],[Customer_Age]]&lt;60,"50-59", IF(Table2[[#This Row],[Customer_Age]]&lt;70,"60-69","70+"))))))</f>
        <v>20-29</v>
      </c>
    </row>
    <row r="44" spans="1:10">
      <c r="A44" s="31" t="s">
        <v>80</v>
      </c>
      <c r="B44" s="38" t="s">
        <v>34</v>
      </c>
      <c r="C44" s="39" t="s">
        <v>25</v>
      </c>
      <c r="D44" s="17">
        <v>1402.4</v>
      </c>
      <c r="E44" s="22">
        <v>34</v>
      </c>
      <c r="F44" s="26">
        <v>45136</v>
      </c>
      <c r="G44" s="38" t="s">
        <v>22</v>
      </c>
      <c r="H44" s="38" t="s">
        <v>18</v>
      </c>
      <c r="I44" s="2" t="str">
        <f>TEXT(Table2[[#This Row],[Booking_Date]],"mmmm")</f>
        <v>July</v>
      </c>
      <c r="J44" s="6" t="str">
        <f>IF(Table2[[#This Row],[Customer_Age]]&lt;20,"10-19", IF(Table2[[#This Row],[Customer_Age]]&lt;30,"20-29", IF(Table2[[#This Row],[Customer_Age]]&lt;40,"30-39", IF(Table2[[#This Row],[Customer_Age]]&lt;50,"40-49", IF(Table2[[#This Row],[Customer_Age]]&lt;60,"50-59", IF(Table2[[#This Row],[Customer_Age]]&lt;70,"60-69","70+"))))))</f>
        <v>30-39</v>
      </c>
    </row>
    <row r="45" spans="1:10">
      <c r="A45" s="32" t="s">
        <v>81</v>
      </c>
      <c r="B45" s="39" t="s">
        <v>28</v>
      </c>
      <c r="C45" s="39" t="s">
        <v>49</v>
      </c>
      <c r="D45" s="18">
        <v>501.02</v>
      </c>
      <c r="E45" s="23">
        <v>59</v>
      </c>
      <c r="F45" s="27">
        <v>45234</v>
      </c>
      <c r="G45" s="39" t="s">
        <v>22</v>
      </c>
      <c r="H45" s="39" t="s">
        <v>26</v>
      </c>
      <c r="I45" s="2" t="str">
        <f>TEXT(Table2[[#This Row],[Booking_Date]],"mmmm")</f>
        <v>November</v>
      </c>
      <c r="J45" s="6" t="str">
        <f>IF(Table2[[#This Row],[Customer_Age]]&lt;20,"10-19", IF(Table2[[#This Row],[Customer_Age]]&lt;30,"20-29", IF(Table2[[#This Row],[Customer_Age]]&lt;40,"30-39", IF(Table2[[#This Row],[Customer_Age]]&lt;50,"40-49", IF(Table2[[#This Row],[Customer_Age]]&lt;60,"50-59", IF(Table2[[#This Row],[Customer_Age]]&lt;70,"60-69","70+"))))))</f>
        <v>50-59</v>
      </c>
    </row>
    <row r="46" spans="1:10">
      <c r="A46" s="31" t="s">
        <v>82</v>
      </c>
      <c r="B46" s="38" t="s">
        <v>11</v>
      </c>
      <c r="C46" s="39" t="s">
        <v>12</v>
      </c>
      <c r="D46" s="17">
        <v>1254.06</v>
      </c>
      <c r="E46" s="22">
        <v>54</v>
      </c>
      <c r="F46" s="26">
        <v>45029</v>
      </c>
      <c r="G46" s="38" t="s">
        <v>13</v>
      </c>
      <c r="H46" s="38" t="s">
        <v>18</v>
      </c>
      <c r="I46" s="2" t="str">
        <f>TEXT(Table2[[#This Row],[Booking_Date]],"mmmm")</f>
        <v>April</v>
      </c>
      <c r="J46" s="6" t="str">
        <f>IF(Table2[[#This Row],[Customer_Age]]&lt;20,"10-19", IF(Table2[[#This Row],[Customer_Age]]&lt;30,"20-29", IF(Table2[[#This Row],[Customer_Age]]&lt;40,"30-39", IF(Table2[[#This Row],[Customer_Age]]&lt;50,"40-49", IF(Table2[[#This Row],[Customer_Age]]&lt;60,"50-59", IF(Table2[[#This Row],[Customer_Age]]&lt;70,"60-69","70+"))))))</f>
        <v>50-59</v>
      </c>
    </row>
    <row r="47" spans="1:10">
      <c r="A47" s="32" t="s">
        <v>83</v>
      </c>
      <c r="B47" s="39" t="s">
        <v>28</v>
      </c>
      <c r="C47" s="39" t="s">
        <v>29</v>
      </c>
      <c r="D47" s="18">
        <v>1207.82</v>
      </c>
      <c r="E47" s="23">
        <v>52</v>
      </c>
      <c r="F47" s="27">
        <v>45647</v>
      </c>
      <c r="G47" s="39" t="s">
        <v>22</v>
      </c>
      <c r="H47" s="39" t="s">
        <v>14</v>
      </c>
      <c r="I47" s="2" t="str">
        <f>TEXT(Table2[[#This Row],[Booking_Date]],"mmmm")</f>
        <v>December</v>
      </c>
      <c r="J47" s="6" t="str">
        <f>IF(Table2[[#This Row],[Customer_Age]]&lt;20,"10-19", IF(Table2[[#This Row],[Customer_Age]]&lt;30,"20-29", IF(Table2[[#This Row],[Customer_Age]]&lt;40,"30-39", IF(Table2[[#This Row],[Customer_Age]]&lt;50,"40-49", IF(Table2[[#This Row],[Customer_Age]]&lt;60,"50-59", IF(Table2[[#This Row],[Customer_Age]]&lt;70,"60-69","70+"))))))</f>
        <v>50-59</v>
      </c>
    </row>
    <row r="48" spans="1:10">
      <c r="A48" s="31" t="s">
        <v>84</v>
      </c>
      <c r="B48" s="38" t="s">
        <v>16</v>
      </c>
      <c r="C48" s="39" t="s">
        <v>55</v>
      </c>
      <c r="D48" s="17">
        <v>2343.04</v>
      </c>
      <c r="E48" s="22">
        <v>24</v>
      </c>
      <c r="F48" s="26">
        <v>45064</v>
      </c>
      <c r="G48" s="38" t="s">
        <v>22</v>
      </c>
      <c r="H48" s="38" t="s">
        <v>14</v>
      </c>
      <c r="I48" s="2" t="str">
        <f>TEXT(Table2[[#This Row],[Booking_Date]],"mmmm")</f>
        <v>May</v>
      </c>
      <c r="J48" s="6" t="str">
        <f>IF(Table2[[#This Row],[Customer_Age]]&lt;20,"10-19", IF(Table2[[#This Row],[Customer_Age]]&lt;30,"20-29", IF(Table2[[#This Row],[Customer_Age]]&lt;40,"30-39", IF(Table2[[#This Row],[Customer_Age]]&lt;50,"40-49", IF(Table2[[#This Row],[Customer_Age]]&lt;60,"50-59", IF(Table2[[#This Row],[Customer_Age]]&lt;70,"60-69","70+"))))))</f>
        <v>20-29</v>
      </c>
    </row>
    <row r="49" spans="1:10">
      <c r="A49" s="32" t="s">
        <v>85</v>
      </c>
      <c r="B49" s="39" t="s">
        <v>11</v>
      </c>
      <c r="C49" s="39" t="s">
        <v>41</v>
      </c>
      <c r="D49" s="18">
        <v>1472.41</v>
      </c>
      <c r="E49" s="23">
        <v>35</v>
      </c>
      <c r="F49" s="27">
        <v>45215</v>
      </c>
      <c r="G49" s="39" t="s">
        <v>13</v>
      </c>
      <c r="H49" s="39" t="s">
        <v>26</v>
      </c>
      <c r="I49" s="2" t="str">
        <f>TEXT(Table2[[#This Row],[Booking_Date]],"mmmm")</f>
        <v>October</v>
      </c>
      <c r="J49" s="6" t="str">
        <f>IF(Table2[[#This Row],[Customer_Age]]&lt;20,"10-19", IF(Table2[[#This Row],[Customer_Age]]&lt;30,"20-29", IF(Table2[[#This Row],[Customer_Age]]&lt;40,"30-39", IF(Table2[[#This Row],[Customer_Age]]&lt;50,"40-49", IF(Table2[[#This Row],[Customer_Age]]&lt;60,"50-59", IF(Table2[[#This Row],[Customer_Age]]&lt;70,"60-69","70+"))))))</f>
        <v>30-39</v>
      </c>
    </row>
    <row r="50" spans="1:10">
      <c r="A50" s="31" t="s">
        <v>86</v>
      </c>
      <c r="B50" s="38" t="s">
        <v>20</v>
      </c>
      <c r="C50" s="39" t="s">
        <v>47</v>
      </c>
      <c r="D50" s="17">
        <v>1658.75</v>
      </c>
      <c r="E50" s="22">
        <v>34</v>
      </c>
      <c r="F50" s="26">
        <v>45444</v>
      </c>
      <c r="G50" s="38" t="s">
        <v>22</v>
      </c>
      <c r="H50" s="38" t="s">
        <v>26</v>
      </c>
      <c r="I50" s="2" t="str">
        <f>TEXT(Table2[[#This Row],[Booking_Date]],"mmmm")</f>
        <v>June</v>
      </c>
      <c r="J50" s="6" t="str">
        <f>IF(Table2[[#This Row],[Customer_Age]]&lt;20,"10-19", IF(Table2[[#This Row],[Customer_Age]]&lt;30,"20-29", IF(Table2[[#This Row],[Customer_Age]]&lt;40,"30-39", IF(Table2[[#This Row],[Customer_Age]]&lt;50,"40-49", IF(Table2[[#This Row],[Customer_Age]]&lt;60,"50-59", IF(Table2[[#This Row],[Customer_Age]]&lt;70,"60-69","70+"))))))</f>
        <v>30-39</v>
      </c>
    </row>
    <row r="51" spans="1:10">
      <c r="A51" s="32" t="s">
        <v>87</v>
      </c>
      <c r="B51" s="39" t="s">
        <v>69</v>
      </c>
      <c r="C51" s="39" t="s">
        <v>17</v>
      </c>
      <c r="D51" s="18">
        <v>1658.85</v>
      </c>
      <c r="E51" s="23">
        <v>35</v>
      </c>
      <c r="F51" s="27">
        <v>44972</v>
      </c>
      <c r="G51" s="39" t="s">
        <v>13</v>
      </c>
      <c r="H51" s="39" t="s">
        <v>26</v>
      </c>
      <c r="I51" s="2" t="str">
        <f>TEXT(Table2[[#This Row],[Booking_Date]],"mmmm")</f>
        <v>February</v>
      </c>
      <c r="J51" s="6" t="str">
        <f>IF(Table2[[#This Row],[Customer_Age]]&lt;20,"10-19", IF(Table2[[#This Row],[Customer_Age]]&lt;30,"20-29", IF(Table2[[#This Row],[Customer_Age]]&lt;40,"30-39", IF(Table2[[#This Row],[Customer_Age]]&lt;50,"40-49", IF(Table2[[#This Row],[Customer_Age]]&lt;60,"50-59", IF(Table2[[#This Row],[Customer_Age]]&lt;70,"60-69","70+"))))))</f>
        <v>30-39</v>
      </c>
    </row>
    <row r="52" spans="1:10">
      <c r="A52" s="31" t="s">
        <v>88</v>
      </c>
      <c r="B52" s="38" t="s">
        <v>38</v>
      </c>
      <c r="C52" s="39" t="s">
        <v>47</v>
      </c>
      <c r="D52" s="17">
        <v>2453.54</v>
      </c>
      <c r="E52" s="22">
        <v>28</v>
      </c>
      <c r="F52" s="26">
        <v>45379</v>
      </c>
      <c r="G52" s="38" t="s">
        <v>22</v>
      </c>
      <c r="H52" s="38" t="s">
        <v>14</v>
      </c>
      <c r="I52" s="2" t="str">
        <f>TEXT(Table2[[#This Row],[Booking_Date]],"mmmm")</f>
        <v>March</v>
      </c>
      <c r="J52" s="6" t="str">
        <f>IF(Table2[[#This Row],[Customer_Age]]&lt;20,"10-19", IF(Table2[[#This Row],[Customer_Age]]&lt;30,"20-29", IF(Table2[[#This Row],[Customer_Age]]&lt;40,"30-39", IF(Table2[[#This Row],[Customer_Age]]&lt;50,"40-49", IF(Table2[[#This Row],[Customer_Age]]&lt;60,"50-59", IF(Table2[[#This Row],[Customer_Age]]&lt;70,"60-69","70+"))))))</f>
        <v>20-29</v>
      </c>
    </row>
    <row r="53" spans="1:10">
      <c r="A53" s="32" t="s">
        <v>89</v>
      </c>
      <c r="B53" s="39" t="s">
        <v>11</v>
      </c>
      <c r="C53" s="39" t="s">
        <v>17</v>
      </c>
      <c r="D53" s="18">
        <v>2373.62</v>
      </c>
      <c r="E53" s="23">
        <v>62</v>
      </c>
      <c r="F53" s="27">
        <v>45079</v>
      </c>
      <c r="G53" s="39" t="s">
        <v>13</v>
      </c>
      <c r="H53" s="39" t="s">
        <v>26</v>
      </c>
      <c r="I53" s="2" t="str">
        <f>TEXT(Table2[[#This Row],[Booking_Date]],"mmmm")</f>
        <v>June</v>
      </c>
      <c r="J53" s="6" t="str">
        <f>IF(Table2[[#This Row],[Customer_Age]]&lt;20,"10-19", IF(Table2[[#This Row],[Customer_Age]]&lt;30,"20-29", IF(Table2[[#This Row],[Customer_Age]]&lt;40,"30-39", IF(Table2[[#This Row],[Customer_Age]]&lt;50,"40-49", IF(Table2[[#This Row],[Customer_Age]]&lt;60,"50-59", IF(Table2[[#This Row],[Customer_Age]]&lt;70,"60-69","70+"))))))</f>
        <v>60-69</v>
      </c>
    </row>
    <row r="54" spans="1:10">
      <c r="A54" s="31" t="s">
        <v>90</v>
      </c>
      <c r="B54" s="38" t="s">
        <v>34</v>
      </c>
      <c r="C54" s="39" t="s">
        <v>21</v>
      </c>
      <c r="D54" s="17">
        <v>540.62</v>
      </c>
      <c r="E54" s="22">
        <v>26</v>
      </c>
      <c r="F54" s="26">
        <v>44969</v>
      </c>
      <c r="G54" s="38" t="s">
        <v>22</v>
      </c>
      <c r="H54" s="38" t="s">
        <v>26</v>
      </c>
      <c r="I54" s="2" t="str">
        <f>TEXT(Table2[[#This Row],[Booking_Date]],"mmmm")</f>
        <v>February</v>
      </c>
      <c r="J54" s="6" t="str">
        <f>IF(Table2[[#This Row],[Customer_Age]]&lt;20,"10-19", IF(Table2[[#This Row],[Customer_Age]]&lt;30,"20-29", IF(Table2[[#This Row],[Customer_Age]]&lt;40,"30-39", IF(Table2[[#This Row],[Customer_Age]]&lt;50,"40-49", IF(Table2[[#This Row],[Customer_Age]]&lt;60,"50-59", IF(Table2[[#This Row],[Customer_Age]]&lt;70,"60-69","70+"))))))</f>
        <v>20-29</v>
      </c>
    </row>
    <row r="55" spans="1:10">
      <c r="A55" s="32" t="s">
        <v>91</v>
      </c>
      <c r="B55" s="39" t="s">
        <v>69</v>
      </c>
      <c r="C55" s="39" t="s">
        <v>39</v>
      </c>
      <c r="D55" s="18">
        <v>683.18</v>
      </c>
      <c r="E55" s="23">
        <v>33</v>
      </c>
      <c r="F55" s="27">
        <v>45609</v>
      </c>
      <c r="G55" s="39" t="s">
        <v>13</v>
      </c>
      <c r="H55" s="39" t="s">
        <v>26</v>
      </c>
      <c r="I55" s="2" t="str">
        <f>TEXT(Table2[[#This Row],[Booking_Date]],"mmmm")</f>
        <v>November</v>
      </c>
      <c r="J55" s="6" t="str">
        <f>IF(Table2[[#This Row],[Customer_Age]]&lt;20,"10-19", IF(Table2[[#This Row],[Customer_Age]]&lt;30,"20-29", IF(Table2[[#This Row],[Customer_Age]]&lt;40,"30-39", IF(Table2[[#This Row],[Customer_Age]]&lt;50,"40-49", IF(Table2[[#This Row],[Customer_Age]]&lt;60,"50-59", IF(Table2[[#This Row],[Customer_Age]]&lt;70,"60-69","70+"))))))</f>
        <v>30-39</v>
      </c>
    </row>
    <row r="56" spans="1:10">
      <c r="A56" s="31" t="s">
        <v>92</v>
      </c>
      <c r="B56" s="38" t="s">
        <v>16</v>
      </c>
      <c r="C56" s="39" t="s">
        <v>49</v>
      </c>
      <c r="D56" s="17">
        <v>2439.83</v>
      </c>
      <c r="E56" s="22">
        <v>65</v>
      </c>
      <c r="F56" s="26">
        <v>45085</v>
      </c>
      <c r="G56" s="38" t="s">
        <v>13</v>
      </c>
      <c r="H56" s="38" t="s">
        <v>18</v>
      </c>
      <c r="I56" s="2" t="str">
        <f>TEXT(Table2[[#This Row],[Booking_Date]],"mmmm")</f>
        <v>June</v>
      </c>
      <c r="J56" s="6" t="str">
        <f>IF(Table2[[#This Row],[Customer_Age]]&lt;20,"10-19", IF(Table2[[#This Row],[Customer_Age]]&lt;30,"20-29", IF(Table2[[#This Row],[Customer_Age]]&lt;40,"30-39", IF(Table2[[#This Row],[Customer_Age]]&lt;50,"40-49", IF(Table2[[#This Row],[Customer_Age]]&lt;60,"50-59", IF(Table2[[#This Row],[Customer_Age]]&lt;70,"60-69","70+"))))))</f>
        <v>60-69</v>
      </c>
    </row>
    <row r="57" spans="1:10">
      <c r="A57" s="32" t="s">
        <v>93</v>
      </c>
      <c r="B57" s="39" t="s">
        <v>38</v>
      </c>
      <c r="C57" s="39" t="s">
        <v>49</v>
      </c>
      <c r="D57" s="18">
        <v>257.01</v>
      </c>
      <c r="E57" s="23">
        <v>65</v>
      </c>
      <c r="F57" s="27">
        <v>45267</v>
      </c>
      <c r="G57" s="39" t="s">
        <v>22</v>
      </c>
      <c r="H57" s="39" t="s">
        <v>18</v>
      </c>
      <c r="I57" s="2" t="str">
        <f>TEXT(Table2[[#This Row],[Booking_Date]],"mmmm")</f>
        <v>December</v>
      </c>
      <c r="J57" s="6" t="str">
        <f>IF(Table2[[#This Row],[Customer_Age]]&lt;20,"10-19", IF(Table2[[#This Row],[Customer_Age]]&lt;30,"20-29", IF(Table2[[#This Row],[Customer_Age]]&lt;40,"30-39", IF(Table2[[#This Row],[Customer_Age]]&lt;50,"40-49", IF(Table2[[#This Row],[Customer_Age]]&lt;60,"50-59", IF(Table2[[#This Row],[Customer_Age]]&lt;70,"60-69","70+"))))))</f>
        <v>60-69</v>
      </c>
    </row>
    <row r="58" spans="1:10">
      <c r="A58" s="31" t="s">
        <v>94</v>
      </c>
      <c r="B58" s="38" t="s">
        <v>28</v>
      </c>
      <c r="C58" s="39" t="s">
        <v>29</v>
      </c>
      <c r="D58" s="17">
        <v>2010.96</v>
      </c>
      <c r="E58" s="22">
        <v>24</v>
      </c>
      <c r="F58" s="26">
        <v>45318</v>
      </c>
      <c r="G58" s="38" t="s">
        <v>13</v>
      </c>
      <c r="H58" s="38" t="s">
        <v>45</v>
      </c>
      <c r="I58" s="2" t="str">
        <f>TEXT(Table2[[#This Row],[Booking_Date]],"mmmm")</f>
        <v>January</v>
      </c>
      <c r="J58" s="6" t="str">
        <f>IF(Table2[[#This Row],[Customer_Age]]&lt;20,"10-19", IF(Table2[[#This Row],[Customer_Age]]&lt;30,"20-29", IF(Table2[[#This Row],[Customer_Age]]&lt;40,"30-39", IF(Table2[[#This Row],[Customer_Age]]&lt;50,"40-49", IF(Table2[[#This Row],[Customer_Age]]&lt;60,"50-59", IF(Table2[[#This Row],[Customer_Age]]&lt;70,"60-69","70+"))))))</f>
        <v>20-29</v>
      </c>
    </row>
    <row r="59" spans="1:10">
      <c r="A59" s="32" t="s">
        <v>95</v>
      </c>
      <c r="B59" s="39" t="s">
        <v>20</v>
      </c>
      <c r="C59" s="39" t="s">
        <v>35</v>
      </c>
      <c r="D59" s="18">
        <v>2078.15</v>
      </c>
      <c r="E59" s="23">
        <v>47</v>
      </c>
      <c r="F59" s="27">
        <v>45285</v>
      </c>
      <c r="G59" s="39" t="s">
        <v>22</v>
      </c>
      <c r="H59" s="39" t="s">
        <v>18</v>
      </c>
      <c r="I59" s="2" t="str">
        <f>TEXT(Table2[[#This Row],[Booking_Date]],"mmmm")</f>
        <v>December</v>
      </c>
      <c r="J59" s="6" t="str">
        <f>IF(Table2[[#This Row],[Customer_Age]]&lt;20,"10-19", IF(Table2[[#This Row],[Customer_Age]]&lt;30,"20-29", IF(Table2[[#This Row],[Customer_Age]]&lt;40,"30-39", IF(Table2[[#This Row],[Customer_Age]]&lt;50,"40-49", IF(Table2[[#This Row],[Customer_Age]]&lt;60,"50-59", IF(Table2[[#This Row],[Customer_Age]]&lt;70,"60-69","70+"))))))</f>
        <v>40-49</v>
      </c>
    </row>
    <row r="60" spans="1:10">
      <c r="A60" s="31" t="s">
        <v>96</v>
      </c>
      <c r="B60" s="38" t="s">
        <v>20</v>
      </c>
      <c r="C60" s="39" t="s">
        <v>12</v>
      </c>
      <c r="D60" s="17">
        <v>1718.08</v>
      </c>
      <c r="E60" s="22">
        <v>43</v>
      </c>
      <c r="F60" s="26">
        <v>45263</v>
      </c>
      <c r="G60" s="38" t="s">
        <v>22</v>
      </c>
      <c r="H60" s="38" t="s">
        <v>14</v>
      </c>
      <c r="I60" s="2" t="str">
        <f>TEXT(Table2[[#This Row],[Booking_Date]],"mmmm")</f>
        <v>December</v>
      </c>
      <c r="J60" s="6" t="str">
        <f>IF(Table2[[#This Row],[Customer_Age]]&lt;20,"10-19", IF(Table2[[#This Row],[Customer_Age]]&lt;30,"20-29", IF(Table2[[#This Row],[Customer_Age]]&lt;40,"30-39", IF(Table2[[#This Row],[Customer_Age]]&lt;50,"40-49", IF(Table2[[#This Row],[Customer_Age]]&lt;60,"50-59", IF(Table2[[#This Row],[Customer_Age]]&lt;70,"60-69","70+"))))))</f>
        <v>40-49</v>
      </c>
    </row>
    <row r="61" spans="1:10">
      <c r="A61" s="32" t="s">
        <v>97</v>
      </c>
      <c r="B61" s="39" t="s">
        <v>28</v>
      </c>
      <c r="C61" s="39" t="s">
        <v>39</v>
      </c>
      <c r="D61" s="18">
        <v>1675.41</v>
      </c>
      <c r="E61" s="23">
        <v>43</v>
      </c>
      <c r="F61" s="27">
        <v>45622</v>
      </c>
      <c r="G61" s="39" t="s">
        <v>22</v>
      </c>
      <c r="H61" s="39" t="s">
        <v>14</v>
      </c>
      <c r="I61" s="2" t="str">
        <f>TEXT(Table2[[#This Row],[Booking_Date]],"mmmm")</f>
        <v>November</v>
      </c>
      <c r="J61" s="6" t="str">
        <f>IF(Table2[[#This Row],[Customer_Age]]&lt;20,"10-19", IF(Table2[[#This Row],[Customer_Age]]&lt;30,"20-29", IF(Table2[[#This Row],[Customer_Age]]&lt;40,"30-39", IF(Table2[[#This Row],[Customer_Age]]&lt;50,"40-49", IF(Table2[[#This Row],[Customer_Age]]&lt;60,"50-59", IF(Table2[[#This Row],[Customer_Age]]&lt;70,"60-69","70+"))))))</f>
        <v>40-49</v>
      </c>
    </row>
    <row r="62" spans="1:10">
      <c r="A62" s="31" t="s">
        <v>98</v>
      </c>
      <c r="B62" s="38" t="s">
        <v>11</v>
      </c>
      <c r="C62" s="39" t="s">
        <v>55</v>
      </c>
      <c r="D62" s="17">
        <v>610.71</v>
      </c>
      <c r="E62" s="22">
        <v>34</v>
      </c>
      <c r="F62" s="26">
        <v>44966</v>
      </c>
      <c r="G62" s="38" t="s">
        <v>13</v>
      </c>
      <c r="H62" s="38" t="s">
        <v>45</v>
      </c>
      <c r="I62" s="2" t="str">
        <f>TEXT(Table2[[#This Row],[Booking_Date]],"mmmm")</f>
        <v>February</v>
      </c>
      <c r="J62" s="6" t="str">
        <f>IF(Table2[[#This Row],[Customer_Age]]&lt;20,"10-19", IF(Table2[[#This Row],[Customer_Age]]&lt;30,"20-29", IF(Table2[[#This Row],[Customer_Age]]&lt;40,"30-39", IF(Table2[[#This Row],[Customer_Age]]&lt;50,"40-49", IF(Table2[[#This Row],[Customer_Age]]&lt;60,"50-59", IF(Table2[[#This Row],[Customer_Age]]&lt;70,"60-69","70+"))))))</f>
        <v>30-39</v>
      </c>
    </row>
    <row r="63" spans="1:10">
      <c r="A63" s="32" t="s">
        <v>99</v>
      </c>
      <c r="B63" s="39" t="s">
        <v>43</v>
      </c>
      <c r="C63" s="39" t="s">
        <v>41</v>
      </c>
      <c r="D63" s="18">
        <v>2008.78</v>
      </c>
      <c r="E63" s="23">
        <v>45</v>
      </c>
      <c r="F63" s="27">
        <v>45547</v>
      </c>
      <c r="G63" s="39" t="s">
        <v>13</v>
      </c>
      <c r="H63" s="39" t="s">
        <v>45</v>
      </c>
      <c r="I63" s="2" t="str">
        <f>TEXT(Table2[[#This Row],[Booking_Date]],"mmmm")</f>
        <v>September</v>
      </c>
      <c r="J63" s="6" t="str">
        <f>IF(Table2[[#This Row],[Customer_Age]]&lt;20,"10-19", IF(Table2[[#This Row],[Customer_Age]]&lt;30,"20-29", IF(Table2[[#This Row],[Customer_Age]]&lt;40,"30-39", IF(Table2[[#This Row],[Customer_Age]]&lt;50,"40-49", IF(Table2[[#This Row],[Customer_Age]]&lt;60,"50-59", IF(Table2[[#This Row],[Customer_Age]]&lt;70,"60-69","70+"))))))</f>
        <v>40-49</v>
      </c>
    </row>
    <row r="64" spans="1:10">
      <c r="A64" s="31" t="s">
        <v>100</v>
      </c>
      <c r="B64" s="38" t="s">
        <v>34</v>
      </c>
      <c r="C64" s="39" t="s">
        <v>35</v>
      </c>
      <c r="D64" s="17">
        <v>785.86</v>
      </c>
      <c r="E64" s="22">
        <v>63</v>
      </c>
      <c r="F64" s="26">
        <v>45373</v>
      </c>
      <c r="G64" s="38" t="s">
        <v>13</v>
      </c>
      <c r="H64" s="38" t="s">
        <v>18</v>
      </c>
      <c r="I64" s="2" t="str">
        <f>TEXT(Table2[[#This Row],[Booking_Date]],"mmmm")</f>
        <v>March</v>
      </c>
      <c r="J64" s="6" t="str">
        <f>IF(Table2[[#This Row],[Customer_Age]]&lt;20,"10-19", IF(Table2[[#This Row],[Customer_Age]]&lt;30,"20-29", IF(Table2[[#This Row],[Customer_Age]]&lt;40,"30-39", IF(Table2[[#This Row],[Customer_Age]]&lt;50,"40-49", IF(Table2[[#This Row],[Customer_Age]]&lt;60,"50-59", IF(Table2[[#This Row],[Customer_Age]]&lt;70,"60-69","70+"))))))</f>
        <v>60-69</v>
      </c>
    </row>
    <row r="65" spans="1:10">
      <c r="A65" s="32" t="s">
        <v>101</v>
      </c>
      <c r="B65" s="39" t="s">
        <v>43</v>
      </c>
      <c r="C65" s="39" t="s">
        <v>49</v>
      </c>
      <c r="D65" s="18">
        <v>360.94</v>
      </c>
      <c r="E65" s="23">
        <v>60</v>
      </c>
      <c r="F65" s="27">
        <v>45265</v>
      </c>
      <c r="G65" s="39" t="s">
        <v>22</v>
      </c>
      <c r="H65" s="39" t="s">
        <v>14</v>
      </c>
      <c r="I65" s="2" t="str">
        <f>TEXT(Table2[[#This Row],[Booking_Date]],"mmmm")</f>
        <v>December</v>
      </c>
      <c r="J65" s="6" t="str">
        <f>IF(Table2[[#This Row],[Customer_Age]]&lt;20,"10-19", IF(Table2[[#This Row],[Customer_Age]]&lt;30,"20-29", IF(Table2[[#This Row],[Customer_Age]]&lt;40,"30-39", IF(Table2[[#This Row],[Customer_Age]]&lt;50,"40-49", IF(Table2[[#This Row],[Customer_Age]]&lt;60,"50-59", IF(Table2[[#This Row],[Customer_Age]]&lt;70,"60-69","70+"))))))</f>
        <v>60-69</v>
      </c>
    </row>
    <row r="66" spans="1:10">
      <c r="A66" s="31" t="s">
        <v>102</v>
      </c>
      <c r="B66" s="38" t="s">
        <v>28</v>
      </c>
      <c r="C66" s="39" t="s">
        <v>21</v>
      </c>
      <c r="D66" s="17">
        <v>911.35</v>
      </c>
      <c r="E66" s="22">
        <v>44</v>
      </c>
      <c r="F66" s="26">
        <v>45261</v>
      </c>
      <c r="G66" s="38" t="s">
        <v>22</v>
      </c>
      <c r="H66" s="38" t="s">
        <v>26</v>
      </c>
      <c r="I66" s="2" t="str">
        <f>TEXT(Table2[[#This Row],[Booking_Date]],"mmmm")</f>
        <v>December</v>
      </c>
      <c r="J66" s="6" t="str">
        <f>IF(Table2[[#This Row],[Customer_Age]]&lt;20,"10-19", IF(Table2[[#This Row],[Customer_Age]]&lt;30,"20-29", IF(Table2[[#This Row],[Customer_Age]]&lt;40,"30-39", IF(Table2[[#This Row],[Customer_Age]]&lt;50,"40-49", IF(Table2[[#This Row],[Customer_Age]]&lt;60,"50-59", IF(Table2[[#This Row],[Customer_Age]]&lt;70,"60-69","70+"))))))</f>
        <v>40-49</v>
      </c>
    </row>
    <row r="67" spans="1:10">
      <c r="A67" s="32" t="s">
        <v>103</v>
      </c>
      <c r="B67" s="39" t="s">
        <v>16</v>
      </c>
      <c r="C67" s="39" t="s">
        <v>29</v>
      </c>
      <c r="D67" s="18">
        <v>641.23</v>
      </c>
      <c r="E67" s="23">
        <v>60</v>
      </c>
      <c r="F67" s="27">
        <v>45315</v>
      </c>
      <c r="G67" s="39" t="s">
        <v>13</v>
      </c>
      <c r="H67" s="39" t="s">
        <v>26</v>
      </c>
      <c r="I67" s="2" t="str">
        <f>TEXT(Table2[[#This Row],[Booking_Date]],"mmmm")</f>
        <v>January</v>
      </c>
      <c r="J67" s="6" t="str">
        <f>IF(Table2[[#This Row],[Customer_Age]]&lt;20,"10-19", IF(Table2[[#This Row],[Customer_Age]]&lt;30,"20-29", IF(Table2[[#This Row],[Customer_Age]]&lt;40,"30-39", IF(Table2[[#This Row],[Customer_Age]]&lt;50,"40-49", IF(Table2[[#This Row],[Customer_Age]]&lt;60,"50-59", IF(Table2[[#This Row],[Customer_Age]]&lt;70,"60-69","70+"))))))</f>
        <v>60-69</v>
      </c>
    </row>
    <row r="68" spans="1:10">
      <c r="A68" s="31" t="s">
        <v>104</v>
      </c>
      <c r="B68" s="38" t="s">
        <v>31</v>
      </c>
      <c r="C68" s="39" t="s">
        <v>21</v>
      </c>
      <c r="D68" s="17">
        <v>2117.5700000000002</v>
      </c>
      <c r="E68" s="22">
        <v>37</v>
      </c>
      <c r="F68" s="26">
        <v>45220</v>
      </c>
      <c r="G68" s="38" t="s">
        <v>13</v>
      </c>
      <c r="H68" s="38" t="s">
        <v>45</v>
      </c>
      <c r="I68" s="2" t="str">
        <f>TEXT(Table2[[#This Row],[Booking_Date]],"mmmm")</f>
        <v>October</v>
      </c>
      <c r="J68" s="6" t="str">
        <f>IF(Table2[[#This Row],[Customer_Age]]&lt;20,"10-19", IF(Table2[[#This Row],[Customer_Age]]&lt;30,"20-29", IF(Table2[[#This Row],[Customer_Age]]&lt;40,"30-39", IF(Table2[[#This Row],[Customer_Age]]&lt;50,"40-49", IF(Table2[[#This Row],[Customer_Age]]&lt;60,"50-59", IF(Table2[[#This Row],[Customer_Age]]&lt;70,"60-69","70+"))))))</f>
        <v>30-39</v>
      </c>
    </row>
    <row r="69" spans="1:10">
      <c r="A69" s="32" t="s">
        <v>105</v>
      </c>
      <c r="B69" s="39" t="s">
        <v>34</v>
      </c>
      <c r="C69" s="39" t="s">
        <v>25</v>
      </c>
      <c r="D69" s="18">
        <v>1705.82</v>
      </c>
      <c r="E69" s="23">
        <v>47</v>
      </c>
      <c r="F69" s="27">
        <v>45379</v>
      </c>
      <c r="G69" s="39" t="s">
        <v>22</v>
      </c>
      <c r="H69" s="39" t="s">
        <v>18</v>
      </c>
      <c r="I69" s="2" t="str">
        <f>TEXT(Table2[[#This Row],[Booking_Date]],"mmmm")</f>
        <v>March</v>
      </c>
      <c r="J69" s="6" t="str">
        <f>IF(Table2[[#This Row],[Customer_Age]]&lt;20,"10-19", IF(Table2[[#This Row],[Customer_Age]]&lt;30,"20-29", IF(Table2[[#This Row],[Customer_Age]]&lt;40,"30-39", IF(Table2[[#This Row],[Customer_Age]]&lt;50,"40-49", IF(Table2[[#This Row],[Customer_Age]]&lt;60,"50-59", IF(Table2[[#This Row],[Customer_Age]]&lt;70,"60-69","70+"))))))</f>
        <v>40-49</v>
      </c>
    </row>
    <row r="70" spans="1:10">
      <c r="A70" s="31" t="s">
        <v>106</v>
      </c>
      <c r="B70" s="38" t="s">
        <v>16</v>
      </c>
      <c r="C70" s="39" t="s">
        <v>51</v>
      </c>
      <c r="D70" s="17">
        <v>2025.59</v>
      </c>
      <c r="E70" s="22">
        <v>68</v>
      </c>
      <c r="F70" s="26">
        <v>45100</v>
      </c>
      <c r="G70" s="38" t="s">
        <v>13</v>
      </c>
      <c r="H70" s="38" t="s">
        <v>26</v>
      </c>
      <c r="I70" s="2" t="str">
        <f>TEXT(Table2[[#This Row],[Booking_Date]],"mmmm")</f>
        <v>June</v>
      </c>
      <c r="J70" s="6" t="str">
        <f>IF(Table2[[#This Row],[Customer_Age]]&lt;20,"10-19", IF(Table2[[#This Row],[Customer_Age]]&lt;30,"20-29", IF(Table2[[#This Row],[Customer_Age]]&lt;40,"30-39", IF(Table2[[#This Row],[Customer_Age]]&lt;50,"40-49", IF(Table2[[#This Row],[Customer_Age]]&lt;60,"50-59", IF(Table2[[#This Row],[Customer_Age]]&lt;70,"60-69","70+"))))))</f>
        <v>60-69</v>
      </c>
    </row>
    <row r="71" spans="1:10">
      <c r="A71" s="32" t="s">
        <v>107</v>
      </c>
      <c r="B71" s="39" t="s">
        <v>16</v>
      </c>
      <c r="C71" s="39" t="s">
        <v>47</v>
      </c>
      <c r="D71" s="18">
        <v>1655.76</v>
      </c>
      <c r="E71" s="23">
        <v>39</v>
      </c>
      <c r="F71" s="27">
        <v>45022</v>
      </c>
      <c r="G71" s="39" t="s">
        <v>13</v>
      </c>
      <c r="H71" s="39" t="s">
        <v>26</v>
      </c>
      <c r="I71" s="2" t="str">
        <f>TEXT(Table2[[#This Row],[Booking_Date]],"mmmm")</f>
        <v>April</v>
      </c>
      <c r="J71" s="6" t="str">
        <f>IF(Table2[[#This Row],[Customer_Age]]&lt;20,"10-19", IF(Table2[[#This Row],[Customer_Age]]&lt;30,"20-29", IF(Table2[[#This Row],[Customer_Age]]&lt;40,"30-39", IF(Table2[[#This Row],[Customer_Age]]&lt;50,"40-49", IF(Table2[[#This Row],[Customer_Age]]&lt;60,"50-59", IF(Table2[[#This Row],[Customer_Age]]&lt;70,"60-69","70+"))))))</f>
        <v>30-39</v>
      </c>
    </row>
    <row r="72" spans="1:10">
      <c r="A72" s="31" t="s">
        <v>108</v>
      </c>
      <c r="B72" s="38" t="s">
        <v>20</v>
      </c>
      <c r="C72" s="39" t="s">
        <v>35</v>
      </c>
      <c r="D72" s="17">
        <v>538.91</v>
      </c>
      <c r="E72" s="22">
        <v>20</v>
      </c>
      <c r="F72" s="26">
        <v>45177</v>
      </c>
      <c r="G72" s="38" t="s">
        <v>22</v>
      </c>
      <c r="H72" s="38" t="s">
        <v>14</v>
      </c>
      <c r="I72" s="2" t="str">
        <f>TEXT(Table2[[#This Row],[Booking_Date]],"mmmm")</f>
        <v>September</v>
      </c>
      <c r="J72" s="6" t="str">
        <f>IF(Table2[[#This Row],[Customer_Age]]&lt;20,"10-19", IF(Table2[[#This Row],[Customer_Age]]&lt;30,"20-29", IF(Table2[[#This Row],[Customer_Age]]&lt;40,"30-39", IF(Table2[[#This Row],[Customer_Age]]&lt;50,"40-49", IF(Table2[[#This Row],[Customer_Age]]&lt;60,"50-59", IF(Table2[[#This Row],[Customer_Age]]&lt;70,"60-69","70+"))))))</f>
        <v>20-29</v>
      </c>
    </row>
    <row r="73" spans="1:10">
      <c r="A73" s="32" t="s">
        <v>109</v>
      </c>
      <c r="B73" s="39" t="s">
        <v>24</v>
      </c>
      <c r="C73" s="39" t="s">
        <v>49</v>
      </c>
      <c r="D73" s="18">
        <v>2238.11</v>
      </c>
      <c r="E73" s="23">
        <v>54</v>
      </c>
      <c r="F73" s="27">
        <v>45126</v>
      </c>
      <c r="G73" s="39" t="s">
        <v>22</v>
      </c>
      <c r="H73" s="39" t="s">
        <v>45</v>
      </c>
      <c r="I73" s="2" t="str">
        <f>TEXT(Table2[[#This Row],[Booking_Date]],"mmmm")</f>
        <v>July</v>
      </c>
      <c r="J73" s="6" t="str">
        <f>IF(Table2[[#This Row],[Customer_Age]]&lt;20,"10-19", IF(Table2[[#This Row],[Customer_Age]]&lt;30,"20-29", IF(Table2[[#This Row],[Customer_Age]]&lt;40,"30-39", IF(Table2[[#This Row],[Customer_Age]]&lt;50,"40-49", IF(Table2[[#This Row],[Customer_Age]]&lt;60,"50-59", IF(Table2[[#This Row],[Customer_Age]]&lt;70,"60-69","70+"))))))</f>
        <v>50-59</v>
      </c>
    </row>
    <row r="74" spans="1:10">
      <c r="A74" s="31" t="s">
        <v>110</v>
      </c>
      <c r="B74" s="38" t="s">
        <v>31</v>
      </c>
      <c r="C74" s="39" t="s">
        <v>35</v>
      </c>
      <c r="D74" s="17">
        <v>539.41</v>
      </c>
      <c r="E74" s="22">
        <v>62</v>
      </c>
      <c r="F74" s="26">
        <v>44932</v>
      </c>
      <c r="G74" s="38" t="s">
        <v>13</v>
      </c>
      <c r="H74" s="38" t="s">
        <v>45</v>
      </c>
      <c r="I74" s="2" t="str">
        <f>TEXT(Table2[[#This Row],[Booking_Date]],"mmmm")</f>
        <v>January</v>
      </c>
      <c r="J74" s="6" t="str">
        <f>IF(Table2[[#This Row],[Customer_Age]]&lt;20,"10-19", IF(Table2[[#This Row],[Customer_Age]]&lt;30,"20-29", IF(Table2[[#This Row],[Customer_Age]]&lt;40,"30-39", IF(Table2[[#This Row],[Customer_Age]]&lt;50,"40-49", IF(Table2[[#This Row],[Customer_Age]]&lt;60,"50-59", IF(Table2[[#This Row],[Customer_Age]]&lt;70,"60-69","70+"))))))</f>
        <v>60-69</v>
      </c>
    </row>
    <row r="75" spans="1:10">
      <c r="A75" s="32" t="s">
        <v>111</v>
      </c>
      <c r="B75" s="39" t="s">
        <v>20</v>
      </c>
      <c r="C75" s="39" t="s">
        <v>29</v>
      </c>
      <c r="D75" s="18">
        <v>2049.4499999999998</v>
      </c>
      <c r="E75" s="23">
        <v>62</v>
      </c>
      <c r="F75" s="27">
        <v>45457</v>
      </c>
      <c r="G75" s="39" t="s">
        <v>22</v>
      </c>
      <c r="H75" s="39" t="s">
        <v>14</v>
      </c>
      <c r="I75" s="2" t="str">
        <f>TEXT(Table2[[#This Row],[Booking_Date]],"mmmm")</f>
        <v>June</v>
      </c>
      <c r="J75" s="6" t="str">
        <f>IF(Table2[[#This Row],[Customer_Age]]&lt;20,"10-19", IF(Table2[[#This Row],[Customer_Age]]&lt;30,"20-29", IF(Table2[[#This Row],[Customer_Age]]&lt;40,"30-39", IF(Table2[[#This Row],[Customer_Age]]&lt;50,"40-49", IF(Table2[[#This Row],[Customer_Age]]&lt;60,"50-59", IF(Table2[[#This Row],[Customer_Age]]&lt;70,"60-69","70+"))))))</f>
        <v>60-69</v>
      </c>
    </row>
    <row r="76" spans="1:10">
      <c r="A76" s="31" t="s">
        <v>112</v>
      </c>
      <c r="B76" s="38" t="s">
        <v>16</v>
      </c>
      <c r="C76" s="39" t="s">
        <v>35</v>
      </c>
      <c r="D76" s="17">
        <v>2310.1799999999998</v>
      </c>
      <c r="E76" s="22">
        <v>25</v>
      </c>
      <c r="F76" s="26">
        <v>45394</v>
      </c>
      <c r="G76" s="38" t="s">
        <v>13</v>
      </c>
      <c r="H76" s="38" t="s">
        <v>45</v>
      </c>
      <c r="I76" s="2" t="str">
        <f>TEXT(Table2[[#This Row],[Booking_Date]],"mmmm")</f>
        <v>April</v>
      </c>
      <c r="J76" s="6" t="str">
        <f>IF(Table2[[#This Row],[Customer_Age]]&lt;20,"10-19", IF(Table2[[#This Row],[Customer_Age]]&lt;30,"20-29", IF(Table2[[#This Row],[Customer_Age]]&lt;40,"30-39", IF(Table2[[#This Row],[Customer_Age]]&lt;50,"40-49", IF(Table2[[#This Row],[Customer_Age]]&lt;60,"50-59", IF(Table2[[#This Row],[Customer_Age]]&lt;70,"60-69","70+"))))))</f>
        <v>20-29</v>
      </c>
    </row>
    <row r="77" spans="1:10">
      <c r="A77" s="32" t="s">
        <v>113</v>
      </c>
      <c r="B77" s="39" t="s">
        <v>16</v>
      </c>
      <c r="C77" s="39" t="s">
        <v>21</v>
      </c>
      <c r="D77" s="18">
        <v>1569.54</v>
      </c>
      <c r="E77" s="23">
        <v>66</v>
      </c>
      <c r="F77" s="27">
        <v>45380</v>
      </c>
      <c r="G77" s="39" t="s">
        <v>22</v>
      </c>
      <c r="H77" s="39" t="s">
        <v>45</v>
      </c>
      <c r="I77" s="2" t="str">
        <f>TEXT(Table2[[#This Row],[Booking_Date]],"mmmm")</f>
        <v>March</v>
      </c>
      <c r="J77" s="6" t="str">
        <f>IF(Table2[[#This Row],[Customer_Age]]&lt;20,"10-19", IF(Table2[[#This Row],[Customer_Age]]&lt;30,"20-29", IF(Table2[[#This Row],[Customer_Age]]&lt;40,"30-39", IF(Table2[[#This Row],[Customer_Age]]&lt;50,"40-49", IF(Table2[[#This Row],[Customer_Age]]&lt;60,"50-59", IF(Table2[[#This Row],[Customer_Age]]&lt;70,"60-69","70+"))))))</f>
        <v>60-69</v>
      </c>
    </row>
    <row r="78" spans="1:10">
      <c r="A78" s="31" t="s">
        <v>114</v>
      </c>
      <c r="B78" s="38" t="s">
        <v>38</v>
      </c>
      <c r="C78" s="39" t="s">
        <v>41</v>
      </c>
      <c r="D78" s="17">
        <v>2181.44</v>
      </c>
      <c r="E78" s="22">
        <v>46</v>
      </c>
      <c r="F78" s="26">
        <v>45192</v>
      </c>
      <c r="G78" s="38" t="s">
        <v>13</v>
      </c>
      <c r="H78" s="38" t="s">
        <v>26</v>
      </c>
      <c r="I78" s="2" t="str">
        <f>TEXT(Table2[[#This Row],[Booking_Date]],"mmmm")</f>
        <v>September</v>
      </c>
      <c r="J78" s="6" t="str">
        <f>IF(Table2[[#This Row],[Customer_Age]]&lt;20,"10-19", IF(Table2[[#This Row],[Customer_Age]]&lt;30,"20-29", IF(Table2[[#This Row],[Customer_Age]]&lt;40,"30-39", IF(Table2[[#This Row],[Customer_Age]]&lt;50,"40-49", IF(Table2[[#This Row],[Customer_Age]]&lt;60,"50-59", IF(Table2[[#This Row],[Customer_Age]]&lt;70,"60-69","70+"))))))</f>
        <v>40-49</v>
      </c>
    </row>
    <row r="79" spans="1:10">
      <c r="A79" s="32" t="s">
        <v>115</v>
      </c>
      <c r="B79" s="39" t="s">
        <v>16</v>
      </c>
      <c r="C79" s="39" t="s">
        <v>51</v>
      </c>
      <c r="D79" s="18">
        <v>1641.52</v>
      </c>
      <c r="E79" s="23">
        <v>35</v>
      </c>
      <c r="F79" s="27">
        <v>45377</v>
      </c>
      <c r="G79" s="39" t="s">
        <v>13</v>
      </c>
      <c r="H79" s="39" t="s">
        <v>26</v>
      </c>
      <c r="I79" s="2" t="str">
        <f>TEXT(Table2[[#This Row],[Booking_Date]],"mmmm")</f>
        <v>March</v>
      </c>
      <c r="J79" s="6" t="str">
        <f>IF(Table2[[#This Row],[Customer_Age]]&lt;20,"10-19", IF(Table2[[#This Row],[Customer_Age]]&lt;30,"20-29", IF(Table2[[#This Row],[Customer_Age]]&lt;40,"30-39", IF(Table2[[#This Row],[Customer_Age]]&lt;50,"40-49", IF(Table2[[#This Row],[Customer_Age]]&lt;60,"50-59", IF(Table2[[#This Row],[Customer_Age]]&lt;70,"60-69","70+"))))))</f>
        <v>30-39</v>
      </c>
    </row>
    <row r="80" spans="1:10">
      <c r="A80" s="31" t="s">
        <v>116</v>
      </c>
      <c r="B80" s="38" t="s">
        <v>20</v>
      </c>
      <c r="C80" s="39" t="s">
        <v>55</v>
      </c>
      <c r="D80" s="17">
        <v>972.45</v>
      </c>
      <c r="E80" s="22">
        <v>52</v>
      </c>
      <c r="F80" s="26">
        <v>45009</v>
      </c>
      <c r="G80" s="38" t="s">
        <v>13</v>
      </c>
      <c r="H80" s="38" t="s">
        <v>18</v>
      </c>
      <c r="I80" s="2" t="str">
        <f>TEXT(Table2[[#This Row],[Booking_Date]],"mmmm")</f>
        <v>March</v>
      </c>
      <c r="J80" s="6" t="str">
        <f>IF(Table2[[#This Row],[Customer_Age]]&lt;20,"10-19", IF(Table2[[#This Row],[Customer_Age]]&lt;30,"20-29", IF(Table2[[#This Row],[Customer_Age]]&lt;40,"30-39", IF(Table2[[#This Row],[Customer_Age]]&lt;50,"40-49", IF(Table2[[#This Row],[Customer_Age]]&lt;60,"50-59", IF(Table2[[#This Row],[Customer_Age]]&lt;70,"60-69","70+"))))))</f>
        <v>50-59</v>
      </c>
    </row>
    <row r="81" spans="1:10">
      <c r="A81" s="32" t="s">
        <v>117</v>
      </c>
      <c r="B81" s="39" t="s">
        <v>20</v>
      </c>
      <c r="C81" s="39" t="s">
        <v>49</v>
      </c>
      <c r="D81" s="18">
        <v>1796.08</v>
      </c>
      <c r="E81" s="23">
        <v>63</v>
      </c>
      <c r="F81" s="27">
        <v>45146</v>
      </c>
      <c r="G81" s="39" t="s">
        <v>13</v>
      </c>
      <c r="H81" s="39" t="s">
        <v>45</v>
      </c>
      <c r="I81" s="2" t="str">
        <f>TEXT(Table2[[#This Row],[Booking_Date]],"mmmm")</f>
        <v>August</v>
      </c>
      <c r="J81" s="6" t="str">
        <f>IF(Table2[[#This Row],[Customer_Age]]&lt;20,"10-19", IF(Table2[[#This Row],[Customer_Age]]&lt;30,"20-29", IF(Table2[[#This Row],[Customer_Age]]&lt;40,"30-39", IF(Table2[[#This Row],[Customer_Age]]&lt;50,"40-49", IF(Table2[[#This Row],[Customer_Age]]&lt;60,"50-59", IF(Table2[[#This Row],[Customer_Age]]&lt;70,"60-69","70+"))))))</f>
        <v>60-69</v>
      </c>
    </row>
    <row r="82" spans="1:10">
      <c r="A82" s="31" t="s">
        <v>118</v>
      </c>
      <c r="B82" s="38" t="s">
        <v>31</v>
      </c>
      <c r="C82" s="39" t="s">
        <v>39</v>
      </c>
      <c r="D82" s="17">
        <v>1448.01</v>
      </c>
      <c r="E82" s="22">
        <v>44</v>
      </c>
      <c r="F82" s="26">
        <v>44990</v>
      </c>
      <c r="G82" s="38" t="s">
        <v>13</v>
      </c>
      <c r="H82" s="38" t="s">
        <v>45</v>
      </c>
      <c r="I82" s="2" t="str">
        <f>TEXT(Table2[[#This Row],[Booking_Date]],"mmmm")</f>
        <v>March</v>
      </c>
      <c r="J82" s="6" t="str">
        <f>IF(Table2[[#This Row],[Customer_Age]]&lt;20,"10-19", IF(Table2[[#This Row],[Customer_Age]]&lt;30,"20-29", IF(Table2[[#This Row],[Customer_Age]]&lt;40,"30-39", IF(Table2[[#This Row],[Customer_Age]]&lt;50,"40-49", IF(Table2[[#This Row],[Customer_Age]]&lt;60,"50-59", IF(Table2[[#This Row],[Customer_Age]]&lt;70,"60-69","70+"))))))</f>
        <v>40-49</v>
      </c>
    </row>
    <row r="83" spans="1:10">
      <c r="A83" s="32" t="s">
        <v>119</v>
      </c>
      <c r="B83" s="39" t="s">
        <v>31</v>
      </c>
      <c r="C83" s="39" t="s">
        <v>25</v>
      </c>
      <c r="D83" s="18">
        <v>2375.94</v>
      </c>
      <c r="E83" s="23">
        <v>19</v>
      </c>
      <c r="F83" s="27">
        <v>45516</v>
      </c>
      <c r="G83" s="39" t="s">
        <v>22</v>
      </c>
      <c r="H83" s="39" t="s">
        <v>45</v>
      </c>
      <c r="I83" s="2" t="str">
        <f>TEXT(Table2[[#This Row],[Booking_Date]],"mmmm")</f>
        <v>August</v>
      </c>
      <c r="J83" s="6" t="str">
        <f>IF(Table2[[#This Row],[Customer_Age]]&lt;20,"10-19", IF(Table2[[#This Row],[Customer_Age]]&lt;30,"20-29", IF(Table2[[#This Row],[Customer_Age]]&lt;40,"30-39", IF(Table2[[#This Row],[Customer_Age]]&lt;50,"40-49", IF(Table2[[#This Row],[Customer_Age]]&lt;60,"50-59", IF(Table2[[#This Row],[Customer_Age]]&lt;70,"60-69","70+"))))))</f>
        <v>10-19</v>
      </c>
    </row>
    <row r="84" spans="1:10">
      <c r="A84" s="31" t="s">
        <v>120</v>
      </c>
      <c r="B84" s="38" t="s">
        <v>69</v>
      </c>
      <c r="C84" s="39" t="s">
        <v>39</v>
      </c>
      <c r="D84" s="17">
        <v>886.81</v>
      </c>
      <c r="E84" s="22">
        <v>42</v>
      </c>
      <c r="F84" s="26">
        <v>45356</v>
      </c>
      <c r="G84" s="38" t="s">
        <v>13</v>
      </c>
      <c r="H84" s="38" t="s">
        <v>45</v>
      </c>
      <c r="I84" s="2" t="str">
        <f>TEXT(Table2[[#This Row],[Booking_Date]],"mmmm")</f>
        <v>March</v>
      </c>
      <c r="J84" s="6" t="str">
        <f>IF(Table2[[#This Row],[Customer_Age]]&lt;20,"10-19", IF(Table2[[#This Row],[Customer_Age]]&lt;30,"20-29", IF(Table2[[#This Row],[Customer_Age]]&lt;40,"30-39", IF(Table2[[#This Row],[Customer_Age]]&lt;50,"40-49", IF(Table2[[#This Row],[Customer_Age]]&lt;60,"50-59", IF(Table2[[#This Row],[Customer_Age]]&lt;70,"60-69","70+"))))))</f>
        <v>40-49</v>
      </c>
    </row>
    <row r="85" spans="1:10">
      <c r="A85" s="33">
        <v>13871559</v>
      </c>
      <c r="B85" s="39" t="s">
        <v>20</v>
      </c>
      <c r="C85" s="39" t="s">
        <v>55</v>
      </c>
      <c r="D85" s="18">
        <v>1202.42</v>
      </c>
      <c r="E85" s="23">
        <v>19</v>
      </c>
      <c r="F85" s="27">
        <v>45325</v>
      </c>
      <c r="G85" s="39" t="s">
        <v>22</v>
      </c>
      <c r="H85" s="39" t="s">
        <v>45</v>
      </c>
      <c r="I85" s="2" t="str">
        <f>TEXT(Table2[[#This Row],[Booking_Date]],"mmmm")</f>
        <v>February</v>
      </c>
      <c r="J85" s="6" t="str">
        <f>IF(Table2[[#This Row],[Customer_Age]]&lt;20,"10-19", IF(Table2[[#This Row],[Customer_Age]]&lt;30,"20-29", IF(Table2[[#This Row],[Customer_Age]]&lt;40,"30-39", IF(Table2[[#This Row],[Customer_Age]]&lt;50,"40-49", IF(Table2[[#This Row],[Customer_Age]]&lt;60,"50-59", IF(Table2[[#This Row],[Customer_Age]]&lt;70,"60-69","70+"))))))</f>
        <v>10-19</v>
      </c>
    </row>
    <row r="86" spans="1:10">
      <c r="A86" s="31" t="s">
        <v>121</v>
      </c>
      <c r="B86" s="38" t="s">
        <v>38</v>
      </c>
      <c r="C86" s="39" t="s">
        <v>51</v>
      </c>
      <c r="D86" s="17">
        <v>2314.9499999999998</v>
      </c>
      <c r="E86" s="22">
        <v>57</v>
      </c>
      <c r="F86" s="26">
        <v>45473</v>
      </c>
      <c r="G86" s="38" t="s">
        <v>13</v>
      </c>
      <c r="H86" s="38" t="s">
        <v>45</v>
      </c>
      <c r="I86" s="2" t="str">
        <f>TEXT(Table2[[#This Row],[Booking_Date]],"mmmm")</f>
        <v>June</v>
      </c>
      <c r="J86" s="6" t="str">
        <f>IF(Table2[[#This Row],[Customer_Age]]&lt;20,"10-19", IF(Table2[[#This Row],[Customer_Age]]&lt;30,"20-29", IF(Table2[[#This Row],[Customer_Age]]&lt;40,"30-39", IF(Table2[[#This Row],[Customer_Age]]&lt;50,"40-49", IF(Table2[[#This Row],[Customer_Age]]&lt;60,"50-59", IF(Table2[[#This Row],[Customer_Age]]&lt;70,"60-69","70+"))))))</f>
        <v>50-59</v>
      </c>
    </row>
    <row r="87" spans="1:10">
      <c r="A87" s="32" t="s">
        <v>122</v>
      </c>
      <c r="B87" s="39" t="s">
        <v>34</v>
      </c>
      <c r="C87" s="39" t="s">
        <v>25</v>
      </c>
      <c r="D87" s="18">
        <v>1724.9</v>
      </c>
      <c r="E87" s="23">
        <v>23</v>
      </c>
      <c r="F87" s="27">
        <v>45585</v>
      </c>
      <c r="G87" s="39" t="s">
        <v>22</v>
      </c>
      <c r="H87" s="39" t="s">
        <v>18</v>
      </c>
      <c r="I87" s="2" t="str">
        <f>TEXT(Table2[[#This Row],[Booking_Date]],"mmmm")</f>
        <v>October</v>
      </c>
      <c r="J87" s="6" t="str">
        <f>IF(Table2[[#This Row],[Customer_Age]]&lt;20,"10-19", IF(Table2[[#This Row],[Customer_Age]]&lt;30,"20-29", IF(Table2[[#This Row],[Customer_Age]]&lt;40,"30-39", IF(Table2[[#This Row],[Customer_Age]]&lt;50,"40-49", IF(Table2[[#This Row],[Customer_Age]]&lt;60,"50-59", IF(Table2[[#This Row],[Customer_Age]]&lt;70,"60-69","70+"))))))</f>
        <v>20-29</v>
      </c>
    </row>
    <row r="88" spans="1:10">
      <c r="A88" s="31" t="s">
        <v>123</v>
      </c>
      <c r="B88" s="38" t="s">
        <v>24</v>
      </c>
      <c r="C88" s="39" t="s">
        <v>29</v>
      </c>
      <c r="D88" s="17">
        <v>315.64999999999998</v>
      </c>
      <c r="E88" s="22">
        <v>42</v>
      </c>
      <c r="F88" s="26">
        <v>45262</v>
      </c>
      <c r="G88" s="38" t="s">
        <v>13</v>
      </c>
      <c r="H88" s="38" t="s">
        <v>45</v>
      </c>
      <c r="I88" s="2" t="str">
        <f>TEXT(Table2[[#This Row],[Booking_Date]],"mmmm")</f>
        <v>December</v>
      </c>
      <c r="J88" s="6" t="str">
        <f>IF(Table2[[#This Row],[Customer_Age]]&lt;20,"10-19", IF(Table2[[#This Row],[Customer_Age]]&lt;30,"20-29", IF(Table2[[#This Row],[Customer_Age]]&lt;40,"30-39", IF(Table2[[#This Row],[Customer_Age]]&lt;50,"40-49", IF(Table2[[#This Row],[Customer_Age]]&lt;60,"50-59", IF(Table2[[#This Row],[Customer_Age]]&lt;70,"60-69","70+"))))))</f>
        <v>40-49</v>
      </c>
    </row>
    <row r="89" spans="1:10">
      <c r="A89" s="32" t="s">
        <v>124</v>
      </c>
      <c r="B89" s="39" t="s">
        <v>43</v>
      </c>
      <c r="C89" s="39" t="s">
        <v>39</v>
      </c>
      <c r="D89" s="18">
        <v>1950.83</v>
      </c>
      <c r="E89" s="23">
        <v>42</v>
      </c>
      <c r="F89" s="27">
        <v>45211</v>
      </c>
      <c r="G89" s="39" t="s">
        <v>22</v>
      </c>
      <c r="H89" s="39" t="s">
        <v>26</v>
      </c>
      <c r="I89" s="2" t="str">
        <f>TEXT(Table2[[#This Row],[Booking_Date]],"mmmm")</f>
        <v>October</v>
      </c>
      <c r="J89" s="6" t="str">
        <f>IF(Table2[[#This Row],[Customer_Age]]&lt;20,"10-19", IF(Table2[[#This Row],[Customer_Age]]&lt;30,"20-29", IF(Table2[[#This Row],[Customer_Age]]&lt;40,"30-39", IF(Table2[[#This Row],[Customer_Age]]&lt;50,"40-49", IF(Table2[[#This Row],[Customer_Age]]&lt;60,"50-59", IF(Table2[[#This Row],[Customer_Age]]&lt;70,"60-69","70+"))))))</f>
        <v>40-49</v>
      </c>
    </row>
    <row r="90" spans="1:10">
      <c r="A90" s="31" t="s">
        <v>125</v>
      </c>
      <c r="B90" s="38" t="s">
        <v>11</v>
      </c>
      <c r="C90" s="39" t="s">
        <v>51</v>
      </c>
      <c r="D90" s="17">
        <v>244.58</v>
      </c>
      <c r="E90" s="22">
        <v>52</v>
      </c>
      <c r="F90" s="26">
        <v>44980</v>
      </c>
      <c r="G90" s="38" t="s">
        <v>22</v>
      </c>
      <c r="H90" s="38" t="s">
        <v>18</v>
      </c>
      <c r="I90" s="2" t="str">
        <f>TEXT(Table2[[#This Row],[Booking_Date]],"mmmm")</f>
        <v>February</v>
      </c>
      <c r="J90" s="6" t="str">
        <f>IF(Table2[[#This Row],[Customer_Age]]&lt;20,"10-19", IF(Table2[[#This Row],[Customer_Age]]&lt;30,"20-29", IF(Table2[[#This Row],[Customer_Age]]&lt;40,"30-39", IF(Table2[[#This Row],[Customer_Age]]&lt;50,"40-49", IF(Table2[[#This Row],[Customer_Age]]&lt;60,"50-59", IF(Table2[[#This Row],[Customer_Age]]&lt;70,"60-69","70+"))))))</f>
        <v>50-59</v>
      </c>
    </row>
    <row r="91" spans="1:10">
      <c r="A91" s="32" t="s">
        <v>126</v>
      </c>
      <c r="B91" s="39" t="s">
        <v>11</v>
      </c>
      <c r="C91" s="39" t="s">
        <v>47</v>
      </c>
      <c r="D91" s="18">
        <v>292.58999999999997</v>
      </c>
      <c r="E91" s="23">
        <v>19</v>
      </c>
      <c r="F91" s="27">
        <v>45180</v>
      </c>
      <c r="G91" s="39" t="s">
        <v>13</v>
      </c>
      <c r="H91" s="39" t="s">
        <v>14</v>
      </c>
      <c r="I91" s="2" t="str">
        <f>TEXT(Table2[[#This Row],[Booking_Date]],"mmmm")</f>
        <v>September</v>
      </c>
      <c r="J91" s="6" t="str">
        <f>IF(Table2[[#This Row],[Customer_Age]]&lt;20,"10-19", IF(Table2[[#This Row],[Customer_Age]]&lt;30,"20-29", IF(Table2[[#This Row],[Customer_Age]]&lt;40,"30-39", IF(Table2[[#This Row],[Customer_Age]]&lt;50,"40-49", IF(Table2[[#This Row],[Customer_Age]]&lt;60,"50-59", IF(Table2[[#This Row],[Customer_Age]]&lt;70,"60-69","70+"))))))</f>
        <v>10-19</v>
      </c>
    </row>
    <row r="92" spans="1:10">
      <c r="A92" s="31" t="s">
        <v>127</v>
      </c>
      <c r="B92" s="38" t="s">
        <v>34</v>
      </c>
      <c r="C92" s="39" t="s">
        <v>29</v>
      </c>
      <c r="D92" s="17">
        <v>748.65</v>
      </c>
      <c r="E92" s="22">
        <v>48</v>
      </c>
      <c r="F92" s="26">
        <v>45612</v>
      </c>
      <c r="G92" s="38" t="s">
        <v>13</v>
      </c>
      <c r="H92" s="38" t="s">
        <v>18</v>
      </c>
      <c r="I92" s="2" t="str">
        <f>TEXT(Table2[[#This Row],[Booking_Date]],"mmmm")</f>
        <v>November</v>
      </c>
      <c r="J92" s="6" t="str">
        <f>IF(Table2[[#This Row],[Customer_Age]]&lt;20,"10-19", IF(Table2[[#This Row],[Customer_Age]]&lt;30,"20-29", IF(Table2[[#This Row],[Customer_Age]]&lt;40,"30-39", IF(Table2[[#This Row],[Customer_Age]]&lt;50,"40-49", IF(Table2[[#This Row],[Customer_Age]]&lt;60,"50-59", IF(Table2[[#This Row],[Customer_Age]]&lt;70,"60-69","70+"))))))</f>
        <v>40-49</v>
      </c>
    </row>
    <row r="93" spans="1:10">
      <c r="A93" s="32" t="s">
        <v>128</v>
      </c>
      <c r="B93" s="39" t="s">
        <v>24</v>
      </c>
      <c r="C93" s="39" t="s">
        <v>41</v>
      </c>
      <c r="D93" s="18">
        <v>789.36</v>
      </c>
      <c r="E93" s="23">
        <v>41</v>
      </c>
      <c r="F93" s="27">
        <v>45098</v>
      </c>
      <c r="G93" s="39" t="s">
        <v>13</v>
      </c>
      <c r="H93" s="39" t="s">
        <v>18</v>
      </c>
      <c r="I93" s="2" t="str">
        <f>TEXT(Table2[[#This Row],[Booking_Date]],"mmmm")</f>
        <v>June</v>
      </c>
      <c r="J93" s="6" t="str">
        <f>IF(Table2[[#This Row],[Customer_Age]]&lt;20,"10-19", IF(Table2[[#This Row],[Customer_Age]]&lt;30,"20-29", IF(Table2[[#This Row],[Customer_Age]]&lt;40,"30-39", IF(Table2[[#This Row],[Customer_Age]]&lt;50,"40-49", IF(Table2[[#This Row],[Customer_Age]]&lt;60,"50-59", IF(Table2[[#This Row],[Customer_Age]]&lt;70,"60-69","70+"))))))</f>
        <v>40-49</v>
      </c>
    </row>
    <row r="94" spans="1:10">
      <c r="A94" s="31" t="s">
        <v>129</v>
      </c>
      <c r="B94" s="38" t="s">
        <v>28</v>
      </c>
      <c r="C94" s="39" t="s">
        <v>17</v>
      </c>
      <c r="D94" s="17">
        <v>1530.97</v>
      </c>
      <c r="E94" s="22">
        <v>37</v>
      </c>
      <c r="F94" s="26">
        <v>45516</v>
      </c>
      <c r="G94" s="38" t="s">
        <v>22</v>
      </c>
      <c r="H94" s="38" t="s">
        <v>45</v>
      </c>
      <c r="I94" s="2" t="str">
        <f>TEXT(Table2[[#This Row],[Booking_Date]],"mmmm")</f>
        <v>August</v>
      </c>
      <c r="J94" s="6" t="str">
        <f>IF(Table2[[#This Row],[Customer_Age]]&lt;20,"10-19", IF(Table2[[#This Row],[Customer_Age]]&lt;30,"20-29", IF(Table2[[#This Row],[Customer_Age]]&lt;40,"30-39", IF(Table2[[#This Row],[Customer_Age]]&lt;50,"40-49", IF(Table2[[#This Row],[Customer_Age]]&lt;60,"50-59", IF(Table2[[#This Row],[Customer_Age]]&lt;70,"60-69","70+"))))))</f>
        <v>30-39</v>
      </c>
    </row>
    <row r="95" spans="1:10">
      <c r="A95" s="32" t="s">
        <v>130</v>
      </c>
      <c r="B95" s="39" t="s">
        <v>20</v>
      </c>
      <c r="C95" s="39" t="s">
        <v>17</v>
      </c>
      <c r="D95" s="18">
        <v>1561.83</v>
      </c>
      <c r="E95" s="23">
        <v>58</v>
      </c>
      <c r="F95" s="27">
        <v>45175</v>
      </c>
      <c r="G95" s="39" t="s">
        <v>13</v>
      </c>
      <c r="H95" s="39" t="s">
        <v>26</v>
      </c>
      <c r="I95" s="2" t="str">
        <f>TEXT(Table2[[#This Row],[Booking_Date]],"mmmm")</f>
        <v>September</v>
      </c>
      <c r="J95" s="6" t="str">
        <f>IF(Table2[[#This Row],[Customer_Age]]&lt;20,"10-19", IF(Table2[[#This Row],[Customer_Age]]&lt;30,"20-29", IF(Table2[[#This Row],[Customer_Age]]&lt;40,"30-39", IF(Table2[[#This Row],[Customer_Age]]&lt;50,"40-49", IF(Table2[[#This Row],[Customer_Age]]&lt;60,"50-59", IF(Table2[[#This Row],[Customer_Age]]&lt;70,"60-69","70+"))))))</f>
        <v>50-59</v>
      </c>
    </row>
    <row r="96" spans="1:10">
      <c r="A96" s="31" t="s">
        <v>131</v>
      </c>
      <c r="B96" s="38" t="s">
        <v>34</v>
      </c>
      <c r="C96" s="39" t="s">
        <v>17</v>
      </c>
      <c r="D96" s="17">
        <v>2031.32</v>
      </c>
      <c r="E96" s="22">
        <v>54</v>
      </c>
      <c r="F96" s="26">
        <v>44969</v>
      </c>
      <c r="G96" s="38" t="s">
        <v>22</v>
      </c>
      <c r="H96" s="38" t="s">
        <v>45</v>
      </c>
      <c r="I96" s="2" t="str">
        <f>TEXT(Table2[[#This Row],[Booking_Date]],"mmmm")</f>
        <v>February</v>
      </c>
      <c r="J96" s="6" t="str">
        <f>IF(Table2[[#This Row],[Customer_Age]]&lt;20,"10-19", IF(Table2[[#This Row],[Customer_Age]]&lt;30,"20-29", IF(Table2[[#This Row],[Customer_Age]]&lt;40,"30-39", IF(Table2[[#This Row],[Customer_Age]]&lt;50,"40-49", IF(Table2[[#This Row],[Customer_Age]]&lt;60,"50-59", IF(Table2[[#This Row],[Customer_Age]]&lt;70,"60-69","70+"))))))</f>
        <v>50-59</v>
      </c>
    </row>
    <row r="97" spans="1:10">
      <c r="A97" s="32" t="s">
        <v>132</v>
      </c>
      <c r="B97" s="39" t="s">
        <v>43</v>
      </c>
      <c r="C97" s="39" t="s">
        <v>17</v>
      </c>
      <c r="D97" s="18">
        <v>1363.71</v>
      </c>
      <c r="E97" s="23">
        <v>39</v>
      </c>
      <c r="F97" s="27">
        <v>44939</v>
      </c>
      <c r="G97" s="39" t="s">
        <v>22</v>
      </c>
      <c r="H97" s="39" t="s">
        <v>45</v>
      </c>
      <c r="I97" s="2" t="str">
        <f>TEXT(Table2[[#This Row],[Booking_Date]],"mmmm")</f>
        <v>January</v>
      </c>
      <c r="J97" s="6" t="str">
        <f>IF(Table2[[#This Row],[Customer_Age]]&lt;20,"10-19", IF(Table2[[#This Row],[Customer_Age]]&lt;30,"20-29", IF(Table2[[#This Row],[Customer_Age]]&lt;40,"30-39", IF(Table2[[#This Row],[Customer_Age]]&lt;50,"40-49", IF(Table2[[#This Row],[Customer_Age]]&lt;60,"50-59", IF(Table2[[#This Row],[Customer_Age]]&lt;70,"60-69","70+"))))))</f>
        <v>30-39</v>
      </c>
    </row>
    <row r="98" spans="1:10">
      <c r="A98" s="31" t="s">
        <v>133</v>
      </c>
      <c r="B98" s="38" t="s">
        <v>11</v>
      </c>
      <c r="C98" s="39" t="s">
        <v>49</v>
      </c>
      <c r="D98" s="17">
        <v>2409.81</v>
      </c>
      <c r="E98" s="22">
        <v>58</v>
      </c>
      <c r="F98" s="26">
        <v>45397</v>
      </c>
      <c r="G98" s="38" t="s">
        <v>13</v>
      </c>
      <c r="H98" s="38" t="s">
        <v>45</v>
      </c>
      <c r="I98" s="2" t="str">
        <f>TEXT(Table2[[#This Row],[Booking_Date]],"mmmm")</f>
        <v>April</v>
      </c>
      <c r="J98" s="6" t="str">
        <f>IF(Table2[[#This Row],[Customer_Age]]&lt;20,"10-19", IF(Table2[[#This Row],[Customer_Age]]&lt;30,"20-29", IF(Table2[[#This Row],[Customer_Age]]&lt;40,"30-39", IF(Table2[[#This Row],[Customer_Age]]&lt;50,"40-49", IF(Table2[[#This Row],[Customer_Age]]&lt;60,"50-59", IF(Table2[[#This Row],[Customer_Age]]&lt;70,"60-69","70+"))))))</f>
        <v>50-59</v>
      </c>
    </row>
    <row r="99" spans="1:10">
      <c r="A99" s="32" t="s">
        <v>134</v>
      </c>
      <c r="B99" s="39" t="s">
        <v>38</v>
      </c>
      <c r="C99" s="39" t="s">
        <v>41</v>
      </c>
      <c r="D99" s="18">
        <v>1400.02</v>
      </c>
      <c r="E99" s="23">
        <v>59</v>
      </c>
      <c r="F99" s="27">
        <v>45203</v>
      </c>
      <c r="G99" s="39" t="s">
        <v>22</v>
      </c>
      <c r="H99" s="39" t="s">
        <v>45</v>
      </c>
      <c r="I99" s="2" t="str">
        <f>TEXT(Table2[[#This Row],[Booking_Date]],"mmmm")</f>
        <v>October</v>
      </c>
      <c r="J99" s="6" t="str">
        <f>IF(Table2[[#This Row],[Customer_Age]]&lt;20,"10-19", IF(Table2[[#This Row],[Customer_Age]]&lt;30,"20-29", IF(Table2[[#This Row],[Customer_Age]]&lt;40,"30-39", IF(Table2[[#This Row],[Customer_Age]]&lt;50,"40-49", IF(Table2[[#This Row],[Customer_Age]]&lt;60,"50-59", IF(Table2[[#This Row],[Customer_Age]]&lt;70,"60-69","70+"))))))</f>
        <v>50-59</v>
      </c>
    </row>
    <row r="100" spans="1:10">
      <c r="A100" s="31" t="s">
        <v>135</v>
      </c>
      <c r="B100" s="38" t="s">
        <v>31</v>
      </c>
      <c r="C100" s="39" t="s">
        <v>41</v>
      </c>
      <c r="D100" s="17">
        <v>1562.69</v>
      </c>
      <c r="E100" s="22">
        <v>38</v>
      </c>
      <c r="F100" s="26">
        <v>45178</v>
      </c>
      <c r="G100" s="38" t="s">
        <v>13</v>
      </c>
      <c r="H100" s="38" t="s">
        <v>26</v>
      </c>
      <c r="I100" s="2" t="str">
        <f>TEXT(Table2[[#This Row],[Booking_Date]],"mmmm")</f>
        <v>September</v>
      </c>
      <c r="J100" s="6" t="str">
        <f>IF(Table2[[#This Row],[Customer_Age]]&lt;20,"10-19", IF(Table2[[#This Row],[Customer_Age]]&lt;30,"20-29", IF(Table2[[#This Row],[Customer_Age]]&lt;40,"30-39", IF(Table2[[#This Row],[Customer_Age]]&lt;50,"40-49", IF(Table2[[#This Row],[Customer_Age]]&lt;60,"50-59", IF(Table2[[#This Row],[Customer_Age]]&lt;70,"60-69","70+"))))))</f>
        <v>30-39</v>
      </c>
    </row>
    <row r="101" spans="1:10">
      <c r="A101" s="32" t="s">
        <v>136</v>
      </c>
      <c r="B101" s="39" t="s">
        <v>24</v>
      </c>
      <c r="C101" s="39" t="s">
        <v>35</v>
      </c>
      <c r="D101" s="18">
        <v>1926.1</v>
      </c>
      <c r="E101" s="23">
        <v>54</v>
      </c>
      <c r="F101" s="27">
        <v>45551</v>
      </c>
      <c r="G101" s="39" t="s">
        <v>22</v>
      </c>
      <c r="H101" s="39" t="s">
        <v>26</v>
      </c>
      <c r="I101" s="2" t="str">
        <f>TEXT(Table2[[#This Row],[Booking_Date]],"mmmm")</f>
        <v>September</v>
      </c>
      <c r="J101" s="6" t="str">
        <f>IF(Table2[[#This Row],[Customer_Age]]&lt;20,"10-19", IF(Table2[[#This Row],[Customer_Age]]&lt;30,"20-29", IF(Table2[[#This Row],[Customer_Age]]&lt;40,"30-39", IF(Table2[[#This Row],[Customer_Age]]&lt;50,"40-49", IF(Table2[[#This Row],[Customer_Age]]&lt;60,"50-59", IF(Table2[[#This Row],[Customer_Age]]&lt;70,"60-69","70+"))))))</f>
        <v>50-59</v>
      </c>
    </row>
    <row r="102" spans="1:10">
      <c r="A102" s="31" t="s">
        <v>137</v>
      </c>
      <c r="B102" s="38" t="s">
        <v>69</v>
      </c>
      <c r="C102" s="39" t="s">
        <v>51</v>
      </c>
      <c r="D102" s="17">
        <v>2157.19</v>
      </c>
      <c r="E102" s="22">
        <v>29</v>
      </c>
      <c r="F102" s="26">
        <v>45426</v>
      </c>
      <c r="G102" s="38" t="s">
        <v>13</v>
      </c>
      <c r="H102" s="38" t="s">
        <v>26</v>
      </c>
      <c r="I102" s="2" t="str">
        <f>TEXT(Table2[[#This Row],[Booking_Date]],"mmmm")</f>
        <v>May</v>
      </c>
      <c r="J102" s="6" t="str">
        <f>IF(Table2[[#This Row],[Customer_Age]]&lt;20,"10-19", IF(Table2[[#This Row],[Customer_Age]]&lt;30,"20-29", IF(Table2[[#This Row],[Customer_Age]]&lt;40,"30-39", IF(Table2[[#This Row],[Customer_Age]]&lt;50,"40-49", IF(Table2[[#This Row],[Customer_Age]]&lt;60,"50-59", IF(Table2[[#This Row],[Customer_Age]]&lt;70,"60-69","70+"))))))</f>
        <v>20-29</v>
      </c>
    </row>
    <row r="103" spans="1:10">
      <c r="A103" s="32" t="s">
        <v>138</v>
      </c>
      <c r="B103" s="39" t="s">
        <v>28</v>
      </c>
      <c r="C103" s="39" t="s">
        <v>39</v>
      </c>
      <c r="D103" s="18">
        <v>843.21</v>
      </c>
      <c r="E103" s="23">
        <v>56</v>
      </c>
      <c r="F103" s="27">
        <v>45645</v>
      </c>
      <c r="G103" s="39" t="s">
        <v>22</v>
      </c>
      <c r="H103" s="39" t="s">
        <v>14</v>
      </c>
      <c r="I103" s="2" t="str">
        <f>TEXT(Table2[[#This Row],[Booking_Date]],"mmmm")</f>
        <v>December</v>
      </c>
      <c r="J103" s="6" t="str">
        <f>IF(Table2[[#This Row],[Customer_Age]]&lt;20,"10-19", IF(Table2[[#This Row],[Customer_Age]]&lt;30,"20-29", IF(Table2[[#This Row],[Customer_Age]]&lt;40,"30-39", IF(Table2[[#This Row],[Customer_Age]]&lt;50,"40-49", IF(Table2[[#This Row],[Customer_Age]]&lt;60,"50-59", IF(Table2[[#This Row],[Customer_Age]]&lt;70,"60-69","70+"))))))</f>
        <v>50-59</v>
      </c>
    </row>
    <row r="104" spans="1:10">
      <c r="A104" s="31" t="s">
        <v>139</v>
      </c>
      <c r="B104" s="38" t="s">
        <v>16</v>
      </c>
      <c r="C104" s="39" t="s">
        <v>35</v>
      </c>
      <c r="D104" s="17">
        <v>396.91</v>
      </c>
      <c r="E104" s="22">
        <v>64</v>
      </c>
      <c r="F104" s="26">
        <v>45343</v>
      </c>
      <c r="G104" s="38" t="s">
        <v>22</v>
      </c>
      <c r="H104" s="38" t="s">
        <v>18</v>
      </c>
      <c r="I104" s="2" t="str">
        <f>TEXT(Table2[[#This Row],[Booking_Date]],"mmmm")</f>
        <v>February</v>
      </c>
      <c r="J104" s="6" t="str">
        <f>IF(Table2[[#This Row],[Customer_Age]]&lt;20,"10-19", IF(Table2[[#This Row],[Customer_Age]]&lt;30,"20-29", IF(Table2[[#This Row],[Customer_Age]]&lt;40,"30-39", IF(Table2[[#This Row],[Customer_Age]]&lt;50,"40-49", IF(Table2[[#This Row],[Customer_Age]]&lt;60,"50-59", IF(Table2[[#This Row],[Customer_Age]]&lt;70,"60-69","70+"))))))</f>
        <v>60-69</v>
      </c>
    </row>
    <row r="105" spans="1:10">
      <c r="A105" s="32" t="s">
        <v>140</v>
      </c>
      <c r="B105" s="39" t="s">
        <v>24</v>
      </c>
      <c r="C105" s="39" t="s">
        <v>47</v>
      </c>
      <c r="D105" s="18">
        <v>1837.24</v>
      </c>
      <c r="E105" s="23">
        <v>46</v>
      </c>
      <c r="F105" s="27">
        <v>44944</v>
      </c>
      <c r="G105" s="39" t="s">
        <v>13</v>
      </c>
      <c r="H105" s="39" t="s">
        <v>26</v>
      </c>
      <c r="I105" s="2" t="str">
        <f>TEXT(Table2[[#This Row],[Booking_Date]],"mmmm")</f>
        <v>January</v>
      </c>
      <c r="J105" s="6" t="str">
        <f>IF(Table2[[#This Row],[Customer_Age]]&lt;20,"10-19", IF(Table2[[#This Row],[Customer_Age]]&lt;30,"20-29", IF(Table2[[#This Row],[Customer_Age]]&lt;40,"30-39", IF(Table2[[#This Row],[Customer_Age]]&lt;50,"40-49", IF(Table2[[#This Row],[Customer_Age]]&lt;60,"50-59", IF(Table2[[#This Row],[Customer_Age]]&lt;70,"60-69","70+"))))))</f>
        <v>40-49</v>
      </c>
    </row>
    <row r="106" spans="1:10">
      <c r="A106" s="31" t="s">
        <v>141</v>
      </c>
      <c r="B106" s="38" t="s">
        <v>20</v>
      </c>
      <c r="C106" s="39" t="s">
        <v>49</v>
      </c>
      <c r="D106" s="17">
        <v>1791.11</v>
      </c>
      <c r="E106" s="22">
        <v>37</v>
      </c>
      <c r="F106" s="26">
        <v>45606</v>
      </c>
      <c r="G106" s="38" t="s">
        <v>22</v>
      </c>
      <c r="H106" s="38" t="s">
        <v>45</v>
      </c>
      <c r="I106" s="2" t="str">
        <f>TEXT(Table2[[#This Row],[Booking_Date]],"mmmm")</f>
        <v>November</v>
      </c>
      <c r="J106" s="6" t="str">
        <f>IF(Table2[[#This Row],[Customer_Age]]&lt;20,"10-19", IF(Table2[[#This Row],[Customer_Age]]&lt;30,"20-29", IF(Table2[[#This Row],[Customer_Age]]&lt;40,"30-39", IF(Table2[[#This Row],[Customer_Age]]&lt;50,"40-49", IF(Table2[[#This Row],[Customer_Age]]&lt;60,"50-59", IF(Table2[[#This Row],[Customer_Age]]&lt;70,"60-69","70+"))))))</f>
        <v>30-39</v>
      </c>
    </row>
    <row r="107" spans="1:10">
      <c r="A107" s="32" t="s">
        <v>142</v>
      </c>
      <c r="B107" s="39" t="s">
        <v>16</v>
      </c>
      <c r="C107" s="39" t="s">
        <v>21</v>
      </c>
      <c r="D107" s="18">
        <v>990.64</v>
      </c>
      <c r="E107" s="23">
        <v>65</v>
      </c>
      <c r="F107" s="27">
        <v>45490</v>
      </c>
      <c r="G107" s="39" t="s">
        <v>22</v>
      </c>
      <c r="H107" s="39" t="s">
        <v>26</v>
      </c>
      <c r="I107" s="2" t="str">
        <f>TEXT(Table2[[#This Row],[Booking_Date]],"mmmm")</f>
        <v>July</v>
      </c>
      <c r="J107" s="6" t="str">
        <f>IF(Table2[[#This Row],[Customer_Age]]&lt;20,"10-19", IF(Table2[[#This Row],[Customer_Age]]&lt;30,"20-29", IF(Table2[[#This Row],[Customer_Age]]&lt;40,"30-39", IF(Table2[[#This Row],[Customer_Age]]&lt;50,"40-49", IF(Table2[[#This Row],[Customer_Age]]&lt;60,"50-59", IF(Table2[[#This Row],[Customer_Age]]&lt;70,"60-69","70+"))))))</f>
        <v>60-69</v>
      </c>
    </row>
    <row r="108" spans="1:10">
      <c r="A108" s="31" t="s">
        <v>143</v>
      </c>
      <c r="B108" s="38" t="s">
        <v>24</v>
      </c>
      <c r="C108" s="39" t="s">
        <v>55</v>
      </c>
      <c r="D108" s="17">
        <v>905.23</v>
      </c>
      <c r="E108" s="22">
        <v>32</v>
      </c>
      <c r="F108" s="26">
        <v>45050</v>
      </c>
      <c r="G108" s="38" t="s">
        <v>13</v>
      </c>
      <c r="H108" s="38" t="s">
        <v>26</v>
      </c>
      <c r="I108" s="2" t="str">
        <f>TEXT(Table2[[#This Row],[Booking_Date]],"mmmm")</f>
        <v>May</v>
      </c>
      <c r="J108" s="6" t="str">
        <f>IF(Table2[[#This Row],[Customer_Age]]&lt;20,"10-19", IF(Table2[[#This Row],[Customer_Age]]&lt;30,"20-29", IF(Table2[[#This Row],[Customer_Age]]&lt;40,"30-39", IF(Table2[[#This Row],[Customer_Age]]&lt;50,"40-49", IF(Table2[[#This Row],[Customer_Age]]&lt;60,"50-59", IF(Table2[[#This Row],[Customer_Age]]&lt;70,"60-69","70+"))))))</f>
        <v>30-39</v>
      </c>
    </row>
    <row r="109" spans="1:10">
      <c r="A109" s="32" t="s">
        <v>144</v>
      </c>
      <c r="B109" s="39" t="s">
        <v>11</v>
      </c>
      <c r="C109" s="39" t="s">
        <v>41</v>
      </c>
      <c r="D109" s="18">
        <v>1432.49</v>
      </c>
      <c r="E109" s="23">
        <v>66</v>
      </c>
      <c r="F109" s="27">
        <v>45633</v>
      </c>
      <c r="G109" s="39" t="s">
        <v>13</v>
      </c>
      <c r="H109" s="39" t="s">
        <v>18</v>
      </c>
      <c r="I109" s="2" t="str">
        <f>TEXT(Table2[[#This Row],[Booking_Date]],"mmmm")</f>
        <v>December</v>
      </c>
      <c r="J109" s="6" t="str">
        <f>IF(Table2[[#This Row],[Customer_Age]]&lt;20,"10-19", IF(Table2[[#This Row],[Customer_Age]]&lt;30,"20-29", IF(Table2[[#This Row],[Customer_Age]]&lt;40,"30-39", IF(Table2[[#This Row],[Customer_Age]]&lt;50,"40-49", IF(Table2[[#This Row],[Customer_Age]]&lt;60,"50-59", IF(Table2[[#This Row],[Customer_Age]]&lt;70,"60-69","70+"))))))</f>
        <v>60-69</v>
      </c>
    </row>
    <row r="110" spans="1:10">
      <c r="A110" s="31" t="s">
        <v>145</v>
      </c>
      <c r="B110" s="38" t="s">
        <v>20</v>
      </c>
      <c r="C110" s="39" t="s">
        <v>41</v>
      </c>
      <c r="D110" s="17">
        <v>1313.66</v>
      </c>
      <c r="E110" s="22">
        <v>64</v>
      </c>
      <c r="F110" s="26">
        <v>45530</v>
      </c>
      <c r="G110" s="38" t="s">
        <v>22</v>
      </c>
      <c r="H110" s="38" t="s">
        <v>14</v>
      </c>
      <c r="I110" s="2" t="str">
        <f>TEXT(Table2[[#This Row],[Booking_Date]],"mmmm")</f>
        <v>August</v>
      </c>
      <c r="J110" s="6" t="str">
        <f>IF(Table2[[#This Row],[Customer_Age]]&lt;20,"10-19", IF(Table2[[#This Row],[Customer_Age]]&lt;30,"20-29", IF(Table2[[#This Row],[Customer_Age]]&lt;40,"30-39", IF(Table2[[#This Row],[Customer_Age]]&lt;50,"40-49", IF(Table2[[#This Row],[Customer_Age]]&lt;60,"50-59", IF(Table2[[#This Row],[Customer_Age]]&lt;70,"60-69","70+"))))))</f>
        <v>60-69</v>
      </c>
    </row>
    <row r="111" spans="1:10">
      <c r="A111" s="32" t="s">
        <v>146</v>
      </c>
      <c r="B111" s="39" t="s">
        <v>20</v>
      </c>
      <c r="C111" s="39" t="s">
        <v>55</v>
      </c>
      <c r="D111" s="18">
        <v>723.21</v>
      </c>
      <c r="E111" s="23">
        <v>29</v>
      </c>
      <c r="F111" s="27">
        <v>45236</v>
      </c>
      <c r="G111" s="39" t="s">
        <v>13</v>
      </c>
      <c r="H111" s="39" t="s">
        <v>18</v>
      </c>
      <c r="I111" s="2" t="str">
        <f>TEXT(Table2[[#This Row],[Booking_Date]],"mmmm")</f>
        <v>November</v>
      </c>
      <c r="J111" s="6" t="str">
        <f>IF(Table2[[#This Row],[Customer_Age]]&lt;20,"10-19", IF(Table2[[#This Row],[Customer_Age]]&lt;30,"20-29", IF(Table2[[#This Row],[Customer_Age]]&lt;40,"30-39", IF(Table2[[#This Row],[Customer_Age]]&lt;50,"40-49", IF(Table2[[#This Row],[Customer_Age]]&lt;60,"50-59", IF(Table2[[#This Row],[Customer_Age]]&lt;70,"60-69","70+"))))))</f>
        <v>20-29</v>
      </c>
    </row>
    <row r="112" spans="1:10">
      <c r="A112" s="31" t="s">
        <v>147</v>
      </c>
      <c r="B112" s="38" t="s">
        <v>28</v>
      </c>
      <c r="C112" s="39" t="s">
        <v>12</v>
      </c>
      <c r="D112" s="17">
        <v>2440.88</v>
      </c>
      <c r="E112" s="22">
        <v>53</v>
      </c>
      <c r="F112" s="26">
        <v>45226</v>
      </c>
      <c r="G112" s="38" t="s">
        <v>13</v>
      </c>
      <c r="H112" s="38" t="s">
        <v>45</v>
      </c>
      <c r="I112" s="2" t="str">
        <f>TEXT(Table2[[#This Row],[Booking_Date]],"mmmm")</f>
        <v>October</v>
      </c>
      <c r="J112" s="6" t="str">
        <f>IF(Table2[[#This Row],[Customer_Age]]&lt;20,"10-19", IF(Table2[[#This Row],[Customer_Age]]&lt;30,"20-29", IF(Table2[[#This Row],[Customer_Age]]&lt;40,"30-39", IF(Table2[[#This Row],[Customer_Age]]&lt;50,"40-49", IF(Table2[[#This Row],[Customer_Age]]&lt;60,"50-59", IF(Table2[[#This Row],[Customer_Age]]&lt;70,"60-69","70+"))))))</f>
        <v>50-59</v>
      </c>
    </row>
    <row r="113" spans="1:10">
      <c r="A113" s="32" t="s">
        <v>148</v>
      </c>
      <c r="B113" s="39" t="s">
        <v>11</v>
      </c>
      <c r="C113" s="39" t="s">
        <v>12</v>
      </c>
      <c r="D113" s="18">
        <v>1520.35</v>
      </c>
      <c r="E113" s="23">
        <v>48</v>
      </c>
      <c r="F113" s="27">
        <v>45417</v>
      </c>
      <c r="G113" s="39" t="s">
        <v>22</v>
      </c>
      <c r="H113" s="39" t="s">
        <v>26</v>
      </c>
      <c r="I113" s="2" t="str">
        <f>TEXT(Table2[[#This Row],[Booking_Date]],"mmmm")</f>
        <v>May</v>
      </c>
      <c r="J113" s="6" t="str">
        <f>IF(Table2[[#This Row],[Customer_Age]]&lt;20,"10-19", IF(Table2[[#This Row],[Customer_Age]]&lt;30,"20-29", IF(Table2[[#This Row],[Customer_Age]]&lt;40,"30-39", IF(Table2[[#This Row],[Customer_Age]]&lt;50,"40-49", IF(Table2[[#This Row],[Customer_Age]]&lt;60,"50-59", IF(Table2[[#This Row],[Customer_Age]]&lt;70,"60-69","70+"))))))</f>
        <v>40-49</v>
      </c>
    </row>
    <row r="114" spans="1:10">
      <c r="A114" s="31" t="s">
        <v>149</v>
      </c>
      <c r="B114" s="38" t="s">
        <v>38</v>
      </c>
      <c r="C114" s="39" t="s">
        <v>12</v>
      </c>
      <c r="D114" s="17">
        <v>780.7</v>
      </c>
      <c r="E114" s="22">
        <v>48</v>
      </c>
      <c r="F114" s="26">
        <v>45043</v>
      </c>
      <c r="G114" s="38" t="s">
        <v>13</v>
      </c>
      <c r="H114" s="38" t="s">
        <v>45</v>
      </c>
      <c r="I114" s="2" t="str">
        <f>TEXT(Table2[[#This Row],[Booking_Date]],"mmmm")</f>
        <v>April</v>
      </c>
      <c r="J114" s="6" t="str">
        <f>IF(Table2[[#This Row],[Customer_Age]]&lt;20,"10-19", IF(Table2[[#This Row],[Customer_Age]]&lt;30,"20-29", IF(Table2[[#This Row],[Customer_Age]]&lt;40,"30-39", IF(Table2[[#This Row],[Customer_Age]]&lt;50,"40-49", IF(Table2[[#This Row],[Customer_Age]]&lt;60,"50-59", IF(Table2[[#This Row],[Customer_Age]]&lt;70,"60-69","70+"))))))</f>
        <v>40-49</v>
      </c>
    </row>
    <row r="115" spans="1:10">
      <c r="A115" s="32" t="s">
        <v>150</v>
      </c>
      <c r="B115" s="39" t="s">
        <v>24</v>
      </c>
      <c r="C115" s="39" t="s">
        <v>17</v>
      </c>
      <c r="D115" s="18">
        <v>1527.15</v>
      </c>
      <c r="E115" s="23">
        <v>61</v>
      </c>
      <c r="F115" s="27">
        <v>44981</v>
      </c>
      <c r="G115" s="39" t="s">
        <v>13</v>
      </c>
      <c r="H115" s="39" t="s">
        <v>18</v>
      </c>
      <c r="I115" s="2" t="str">
        <f>TEXT(Table2[[#This Row],[Booking_Date]],"mmmm")</f>
        <v>February</v>
      </c>
      <c r="J115" s="6" t="str">
        <f>IF(Table2[[#This Row],[Customer_Age]]&lt;20,"10-19", IF(Table2[[#This Row],[Customer_Age]]&lt;30,"20-29", IF(Table2[[#This Row],[Customer_Age]]&lt;40,"30-39", IF(Table2[[#This Row],[Customer_Age]]&lt;50,"40-49", IF(Table2[[#This Row],[Customer_Age]]&lt;60,"50-59", IF(Table2[[#This Row],[Customer_Age]]&lt;70,"60-69","70+"))))))</f>
        <v>60-69</v>
      </c>
    </row>
    <row r="116" spans="1:10">
      <c r="A116" s="31" t="s">
        <v>151</v>
      </c>
      <c r="B116" s="38" t="s">
        <v>34</v>
      </c>
      <c r="C116" s="39" t="s">
        <v>55</v>
      </c>
      <c r="D116" s="17">
        <v>395.92</v>
      </c>
      <c r="E116" s="22">
        <v>33</v>
      </c>
      <c r="F116" s="26">
        <v>45048</v>
      </c>
      <c r="G116" s="38" t="s">
        <v>22</v>
      </c>
      <c r="H116" s="38" t="s">
        <v>18</v>
      </c>
      <c r="I116" s="2" t="str">
        <f>TEXT(Table2[[#This Row],[Booking_Date]],"mmmm")</f>
        <v>May</v>
      </c>
      <c r="J116" s="6" t="str">
        <f>IF(Table2[[#This Row],[Customer_Age]]&lt;20,"10-19", IF(Table2[[#This Row],[Customer_Age]]&lt;30,"20-29", IF(Table2[[#This Row],[Customer_Age]]&lt;40,"30-39", IF(Table2[[#This Row],[Customer_Age]]&lt;50,"40-49", IF(Table2[[#This Row],[Customer_Age]]&lt;60,"50-59", IF(Table2[[#This Row],[Customer_Age]]&lt;70,"60-69","70+"))))))</f>
        <v>30-39</v>
      </c>
    </row>
    <row r="117" spans="1:10">
      <c r="A117" s="32" t="s">
        <v>152</v>
      </c>
      <c r="B117" s="39" t="s">
        <v>16</v>
      </c>
      <c r="C117" s="39" t="s">
        <v>49</v>
      </c>
      <c r="D117" s="18">
        <v>1236.18</v>
      </c>
      <c r="E117" s="23">
        <v>46</v>
      </c>
      <c r="F117" s="27">
        <v>45231</v>
      </c>
      <c r="G117" s="39" t="s">
        <v>22</v>
      </c>
      <c r="H117" s="39" t="s">
        <v>26</v>
      </c>
      <c r="I117" s="2" t="str">
        <f>TEXT(Table2[[#This Row],[Booking_Date]],"mmmm")</f>
        <v>November</v>
      </c>
      <c r="J117" s="6" t="str">
        <f>IF(Table2[[#This Row],[Customer_Age]]&lt;20,"10-19", IF(Table2[[#This Row],[Customer_Age]]&lt;30,"20-29", IF(Table2[[#This Row],[Customer_Age]]&lt;40,"30-39", IF(Table2[[#This Row],[Customer_Age]]&lt;50,"40-49", IF(Table2[[#This Row],[Customer_Age]]&lt;60,"50-59", IF(Table2[[#This Row],[Customer_Age]]&lt;70,"60-69","70+"))))))</f>
        <v>40-49</v>
      </c>
    </row>
    <row r="118" spans="1:10">
      <c r="A118" s="31" t="s">
        <v>153</v>
      </c>
      <c r="B118" s="38" t="s">
        <v>34</v>
      </c>
      <c r="C118" s="39" t="s">
        <v>25</v>
      </c>
      <c r="D118" s="17">
        <v>338.53</v>
      </c>
      <c r="E118" s="22">
        <v>65</v>
      </c>
      <c r="F118" s="26">
        <v>45028</v>
      </c>
      <c r="G118" s="38" t="s">
        <v>13</v>
      </c>
      <c r="H118" s="38" t="s">
        <v>18</v>
      </c>
      <c r="I118" s="2" t="str">
        <f>TEXT(Table2[[#This Row],[Booking_Date]],"mmmm")</f>
        <v>April</v>
      </c>
      <c r="J118" s="6" t="str">
        <f>IF(Table2[[#This Row],[Customer_Age]]&lt;20,"10-19", IF(Table2[[#This Row],[Customer_Age]]&lt;30,"20-29", IF(Table2[[#This Row],[Customer_Age]]&lt;40,"30-39", IF(Table2[[#This Row],[Customer_Age]]&lt;50,"40-49", IF(Table2[[#This Row],[Customer_Age]]&lt;60,"50-59", IF(Table2[[#This Row],[Customer_Age]]&lt;70,"60-69","70+"))))))</f>
        <v>60-69</v>
      </c>
    </row>
    <row r="119" spans="1:10">
      <c r="A119" s="32" t="s">
        <v>154</v>
      </c>
      <c r="B119" s="39" t="s">
        <v>28</v>
      </c>
      <c r="C119" s="39" t="s">
        <v>47</v>
      </c>
      <c r="D119" s="18">
        <v>386.73</v>
      </c>
      <c r="E119" s="23">
        <v>33</v>
      </c>
      <c r="F119" s="27">
        <v>45104</v>
      </c>
      <c r="G119" s="39" t="s">
        <v>13</v>
      </c>
      <c r="H119" s="39" t="s">
        <v>18</v>
      </c>
      <c r="I119" s="2" t="str">
        <f>TEXT(Table2[[#This Row],[Booking_Date]],"mmmm")</f>
        <v>June</v>
      </c>
      <c r="J119" s="6" t="str">
        <f>IF(Table2[[#This Row],[Customer_Age]]&lt;20,"10-19", IF(Table2[[#This Row],[Customer_Age]]&lt;30,"20-29", IF(Table2[[#This Row],[Customer_Age]]&lt;40,"30-39", IF(Table2[[#This Row],[Customer_Age]]&lt;50,"40-49", IF(Table2[[#This Row],[Customer_Age]]&lt;60,"50-59", IF(Table2[[#This Row],[Customer_Age]]&lt;70,"60-69","70+"))))))</f>
        <v>30-39</v>
      </c>
    </row>
    <row r="120" spans="1:10">
      <c r="A120" s="31" t="s">
        <v>155</v>
      </c>
      <c r="B120" s="38" t="s">
        <v>69</v>
      </c>
      <c r="C120" s="39" t="s">
        <v>49</v>
      </c>
      <c r="D120" s="17">
        <v>1236.1600000000001</v>
      </c>
      <c r="E120" s="22">
        <v>56</v>
      </c>
      <c r="F120" s="26">
        <v>45408</v>
      </c>
      <c r="G120" s="38" t="s">
        <v>22</v>
      </c>
      <c r="H120" s="38" t="s">
        <v>14</v>
      </c>
      <c r="I120" s="2" t="str">
        <f>TEXT(Table2[[#This Row],[Booking_Date]],"mmmm")</f>
        <v>April</v>
      </c>
      <c r="J120" s="6" t="str">
        <f>IF(Table2[[#This Row],[Customer_Age]]&lt;20,"10-19", IF(Table2[[#This Row],[Customer_Age]]&lt;30,"20-29", IF(Table2[[#This Row],[Customer_Age]]&lt;40,"30-39", IF(Table2[[#This Row],[Customer_Age]]&lt;50,"40-49", IF(Table2[[#This Row],[Customer_Age]]&lt;60,"50-59", IF(Table2[[#This Row],[Customer_Age]]&lt;70,"60-69","70+"))))))</f>
        <v>50-59</v>
      </c>
    </row>
    <row r="121" spans="1:10">
      <c r="A121" s="32" t="s">
        <v>156</v>
      </c>
      <c r="B121" s="39" t="s">
        <v>20</v>
      </c>
      <c r="C121" s="39" t="s">
        <v>55</v>
      </c>
      <c r="D121" s="18">
        <v>1826</v>
      </c>
      <c r="E121" s="23">
        <v>62</v>
      </c>
      <c r="F121" s="27">
        <v>45391</v>
      </c>
      <c r="G121" s="39" t="s">
        <v>13</v>
      </c>
      <c r="H121" s="39" t="s">
        <v>18</v>
      </c>
      <c r="I121" s="2" t="str">
        <f>TEXT(Table2[[#This Row],[Booking_Date]],"mmmm")</f>
        <v>April</v>
      </c>
      <c r="J121" s="6" t="str">
        <f>IF(Table2[[#This Row],[Customer_Age]]&lt;20,"10-19", IF(Table2[[#This Row],[Customer_Age]]&lt;30,"20-29", IF(Table2[[#This Row],[Customer_Age]]&lt;40,"30-39", IF(Table2[[#This Row],[Customer_Age]]&lt;50,"40-49", IF(Table2[[#This Row],[Customer_Age]]&lt;60,"50-59", IF(Table2[[#This Row],[Customer_Age]]&lt;70,"60-69","70+"))))))</f>
        <v>60-69</v>
      </c>
    </row>
    <row r="122" spans="1:10">
      <c r="A122" s="31" t="s">
        <v>157</v>
      </c>
      <c r="B122" s="38" t="s">
        <v>28</v>
      </c>
      <c r="C122" s="39" t="s">
        <v>47</v>
      </c>
      <c r="D122" s="17">
        <v>1556.52</v>
      </c>
      <c r="E122" s="22">
        <v>69</v>
      </c>
      <c r="F122" s="26">
        <v>45129</v>
      </c>
      <c r="G122" s="38" t="s">
        <v>22</v>
      </c>
      <c r="H122" s="38" t="s">
        <v>14</v>
      </c>
      <c r="I122" s="2" t="str">
        <f>TEXT(Table2[[#This Row],[Booking_Date]],"mmmm")</f>
        <v>July</v>
      </c>
      <c r="J122" s="6" t="str">
        <f>IF(Table2[[#This Row],[Customer_Age]]&lt;20,"10-19", IF(Table2[[#This Row],[Customer_Age]]&lt;30,"20-29", IF(Table2[[#This Row],[Customer_Age]]&lt;40,"30-39", IF(Table2[[#This Row],[Customer_Age]]&lt;50,"40-49", IF(Table2[[#This Row],[Customer_Age]]&lt;60,"50-59", IF(Table2[[#This Row],[Customer_Age]]&lt;70,"60-69","70+"))))))</f>
        <v>60-69</v>
      </c>
    </row>
    <row r="123" spans="1:10">
      <c r="A123" s="32" t="s">
        <v>158</v>
      </c>
      <c r="B123" s="39" t="s">
        <v>16</v>
      </c>
      <c r="C123" s="39" t="s">
        <v>35</v>
      </c>
      <c r="D123" s="18">
        <v>1689.56</v>
      </c>
      <c r="E123" s="23">
        <v>35</v>
      </c>
      <c r="F123" s="27">
        <v>45072</v>
      </c>
      <c r="G123" s="39" t="s">
        <v>13</v>
      </c>
      <c r="H123" s="39" t="s">
        <v>14</v>
      </c>
      <c r="I123" s="2" t="str">
        <f>TEXT(Table2[[#This Row],[Booking_Date]],"mmmm")</f>
        <v>May</v>
      </c>
      <c r="J123" s="6" t="str">
        <f>IF(Table2[[#This Row],[Customer_Age]]&lt;20,"10-19", IF(Table2[[#This Row],[Customer_Age]]&lt;30,"20-29", IF(Table2[[#This Row],[Customer_Age]]&lt;40,"30-39", IF(Table2[[#This Row],[Customer_Age]]&lt;50,"40-49", IF(Table2[[#This Row],[Customer_Age]]&lt;60,"50-59", IF(Table2[[#This Row],[Customer_Age]]&lt;70,"60-69","70+"))))))</f>
        <v>30-39</v>
      </c>
    </row>
    <row r="124" spans="1:10">
      <c r="A124" s="31" t="s">
        <v>159</v>
      </c>
      <c r="B124" s="38" t="s">
        <v>38</v>
      </c>
      <c r="C124" s="39" t="s">
        <v>55</v>
      </c>
      <c r="D124" s="17">
        <v>1568.6</v>
      </c>
      <c r="E124" s="22">
        <v>70</v>
      </c>
      <c r="F124" s="26">
        <v>45509</v>
      </c>
      <c r="G124" s="38" t="s">
        <v>22</v>
      </c>
      <c r="H124" s="38" t="s">
        <v>45</v>
      </c>
      <c r="I124" s="2" t="str">
        <f>TEXT(Table2[[#This Row],[Booking_Date]],"mmmm")</f>
        <v>August</v>
      </c>
      <c r="J124" s="6" t="str">
        <f>IF(Table2[[#This Row],[Customer_Age]]&lt;20,"10-19", IF(Table2[[#This Row],[Customer_Age]]&lt;30,"20-29", IF(Table2[[#This Row],[Customer_Age]]&lt;40,"30-39", IF(Table2[[#This Row],[Customer_Age]]&lt;50,"40-49", IF(Table2[[#This Row],[Customer_Age]]&lt;60,"50-59", IF(Table2[[#This Row],[Customer_Age]]&lt;70,"60-69","70+"))))))</f>
        <v>70+</v>
      </c>
    </row>
    <row r="125" spans="1:10">
      <c r="A125" s="32" t="s">
        <v>160</v>
      </c>
      <c r="B125" s="39" t="s">
        <v>11</v>
      </c>
      <c r="C125" s="39" t="s">
        <v>51</v>
      </c>
      <c r="D125" s="18">
        <v>1783.96</v>
      </c>
      <c r="E125" s="23">
        <v>62</v>
      </c>
      <c r="F125" s="27">
        <v>45339</v>
      </c>
      <c r="G125" s="39" t="s">
        <v>22</v>
      </c>
      <c r="H125" s="39" t="s">
        <v>45</v>
      </c>
      <c r="I125" s="2" t="str">
        <f>TEXT(Table2[[#This Row],[Booking_Date]],"mmmm")</f>
        <v>February</v>
      </c>
      <c r="J125" s="6" t="str">
        <f>IF(Table2[[#This Row],[Customer_Age]]&lt;20,"10-19", IF(Table2[[#This Row],[Customer_Age]]&lt;30,"20-29", IF(Table2[[#This Row],[Customer_Age]]&lt;40,"30-39", IF(Table2[[#This Row],[Customer_Age]]&lt;50,"40-49", IF(Table2[[#This Row],[Customer_Age]]&lt;60,"50-59", IF(Table2[[#This Row],[Customer_Age]]&lt;70,"60-69","70+"))))))</f>
        <v>60-69</v>
      </c>
    </row>
    <row r="126" spans="1:10">
      <c r="A126" s="31" t="s">
        <v>161</v>
      </c>
      <c r="B126" s="38" t="s">
        <v>24</v>
      </c>
      <c r="C126" s="39" t="s">
        <v>17</v>
      </c>
      <c r="D126" s="17">
        <v>1575.48</v>
      </c>
      <c r="E126" s="22">
        <v>45</v>
      </c>
      <c r="F126" s="26">
        <v>45257</v>
      </c>
      <c r="G126" s="38" t="s">
        <v>22</v>
      </c>
      <c r="H126" s="38" t="s">
        <v>14</v>
      </c>
      <c r="I126" s="2" t="str">
        <f>TEXT(Table2[[#This Row],[Booking_Date]],"mmmm")</f>
        <v>November</v>
      </c>
      <c r="J126" s="6" t="str">
        <f>IF(Table2[[#This Row],[Customer_Age]]&lt;20,"10-19", IF(Table2[[#This Row],[Customer_Age]]&lt;30,"20-29", IF(Table2[[#This Row],[Customer_Age]]&lt;40,"30-39", IF(Table2[[#This Row],[Customer_Age]]&lt;50,"40-49", IF(Table2[[#This Row],[Customer_Age]]&lt;60,"50-59", IF(Table2[[#This Row],[Customer_Age]]&lt;70,"60-69","70+"))))))</f>
        <v>40-49</v>
      </c>
    </row>
    <row r="127" spans="1:10">
      <c r="A127" s="32" t="s">
        <v>162</v>
      </c>
      <c r="B127" s="39" t="s">
        <v>11</v>
      </c>
      <c r="C127" s="39" t="s">
        <v>35</v>
      </c>
      <c r="D127" s="18">
        <v>2412.4</v>
      </c>
      <c r="E127" s="23">
        <v>54</v>
      </c>
      <c r="F127" s="27">
        <v>45528</v>
      </c>
      <c r="G127" s="39" t="s">
        <v>13</v>
      </c>
      <c r="H127" s="39" t="s">
        <v>26</v>
      </c>
      <c r="I127" s="2" t="str">
        <f>TEXT(Table2[[#This Row],[Booking_Date]],"mmmm")</f>
        <v>August</v>
      </c>
      <c r="J127" s="6" t="str">
        <f>IF(Table2[[#This Row],[Customer_Age]]&lt;20,"10-19", IF(Table2[[#This Row],[Customer_Age]]&lt;30,"20-29", IF(Table2[[#This Row],[Customer_Age]]&lt;40,"30-39", IF(Table2[[#This Row],[Customer_Age]]&lt;50,"40-49", IF(Table2[[#This Row],[Customer_Age]]&lt;60,"50-59", IF(Table2[[#This Row],[Customer_Age]]&lt;70,"60-69","70+"))))))</f>
        <v>50-59</v>
      </c>
    </row>
    <row r="128" spans="1:10">
      <c r="A128" s="31" t="s">
        <v>163</v>
      </c>
      <c r="B128" s="38" t="s">
        <v>34</v>
      </c>
      <c r="C128" s="39" t="s">
        <v>12</v>
      </c>
      <c r="D128" s="17">
        <v>1955.15</v>
      </c>
      <c r="E128" s="22">
        <v>29</v>
      </c>
      <c r="F128" s="26">
        <v>45408</v>
      </c>
      <c r="G128" s="38" t="s">
        <v>22</v>
      </c>
      <c r="H128" s="38" t="s">
        <v>26</v>
      </c>
      <c r="I128" s="2" t="str">
        <f>TEXT(Table2[[#This Row],[Booking_Date]],"mmmm")</f>
        <v>April</v>
      </c>
      <c r="J128" s="6" t="str">
        <f>IF(Table2[[#This Row],[Customer_Age]]&lt;20,"10-19", IF(Table2[[#This Row],[Customer_Age]]&lt;30,"20-29", IF(Table2[[#This Row],[Customer_Age]]&lt;40,"30-39", IF(Table2[[#This Row],[Customer_Age]]&lt;50,"40-49", IF(Table2[[#This Row],[Customer_Age]]&lt;60,"50-59", IF(Table2[[#This Row],[Customer_Age]]&lt;70,"60-69","70+"))))))</f>
        <v>20-29</v>
      </c>
    </row>
    <row r="129" spans="1:10">
      <c r="A129" s="32" t="s">
        <v>164</v>
      </c>
      <c r="B129" s="39" t="s">
        <v>38</v>
      </c>
      <c r="C129" s="39" t="s">
        <v>25</v>
      </c>
      <c r="D129" s="18">
        <v>1202.54</v>
      </c>
      <c r="E129" s="23">
        <v>70</v>
      </c>
      <c r="F129" s="27">
        <v>45430</v>
      </c>
      <c r="G129" s="39" t="s">
        <v>13</v>
      </c>
      <c r="H129" s="39" t="s">
        <v>45</v>
      </c>
      <c r="I129" s="2" t="str">
        <f>TEXT(Table2[[#This Row],[Booking_Date]],"mmmm")</f>
        <v>May</v>
      </c>
      <c r="J129" s="6" t="str">
        <f>IF(Table2[[#This Row],[Customer_Age]]&lt;20,"10-19", IF(Table2[[#This Row],[Customer_Age]]&lt;30,"20-29", IF(Table2[[#This Row],[Customer_Age]]&lt;40,"30-39", IF(Table2[[#This Row],[Customer_Age]]&lt;50,"40-49", IF(Table2[[#This Row],[Customer_Age]]&lt;60,"50-59", IF(Table2[[#This Row],[Customer_Age]]&lt;70,"60-69","70+"))))))</f>
        <v>70+</v>
      </c>
    </row>
    <row r="130" spans="1:10">
      <c r="A130" s="31" t="s">
        <v>165</v>
      </c>
      <c r="B130" s="38" t="s">
        <v>43</v>
      </c>
      <c r="C130" s="39" t="s">
        <v>49</v>
      </c>
      <c r="D130" s="17">
        <v>966.61</v>
      </c>
      <c r="E130" s="22">
        <v>60</v>
      </c>
      <c r="F130" s="26">
        <v>45034</v>
      </c>
      <c r="G130" s="38" t="s">
        <v>13</v>
      </c>
      <c r="H130" s="38" t="s">
        <v>26</v>
      </c>
      <c r="I130" s="2" t="str">
        <f>TEXT(Table2[[#This Row],[Booking_Date]],"mmmm")</f>
        <v>April</v>
      </c>
      <c r="J130" s="6" t="str">
        <f>IF(Table2[[#This Row],[Customer_Age]]&lt;20,"10-19", IF(Table2[[#This Row],[Customer_Age]]&lt;30,"20-29", IF(Table2[[#This Row],[Customer_Age]]&lt;40,"30-39", IF(Table2[[#This Row],[Customer_Age]]&lt;50,"40-49", IF(Table2[[#This Row],[Customer_Age]]&lt;60,"50-59", IF(Table2[[#This Row],[Customer_Age]]&lt;70,"60-69","70+"))))))</f>
        <v>60-69</v>
      </c>
    </row>
    <row r="131" spans="1:10">
      <c r="A131" s="32" t="s">
        <v>166</v>
      </c>
      <c r="B131" s="39" t="s">
        <v>31</v>
      </c>
      <c r="C131" s="39" t="s">
        <v>41</v>
      </c>
      <c r="D131" s="18">
        <v>1339.58</v>
      </c>
      <c r="E131" s="23">
        <v>60</v>
      </c>
      <c r="F131" s="27">
        <v>45337</v>
      </c>
      <c r="G131" s="39" t="s">
        <v>13</v>
      </c>
      <c r="H131" s="39" t="s">
        <v>45</v>
      </c>
      <c r="I131" s="2" t="str">
        <f>TEXT(Table2[[#This Row],[Booking_Date]],"mmmm")</f>
        <v>February</v>
      </c>
      <c r="J131" s="6" t="str">
        <f>IF(Table2[[#This Row],[Customer_Age]]&lt;20,"10-19", IF(Table2[[#This Row],[Customer_Age]]&lt;30,"20-29", IF(Table2[[#This Row],[Customer_Age]]&lt;40,"30-39", IF(Table2[[#This Row],[Customer_Age]]&lt;50,"40-49", IF(Table2[[#This Row],[Customer_Age]]&lt;60,"50-59", IF(Table2[[#This Row],[Customer_Age]]&lt;70,"60-69","70+"))))))</f>
        <v>60-69</v>
      </c>
    </row>
    <row r="132" spans="1:10">
      <c r="A132" s="31" t="s">
        <v>167</v>
      </c>
      <c r="B132" s="38" t="s">
        <v>11</v>
      </c>
      <c r="C132" s="39" t="s">
        <v>39</v>
      </c>
      <c r="D132" s="17">
        <v>780.52</v>
      </c>
      <c r="E132" s="22">
        <v>25</v>
      </c>
      <c r="F132" s="26">
        <v>45340</v>
      </c>
      <c r="G132" s="38" t="s">
        <v>13</v>
      </c>
      <c r="H132" s="38" t="s">
        <v>45</v>
      </c>
      <c r="I132" s="2" t="str">
        <f>TEXT(Table2[[#This Row],[Booking_Date]],"mmmm")</f>
        <v>February</v>
      </c>
      <c r="J132" s="6" t="str">
        <f>IF(Table2[[#This Row],[Customer_Age]]&lt;20,"10-19", IF(Table2[[#This Row],[Customer_Age]]&lt;30,"20-29", IF(Table2[[#This Row],[Customer_Age]]&lt;40,"30-39", IF(Table2[[#This Row],[Customer_Age]]&lt;50,"40-49", IF(Table2[[#This Row],[Customer_Age]]&lt;60,"50-59", IF(Table2[[#This Row],[Customer_Age]]&lt;70,"60-69","70+"))))))</f>
        <v>20-29</v>
      </c>
    </row>
    <row r="133" spans="1:10">
      <c r="A133" s="32" t="s">
        <v>168</v>
      </c>
      <c r="B133" s="39" t="s">
        <v>31</v>
      </c>
      <c r="C133" s="39" t="s">
        <v>12</v>
      </c>
      <c r="D133" s="18">
        <v>631.44000000000005</v>
      </c>
      <c r="E133" s="23">
        <v>41</v>
      </c>
      <c r="F133" s="27">
        <v>45564</v>
      </c>
      <c r="G133" s="39" t="s">
        <v>22</v>
      </c>
      <c r="H133" s="39" t="s">
        <v>45</v>
      </c>
      <c r="I133" s="2" t="str">
        <f>TEXT(Table2[[#This Row],[Booking_Date]],"mmmm")</f>
        <v>September</v>
      </c>
      <c r="J133" s="6" t="str">
        <f>IF(Table2[[#This Row],[Customer_Age]]&lt;20,"10-19", IF(Table2[[#This Row],[Customer_Age]]&lt;30,"20-29", IF(Table2[[#This Row],[Customer_Age]]&lt;40,"30-39", IF(Table2[[#This Row],[Customer_Age]]&lt;50,"40-49", IF(Table2[[#This Row],[Customer_Age]]&lt;60,"50-59", IF(Table2[[#This Row],[Customer_Age]]&lt;70,"60-69","70+"))))))</f>
        <v>40-49</v>
      </c>
    </row>
    <row r="134" spans="1:10">
      <c r="A134" s="31" t="s">
        <v>169</v>
      </c>
      <c r="B134" s="38" t="s">
        <v>69</v>
      </c>
      <c r="C134" s="39" t="s">
        <v>35</v>
      </c>
      <c r="D134" s="17">
        <v>814.23</v>
      </c>
      <c r="E134" s="22">
        <v>26</v>
      </c>
      <c r="F134" s="26">
        <v>45221</v>
      </c>
      <c r="G134" s="38" t="s">
        <v>22</v>
      </c>
      <c r="H134" s="38" t="s">
        <v>45</v>
      </c>
      <c r="I134" s="2" t="str">
        <f>TEXT(Table2[[#This Row],[Booking_Date]],"mmmm")</f>
        <v>October</v>
      </c>
      <c r="J134" s="6" t="str">
        <f>IF(Table2[[#This Row],[Customer_Age]]&lt;20,"10-19", IF(Table2[[#This Row],[Customer_Age]]&lt;30,"20-29", IF(Table2[[#This Row],[Customer_Age]]&lt;40,"30-39", IF(Table2[[#This Row],[Customer_Age]]&lt;50,"40-49", IF(Table2[[#This Row],[Customer_Age]]&lt;60,"50-59", IF(Table2[[#This Row],[Customer_Age]]&lt;70,"60-69","70+"))))))</f>
        <v>20-29</v>
      </c>
    </row>
    <row r="135" spans="1:10">
      <c r="A135" s="32" t="s">
        <v>170</v>
      </c>
      <c r="B135" s="39" t="s">
        <v>11</v>
      </c>
      <c r="C135" s="39" t="s">
        <v>12</v>
      </c>
      <c r="D135" s="18">
        <v>2438.2399999999998</v>
      </c>
      <c r="E135" s="23">
        <v>56</v>
      </c>
      <c r="F135" s="27">
        <v>45172</v>
      </c>
      <c r="G135" s="39" t="s">
        <v>13</v>
      </c>
      <c r="H135" s="39" t="s">
        <v>26</v>
      </c>
      <c r="I135" s="2" t="str">
        <f>TEXT(Table2[[#This Row],[Booking_Date]],"mmmm")</f>
        <v>September</v>
      </c>
      <c r="J135" s="6" t="str">
        <f>IF(Table2[[#This Row],[Customer_Age]]&lt;20,"10-19", IF(Table2[[#This Row],[Customer_Age]]&lt;30,"20-29", IF(Table2[[#This Row],[Customer_Age]]&lt;40,"30-39", IF(Table2[[#This Row],[Customer_Age]]&lt;50,"40-49", IF(Table2[[#This Row],[Customer_Age]]&lt;60,"50-59", IF(Table2[[#This Row],[Customer_Age]]&lt;70,"60-69","70+"))))))</f>
        <v>50-59</v>
      </c>
    </row>
    <row r="136" spans="1:10">
      <c r="A136" s="31" t="s">
        <v>171</v>
      </c>
      <c r="B136" s="38" t="s">
        <v>16</v>
      </c>
      <c r="C136" s="39" t="s">
        <v>12</v>
      </c>
      <c r="D136" s="17">
        <v>1470.18</v>
      </c>
      <c r="E136" s="22">
        <v>23</v>
      </c>
      <c r="F136" s="26">
        <v>45157</v>
      </c>
      <c r="G136" s="38" t="s">
        <v>13</v>
      </c>
      <c r="H136" s="38" t="s">
        <v>45</v>
      </c>
      <c r="I136" s="2" t="str">
        <f>TEXT(Table2[[#This Row],[Booking_Date]],"mmmm")</f>
        <v>August</v>
      </c>
      <c r="J136" s="6" t="str">
        <f>IF(Table2[[#This Row],[Customer_Age]]&lt;20,"10-19", IF(Table2[[#This Row],[Customer_Age]]&lt;30,"20-29", IF(Table2[[#This Row],[Customer_Age]]&lt;40,"30-39", IF(Table2[[#This Row],[Customer_Age]]&lt;50,"40-49", IF(Table2[[#This Row],[Customer_Age]]&lt;60,"50-59", IF(Table2[[#This Row],[Customer_Age]]&lt;70,"60-69","70+"))))))</f>
        <v>20-29</v>
      </c>
    </row>
    <row r="137" spans="1:10">
      <c r="A137" s="32" t="s">
        <v>172</v>
      </c>
      <c r="B137" s="39" t="s">
        <v>11</v>
      </c>
      <c r="C137" s="39" t="s">
        <v>47</v>
      </c>
      <c r="D137" s="18">
        <v>2113.9299999999998</v>
      </c>
      <c r="E137" s="23">
        <v>49</v>
      </c>
      <c r="F137" s="27">
        <v>45225</v>
      </c>
      <c r="G137" s="39" t="s">
        <v>22</v>
      </c>
      <c r="H137" s="39" t="s">
        <v>45</v>
      </c>
      <c r="I137" s="2" t="str">
        <f>TEXT(Table2[[#This Row],[Booking_Date]],"mmmm")</f>
        <v>October</v>
      </c>
      <c r="J137" s="6" t="str">
        <f>IF(Table2[[#This Row],[Customer_Age]]&lt;20,"10-19", IF(Table2[[#This Row],[Customer_Age]]&lt;30,"20-29", IF(Table2[[#This Row],[Customer_Age]]&lt;40,"30-39", IF(Table2[[#This Row],[Customer_Age]]&lt;50,"40-49", IF(Table2[[#This Row],[Customer_Age]]&lt;60,"50-59", IF(Table2[[#This Row],[Customer_Age]]&lt;70,"60-69","70+"))))))</f>
        <v>40-49</v>
      </c>
    </row>
    <row r="138" spans="1:10">
      <c r="A138" s="31" t="s">
        <v>173</v>
      </c>
      <c r="B138" s="38" t="s">
        <v>24</v>
      </c>
      <c r="C138" s="39" t="s">
        <v>51</v>
      </c>
      <c r="D138" s="17">
        <v>760.58</v>
      </c>
      <c r="E138" s="22">
        <v>53</v>
      </c>
      <c r="F138" s="26">
        <v>45075</v>
      </c>
      <c r="G138" s="38" t="s">
        <v>22</v>
      </c>
      <c r="H138" s="38" t="s">
        <v>18</v>
      </c>
      <c r="I138" s="2" t="str">
        <f>TEXT(Table2[[#This Row],[Booking_Date]],"mmmm")</f>
        <v>May</v>
      </c>
      <c r="J138" s="6" t="str">
        <f>IF(Table2[[#This Row],[Customer_Age]]&lt;20,"10-19", IF(Table2[[#This Row],[Customer_Age]]&lt;30,"20-29", IF(Table2[[#This Row],[Customer_Age]]&lt;40,"30-39", IF(Table2[[#This Row],[Customer_Age]]&lt;50,"40-49", IF(Table2[[#This Row],[Customer_Age]]&lt;60,"50-59", IF(Table2[[#This Row],[Customer_Age]]&lt;70,"60-69","70+"))))))</f>
        <v>50-59</v>
      </c>
    </row>
    <row r="139" spans="1:10">
      <c r="A139" s="32" t="s">
        <v>174</v>
      </c>
      <c r="B139" s="39" t="s">
        <v>34</v>
      </c>
      <c r="C139" s="39" t="s">
        <v>21</v>
      </c>
      <c r="D139" s="18">
        <v>1916.47</v>
      </c>
      <c r="E139" s="23">
        <v>26</v>
      </c>
      <c r="F139" s="27">
        <v>44998</v>
      </c>
      <c r="G139" s="39" t="s">
        <v>22</v>
      </c>
      <c r="H139" s="39" t="s">
        <v>45</v>
      </c>
      <c r="I139" s="2" t="str">
        <f>TEXT(Table2[[#This Row],[Booking_Date]],"mmmm")</f>
        <v>March</v>
      </c>
      <c r="J139" s="6" t="str">
        <f>IF(Table2[[#This Row],[Customer_Age]]&lt;20,"10-19", IF(Table2[[#This Row],[Customer_Age]]&lt;30,"20-29", IF(Table2[[#This Row],[Customer_Age]]&lt;40,"30-39", IF(Table2[[#This Row],[Customer_Age]]&lt;50,"40-49", IF(Table2[[#This Row],[Customer_Age]]&lt;60,"50-59", IF(Table2[[#This Row],[Customer_Age]]&lt;70,"60-69","70+"))))))</f>
        <v>20-29</v>
      </c>
    </row>
    <row r="140" spans="1:10">
      <c r="A140" s="31" t="s">
        <v>175</v>
      </c>
      <c r="B140" s="38" t="s">
        <v>43</v>
      </c>
      <c r="C140" s="39" t="s">
        <v>21</v>
      </c>
      <c r="D140" s="17">
        <v>814.5</v>
      </c>
      <c r="E140" s="22">
        <v>18</v>
      </c>
      <c r="F140" s="26">
        <v>45216</v>
      </c>
      <c r="G140" s="38" t="s">
        <v>22</v>
      </c>
      <c r="H140" s="38" t="s">
        <v>45</v>
      </c>
      <c r="I140" s="2" t="str">
        <f>TEXT(Table2[[#This Row],[Booking_Date]],"mmmm")</f>
        <v>October</v>
      </c>
      <c r="J140" s="6" t="str">
        <f>IF(Table2[[#This Row],[Customer_Age]]&lt;20,"10-19", IF(Table2[[#This Row],[Customer_Age]]&lt;30,"20-29", IF(Table2[[#This Row],[Customer_Age]]&lt;40,"30-39", IF(Table2[[#This Row],[Customer_Age]]&lt;50,"40-49", IF(Table2[[#This Row],[Customer_Age]]&lt;60,"50-59", IF(Table2[[#This Row],[Customer_Age]]&lt;70,"60-69","70+"))))))</f>
        <v>10-19</v>
      </c>
    </row>
    <row r="141" spans="1:10">
      <c r="A141" s="32" t="s">
        <v>176</v>
      </c>
      <c r="B141" s="39" t="s">
        <v>38</v>
      </c>
      <c r="C141" s="39" t="s">
        <v>51</v>
      </c>
      <c r="D141" s="18">
        <v>1438.74</v>
      </c>
      <c r="E141" s="23">
        <v>40</v>
      </c>
      <c r="F141" s="27">
        <v>45267</v>
      </c>
      <c r="G141" s="39" t="s">
        <v>22</v>
      </c>
      <c r="H141" s="39" t="s">
        <v>45</v>
      </c>
      <c r="I141" s="2" t="str">
        <f>TEXT(Table2[[#This Row],[Booking_Date]],"mmmm")</f>
        <v>December</v>
      </c>
      <c r="J141" s="6" t="str">
        <f>IF(Table2[[#This Row],[Customer_Age]]&lt;20,"10-19", IF(Table2[[#This Row],[Customer_Age]]&lt;30,"20-29", IF(Table2[[#This Row],[Customer_Age]]&lt;40,"30-39", IF(Table2[[#This Row],[Customer_Age]]&lt;50,"40-49", IF(Table2[[#This Row],[Customer_Age]]&lt;60,"50-59", IF(Table2[[#This Row],[Customer_Age]]&lt;70,"60-69","70+"))))))</f>
        <v>40-49</v>
      </c>
    </row>
    <row r="142" spans="1:10">
      <c r="A142" s="31" t="s">
        <v>177</v>
      </c>
      <c r="B142" s="38" t="s">
        <v>43</v>
      </c>
      <c r="C142" s="39" t="s">
        <v>35</v>
      </c>
      <c r="D142" s="17">
        <v>2455.7800000000002</v>
      </c>
      <c r="E142" s="22">
        <v>33</v>
      </c>
      <c r="F142" s="26">
        <v>45512</v>
      </c>
      <c r="G142" s="38" t="s">
        <v>22</v>
      </c>
      <c r="H142" s="38" t="s">
        <v>18</v>
      </c>
      <c r="I142" s="2" t="str">
        <f>TEXT(Table2[[#This Row],[Booking_Date]],"mmmm")</f>
        <v>August</v>
      </c>
      <c r="J142" s="6" t="str">
        <f>IF(Table2[[#This Row],[Customer_Age]]&lt;20,"10-19", IF(Table2[[#This Row],[Customer_Age]]&lt;30,"20-29", IF(Table2[[#This Row],[Customer_Age]]&lt;40,"30-39", IF(Table2[[#This Row],[Customer_Age]]&lt;50,"40-49", IF(Table2[[#This Row],[Customer_Age]]&lt;60,"50-59", IF(Table2[[#This Row],[Customer_Age]]&lt;70,"60-69","70+"))))))</f>
        <v>30-39</v>
      </c>
    </row>
    <row r="143" spans="1:10">
      <c r="A143" s="32" t="s">
        <v>178</v>
      </c>
      <c r="B143" s="39" t="s">
        <v>31</v>
      </c>
      <c r="C143" s="39" t="s">
        <v>12</v>
      </c>
      <c r="D143" s="18">
        <v>931.81</v>
      </c>
      <c r="E143" s="23">
        <v>48</v>
      </c>
      <c r="F143" s="27">
        <v>45649</v>
      </c>
      <c r="G143" s="39" t="s">
        <v>22</v>
      </c>
      <c r="H143" s="39" t="s">
        <v>45</v>
      </c>
      <c r="I143" s="2" t="str">
        <f>TEXT(Table2[[#This Row],[Booking_Date]],"mmmm")</f>
        <v>December</v>
      </c>
      <c r="J143" s="6" t="str">
        <f>IF(Table2[[#This Row],[Customer_Age]]&lt;20,"10-19", IF(Table2[[#This Row],[Customer_Age]]&lt;30,"20-29", IF(Table2[[#This Row],[Customer_Age]]&lt;40,"30-39", IF(Table2[[#This Row],[Customer_Age]]&lt;50,"40-49", IF(Table2[[#This Row],[Customer_Age]]&lt;60,"50-59", IF(Table2[[#This Row],[Customer_Age]]&lt;70,"60-69","70+"))))))</f>
        <v>40-49</v>
      </c>
    </row>
    <row r="144" spans="1:10">
      <c r="A144" s="31" t="s">
        <v>179</v>
      </c>
      <c r="B144" s="38" t="s">
        <v>38</v>
      </c>
      <c r="C144" s="39" t="s">
        <v>51</v>
      </c>
      <c r="D144" s="17">
        <v>2419.1</v>
      </c>
      <c r="E144" s="22">
        <v>26</v>
      </c>
      <c r="F144" s="26">
        <v>45441</v>
      </c>
      <c r="G144" s="38" t="s">
        <v>22</v>
      </c>
      <c r="H144" s="38" t="s">
        <v>14</v>
      </c>
      <c r="I144" s="2" t="str">
        <f>TEXT(Table2[[#This Row],[Booking_Date]],"mmmm")</f>
        <v>May</v>
      </c>
      <c r="J144" s="6" t="str">
        <f>IF(Table2[[#This Row],[Customer_Age]]&lt;20,"10-19", IF(Table2[[#This Row],[Customer_Age]]&lt;30,"20-29", IF(Table2[[#This Row],[Customer_Age]]&lt;40,"30-39", IF(Table2[[#This Row],[Customer_Age]]&lt;50,"40-49", IF(Table2[[#This Row],[Customer_Age]]&lt;60,"50-59", IF(Table2[[#This Row],[Customer_Age]]&lt;70,"60-69","70+"))))))</f>
        <v>20-29</v>
      </c>
    </row>
    <row r="145" spans="1:10">
      <c r="A145" s="32" t="s">
        <v>180</v>
      </c>
      <c r="B145" s="39" t="s">
        <v>38</v>
      </c>
      <c r="C145" s="39" t="s">
        <v>17</v>
      </c>
      <c r="D145" s="18">
        <v>1279.83</v>
      </c>
      <c r="E145" s="23">
        <v>34</v>
      </c>
      <c r="F145" s="27">
        <v>45273</v>
      </c>
      <c r="G145" s="39" t="s">
        <v>22</v>
      </c>
      <c r="H145" s="39" t="s">
        <v>14</v>
      </c>
      <c r="I145" s="2" t="str">
        <f>TEXT(Table2[[#This Row],[Booking_Date]],"mmmm")</f>
        <v>December</v>
      </c>
      <c r="J145" s="6" t="str">
        <f>IF(Table2[[#This Row],[Customer_Age]]&lt;20,"10-19", IF(Table2[[#This Row],[Customer_Age]]&lt;30,"20-29", IF(Table2[[#This Row],[Customer_Age]]&lt;40,"30-39", IF(Table2[[#This Row],[Customer_Age]]&lt;50,"40-49", IF(Table2[[#This Row],[Customer_Age]]&lt;60,"50-59", IF(Table2[[#This Row],[Customer_Age]]&lt;70,"60-69","70+"))))))</f>
        <v>30-39</v>
      </c>
    </row>
    <row r="146" spans="1:10">
      <c r="A146" s="31" t="s">
        <v>181</v>
      </c>
      <c r="B146" s="38" t="s">
        <v>34</v>
      </c>
      <c r="C146" s="39" t="s">
        <v>17</v>
      </c>
      <c r="D146" s="17">
        <v>739.97</v>
      </c>
      <c r="E146" s="22">
        <v>61</v>
      </c>
      <c r="F146" s="26">
        <v>45221</v>
      </c>
      <c r="G146" s="38" t="s">
        <v>13</v>
      </c>
      <c r="H146" s="38" t="s">
        <v>14</v>
      </c>
      <c r="I146" s="2" t="str">
        <f>TEXT(Table2[[#This Row],[Booking_Date]],"mmmm")</f>
        <v>October</v>
      </c>
      <c r="J146" s="6" t="str">
        <f>IF(Table2[[#This Row],[Customer_Age]]&lt;20,"10-19", IF(Table2[[#This Row],[Customer_Age]]&lt;30,"20-29", IF(Table2[[#This Row],[Customer_Age]]&lt;40,"30-39", IF(Table2[[#This Row],[Customer_Age]]&lt;50,"40-49", IF(Table2[[#This Row],[Customer_Age]]&lt;60,"50-59", IF(Table2[[#This Row],[Customer_Age]]&lt;70,"60-69","70+"))))))</f>
        <v>60-69</v>
      </c>
    </row>
    <row r="147" spans="1:10">
      <c r="A147" s="32" t="s">
        <v>182</v>
      </c>
      <c r="B147" s="39" t="s">
        <v>31</v>
      </c>
      <c r="C147" s="39" t="s">
        <v>17</v>
      </c>
      <c r="D147" s="18">
        <v>1948.85</v>
      </c>
      <c r="E147" s="23">
        <v>63</v>
      </c>
      <c r="F147" s="27">
        <v>45029</v>
      </c>
      <c r="G147" s="39" t="s">
        <v>22</v>
      </c>
      <c r="H147" s="39" t="s">
        <v>18</v>
      </c>
      <c r="I147" s="2" t="str">
        <f>TEXT(Table2[[#This Row],[Booking_Date]],"mmmm")</f>
        <v>April</v>
      </c>
      <c r="J147" s="6" t="str">
        <f>IF(Table2[[#This Row],[Customer_Age]]&lt;20,"10-19", IF(Table2[[#This Row],[Customer_Age]]&lt;30,"20-29", IF(Table2[[#This Row],[Customer_Age]]&lt;40,"30-39", IF(Table2[[#This Row],[Customer_Age]]&lt;50,"40-49", IF(Table2[[#This Row],[Customer_Age]]&lt;60,"50-59", IF(Table2[[#This Row],[Customer_Age]]&lt;70,"60-69","70+"))))))</f>
        <v>60-69</v>
      </c>
    </row>
    <row r="148" spans="1:10">
      <c r="A148" s="31" t="s">
        <v>183</v>
      </c>
      <c r="B148" s="38" t="s">
        <v>28</v>
      </c>
      <c r="C148" s="39" t="s">
        <v>12</v>
      </c>
      <c r="D148" s="17">
        <v>305.77999999999997</v>
      </c>
      <c r="E148" s="22">
        <v>68</v>
      </c>
      <c r="F148" s="26">
        <v>44984</v>
      </c>
      <c r="G148" s="38" t="s">
        <v>22</v>
      </c>
      <c r="H148" s="38" t="s">
        <v>26</v>
      </c>
      <c r="I148" s="2" t="str">
        <f>TEXT(Table2[[#This Row],[Booking_Date]],"mmmm")</f>
        <v>February</v>
      </c>
      <c r="J148" s="6" t="str">
        <f>IF(Table2[[#This Row],[Customer_Age]]&lt;20,"10-19", IF(Table2[[#This Row],[Customer_Age]]&lt;30,"20-29", IF(Table2[[#This Row],[Customer_Age]]&lt;40,"30-39", IF(Table2[[#This Row],[Customer_Age]]&lt;50,"40-49", IF(Table2[[#This Row],[Customer_Age]]&lt;60,"50-59", IF(Table2[[#This Row],[Customer_Age]]&lt;70,"60-69","70+"))))))</f>
        <v>60-69</v>
      </c>
    </row>
    <row r="149" spans="1:10">
      <c r="A149" s="32" t="s">
        <v>184</v>
      </c>
      <c r="B149" s="39" t="s">
        <v>43</v>
      </c>
      <c r="C149" s="39" t="s">
        <v>49</v>
      </c>
      <c r="D149" s="18">
        <v>534.80999999999995</v>
      </c>
      <c r="E149" s="23">
        <v>51</v>
      </c>
      <c r="F149" s="27">
        <v>45348</v>
      </c>
      <c r="G149" s="39" t="s">
        <v>13</v>
      </c>
      <c r="H149" s="39" t="s">
        <v>18</v>
      </c>
      <c r="I149" s="2" t="str">
        <f>TEXT(Table2[[#This Row],[Booking_Date]],"mmmm")</f>
        <v>February</v>
      </c>
      <c r="J149" s="6" t="str">
        <f>IF(Table2[[#This Row],[Customer_Age]]&lt;20,"10-19", IF(Table2[[#This Row],[Customer_Age]]&lt;30,"20-29", IF(Table2[[#This Row],[Customer_Age]]&lt;40,"30-39", IF(Table2[[#This Row],[Customer_Age]]&lt;50,"40-49", IF(Table2[[#This Row],[Customer_Age]]&lt;60,"50-59", IF(Table2[[#This Row],[Customer_Age]]&lt;70,"60-69","70+"))))))</f>
        <v>50-59</v>
      </c>
    </row>
    <row r="150" spans="1:10">
      <c r="A150" s="31" t="s">
        <v>185</v>
      </c>
      <c r="B150" s="38" t="s">
        <v>38</v>
      </c>
      <c r="C150" s="39" t="s">
        <v>17</v>
      </c>
      <c r="D150" s="17">
        <v>1601.83</v>
      </c>
      <c r="E150" s="22">
        <v>42</v>
      </c>
      <c r="F150" s="26">
        <v>45561</v>
      </c>
      <c r="G150" s="38" t="s">
        <v>13</v>
      </c>
      <c r="H150" s="38" t="s">
        <v>45</v>
      </c>
      <c r="I150" s="2" t="str">
        <f>TEXT(Table2[[#This Row],[Booking_Date]],"mmmm")</f>
        <v>September</v>
      </c>
      <c r="J150" s="6" t="str">
        <f>IF(Table2[[#This Row],[Customer_Age]]&lt;20,"10-19", IF(Table2[[#This Row],[Customer_Age]]&lt;30,"20-29", IF(Table2[[#This Row],[Customer_Age]]&lt;40,"30-39", IF(Table2[[#This Row],[Customer_Age]]&lt;50,"40-49", IF(Table2[[#This Row],[Customer_Age]]&lt;60,"50-59", IF(Table2[[#This Row],[Customer_Age]]&lt;70,"60-69","70+"))))))</f>
        <v>40-49</v>
      </c>
    </row>
    <row r="151" spans="1:10">
      <c r="A151" s="32" t="s">
        <v>186</v>
      </c>
      <c r="B151" s="39" t="s">
        <v>34</v>
      </c>
      <c r="C151" s="39" t="s">
        <v>29</v>
      </c>
      <c r="D151" s="18">
        <v>734.03</v>
      </c>
      <c r="E151" s="23">
        <v>58</v>
      </c>
      <c r="F151" s="27">
        <v>45187</v>
      </c>
      <c r="G151" s="39" t="s">
        <v>22</v>
      </c>
      <c r="H151" s="39" t="s">
        <v>26</v>
      </c>
      <c r="I151" s="2" t="str">
        <f>TEXT(Table2[[#This Row],[Booking_Date]],"mmmm")</f>
        <v>September</v>
      </c>
      <c r="J151" s="6" t="str">
        <f>IF(Table2[[#This Row],[Customer_Age]]&lt;20,"10-19", IF(Table2[[#This Row],[Customer_Age]]&lt;30,"20-29", IF(Table2[[#This Row],[Customer_Age]]&lt;40,"30-39", IF(Table2[[#This Row],[Customer_Age]]&lt;50,"40-49", IF(Table2[[#This Row],[Customer_Age]]&lt;60,"50-59", IF(Table2[[#This Row],[Customer_Age]]&lt;70,"60-69","70+"))))))</f>
        <v>50-59</v>
      </c>
    </row>
    <row r="152" spans="1:10">
      <c r="A152" s="31" t="s">
        <v>187</v>
      </c>
      <c r="B152" s="38" t="s">
        <v>69</v>
      </c>
      <c r="C152" s="39" t="s">
        <v>51</v>
      </c>
      <c r="D152" s="17">
        <v>2272.7800000000002</v>
      </c>
      <c r="E152" s="22">
        <v>61</v>
      </c>
      <c r="F152" s="26">
        <v>45486</v>
      </c>
      <c r="G152" s="38" t="s">
        <v>13</v>
      </c>
      <c r="H152" s="38" t="s">
        <v>14</v>
      </c>
      <c r="I152" s="2" t="str">
        <f>TEXT(Table2[[#This Row],[Booking_Date]],"mmmm")</f>
        <v>July</v>
      </c>
      <c r="J152" s="6" t="str">
        <f>IF(Table2[[#This Row],[Customer_Age]]&lt;20,"10-19", IF(Table2[[#This Row],[Customer_Age]]&lt;30,"20-29", IF(Table2[[#This Row],[Customer_Age]]&lt;40,"30-39", IF(Table2[[#This Row],[Customer_Age]]&lt;50,"40-49", IF(Table2[[#This Row],[Customer_Age]]&lt;60,"50-59", IF(Table2[[#This Row],[Customer_Age]]&lt;70,"60-69","70+"))))))</f>
        <v>60-69</v>
      </c>
    </row>
    <row r="153" spans="1:10">
      <c r="A153" s="32" t="s">
        <v>188</v>
      </c>
      <c r="B153" s="39" t="s">
        <v>24</v>
      </c>
      <c r="C153" s="39" t="s">
        <v>39</v>
      </c>
      <c r="D153" s="18">
        <v>2471.6</v>
      </c>
      <c r="E153" s="23">
        <v>37</v>
      </c>
      <c r="F153" s="27">
        <v>45581</v>
      </c>
      <c r="G153" s="39" t="s">
        <v>22</v>
      </c>
      <c r="H153" s="39" t="s">
        <v>26</v>
      </c>
      <c r="I153" s="2" t="str">
        <f>TEXT(Table2[[#This Row],[Booking_Date]],"mmmm")</f>
        <v>October</v>
      </c>
      <c r="J153" s="6" t="str">
        <f>IF(Table2[[#This Row],[Customer_Age]]&lt;20,"10-19", IF(Table2[[#This Row],[Customer_Age]]&lt;30,"20-29", IF(Table2[[#This Row],[Customer_Age]]&lt;40,"30-39", IF(Table2[[#This Row],[Customer_Age]]&lt;50,"40-49", IF(Table2[[#This Row],[Customer_Age]]&lt;60,"50-59", IF(Table2[[#This Row],[Customer_Age]]&lt;70,"60-69","70+"))))))</f>
        <v>30-39</v>
      </c>
    </row>
    <row r="154" spans="1:10">
      <c r="A154" s="31" t="s">
        <v>189</v>
      </c>
      <c r="B154" s="38" t="s">
        <v>24</v>
      </c>
      <c r="C154" s="39" t="s">
        <v>55</v>
      </c>
      <c r="D154" s="17">
        <v>658.2</v>
      </c>
      <c r="E154" s="22">
        <v>42</v>
      </c>
      <c r="F154" s="26">
        <v>45421</v>
      </c>
      <c r="G154" s="38" t="s">
        <v>13</v>
      </c>
      <c r="H154" s="38" t="s">
        <v>18</v>
      </c>
      <c r="I154" s="2" t="str">
        <f>TEXT(Table2[[#This Row],[Booking_Date]],"mmmm")</f>
        <v>May</v>
      </c>
      <c r="J154" s="6" t="str">
        <f>IF(Table2[[#This Row],[Customer_Age]]&lt;20,"10-19", IF(Table2[[#This Row],[Customer_Age]]&lt;30,"20-29", IF(Table2[[#This Row],[Customer_Age]]&lt;40,"30-39", IF(Table2[[#This Row],[Customer_Age]]&lt;50,"40-49", IF(Table2[[#This Row],[Customer_Age]]&lt;60,"50-59", IF(Table2[[#This Row],[Customer_Age]]&lt;70,"60-69","70+"))))))</f>
        <v>40-49</v>
      </c>
    </row>
    <row r="155" spans="1:10">
      <c r="A155" s="32" t="s">
        <v>190</v>
      </c>
      <c r="B155" s="39" t="s">
        <v>31</v>
      </c>
      <c r="C155" s="39" t="s">
        <v>25</v>
      </c>
      <c r="D155" s="18">
        <v>1025.6099999999999</v>
      </c>
      <c r="E155" s="23">
        <v>36</v>
      </c>
      <c r="F155" s="27">
        <v>45643</v>
      </c>
      <c r="G155" s="39" t="s">
        <v>22</v>
      </c>
      <c r="H155" s="39" t="s">
        <v>14</v>
      </c>
      <c r="I155" s="2" t="str">
        <f>TEXT(Table2[[#This Row],[Booking_Date]],"mmmm")</f>
        <v>December</v>
      </c>
      <c r="J155" s="6" t="str">
        <f>IF(Table2[[#This Row],[Customer_Age]]&lt;20,"10-19", IF(Table2[[#This Row],[Customer_Age]]&lt;30,"20-29", IF(Table2[[#This Row],[Customer_Age]]&lt;40,"30-39", IF(Table2[[#This Row],[Customer_Age]]&lt;50,"40-49", IF(Table2[[#This Row],[Customer_Age]]&lt;60,"50-59", IF(Table2[[#This Row],[Customer_Age]]&lt;70,"60-69","70+"))))))</f>
        <v>30-39</v>
      </c>
    </row>
    <row r="156" spans="1:10">
      <c r="A156" s="31" t="s">
        <v>191</v>
      </c>
      <c r="B156" s="38" t="s">
        <v>31</v>
      </c>
      <c r="C156" s="39" t="s">
        <v>55</v>
      </c>
      <c r="D156" s="17">
        <v>218.63</v>
      </c>
      <c r="E156" s="22">
        <v>61</v>
      </c>
      <c r="F156" s="26">
        <v>44977</v>
      </c>
      <c r="G156" s="38" t="s">
        <v>22</v>
      </c>
      <c r="H156" s="38" t="s">
        <v>26</v>
      </c>
      <c r="I156" s="2" t="str">
        <f>TEXT(Table2[[#This Row],[Booking_Date]],"mmmm")</f>
        <v>February</v>
      </c>
      <c r="J156" s="6" t="str">
        <f>IF(Table2[[#This Row],[Customer_Age]]&lt;20,"10-19", IF(Table2[[#This Row],[Customer_Age]]&lt;30,"20-29", IF(Table2[[#This Row],[Customer_Age]]&lt;40,"30-39", IF(Table2[[#This Row],[Customer_Age]]&lt;50,"40-49", IF(Table2[[#This Row],[Customer_Age]]&lt;60,"50-59", IF(Table2[[#This Row],[Customer_Age]]&lt;70,"60-69","70+"))))))</f>
        <v>60-69</v>
      </c>
    </row>
    <row r="157" spans="1:10">
      <c r="A157" s="32" t="s">
        <v>192</v>
      </c>
      <c r="B157" s="39" t="s">
        <v>20</v>
      </c>
      <c r="C157" s="39" t="s">
        <v>25</v>
      </c>
      <c r="D157" s="18">
        <v>2044.44</v>
      </c>
      <c r="E157" s="23">
        <v>32</v>
      </c>
      <c r="F157" s="27">
        <v>45578</v>
      </c>
      <c r="G157" s="39" t="s">
        <v>13</v>
      </c>
      <c r="H157" s="39" t="s">
        <v>26</v>
      </c>
      <c r="I157" s="2" t="str">
        <f>TEXT(Table2[[#This Row],[Booking_Date]],"mmmm")</f>
        <v>October</v>
      </c>
      <c r="J157" s="6" t="str">
        <f>IF(Table2[[#This Row],[Customer_Age]]&lt;20,"10-19", IF(Table2[[#This Row],[Customer_Age]]&lt;30,"20-29", IF(Table2[[#This Row],[Customer_Age]]&lt;40,"30-39", IF(Table2[[#This Row],[Customer_Age]]&lt;50,"40-49", IF(Table2[[#This Row],[Customer_Age]]&lt;60,"50-59", IF(Table2[[#This Row],[Customer_Age]]&lt;70,"60-69","70+"))))))</f>
        <v>30-39</v>
      </c>
    </row>
    <row r="158" spans="1:10">
      <c r="A158" s="31" t="s">
        <v>193</v>
      </c>
      <c r="B158" s="38" t="s">
        <v>38</v>
      </c>
      <c r="C158" s="39" t="s">
        <v>47</v>
      </c>
      <c r="D158" s="17">
        <v>423.48</v>
      </c>
      <c r="E158" s="22">
        <v>58</v>
      </c>
      <c r="F158" s="26">
        <v>45588</v>
      </c>
      <c r="G158" s="38" t="s">
        <v>13</v>
      </c>
      <c r="H158" s="38" t="s">
        <v>26</v>
      </c>
      <c r="I158" s="2" t="str">
        <f>TEXT(Table2[[#This Row],[Booking_Date]],"mmmm")</f>
        <v>October</v>
      </c>
      <c r="J158" s="6" t="str">
        <f>IF(Table2[[#This Row],[Customer_Age]]&lt;20,"10-19", IF(Table2[[#This Row],[Customer_Age]]&lt;30,"20-29", IF(Table2[[#This Row],[Customer_Age]]&lt;40,"30-39", IF(Table2[[#This Row],[Customer_Age]]&lt;50,"40-49", IF(Table2[[#This Row],[Customer_Age]]&lt;60,"50-59", IF(Table2[[#This Row],[Customer_Age]]&lt;70,"60-69","70+"))))))</f>
        <v>50-59</v>
      </c>
    </row>
    <row r="159" spans="1:10">
      <c r="A159" s="32" t="s">
        <v>194</v>
      </c>
      <c r="B159" s="39" t="s">
        <v>24</v>
      </c>
      <c r="C159" s="39" t="s">
        <v>12</v>
      </c>
      <c r="D159" s="18">
        <v>1533.02</v>
      </c>
      <c r="E159" s="23">
        <v>64</v>
      </c>
      <c r="F159" s="27">
        <v>45061</v>
      </c>
      <c r="G159" s="39" t="s">
        <v>13</v>
      </c>
      <c r="H159" s="39" t="s">
        <v>26</v>
      </c>
      <c r="I159" s="2" t="str">
        <f>TEXT(Table2[[#This Row],[Booking_Date]],"mmmm")</f>
        <v>May</v>
      </c>
      <c r="J159" s="6" t="str">
        <f>IF(Table2[[#This Row],[Customer_Age]]&lt;20,"10-19", IF(Table2[[#This Row],[Customer_Age]]&lt;30,"20-29", IF(Table2[[#This Row],[Customer_Age]]&lt;40,"30-39", IF(Table2[[#This Row],[Customer_Age]]&lt;50,"40-49", IF(Table2[[#This Row],[Customer_Age]]&lt;60,"50-59", IF(Table2[[#This Row],[Customer_Age]]&lt;70,"60-69","70+"))))))</f>
        <v>60-69</v>
      </c>
    </row>
    <row r="160" spans="1:10">
      <c r="A160" s="31" t="s">
        <v>195</v>
      </c>
      <c r="B160" s="38" t="s">
        <v>43</v>
      </c>
      <c r="C160" s="39" t="s">
        <v>41</v>
      </c>
      <c r="D160" s="17">
        <v>1155.6600000000001</v>
      </c>
      <c r="E160" s="22">
        <v>30</v>
      </c>
      <c r="F160" s="26">
        <v>45062</v>
      </c>
      <c r="G160" s="38" t="s">
        <v>22</v>
      </c>
      <c r="H160" s="38" t="s">
        <v>26</v>
      </c>
      <c r="I160" s="2" t="str">
        <f>TEXT(Table2[[#This Row],[Booking_Date]],"mmmm")</f>
        <v>May</v>
      </c>
      <c r="J160" s="6" t="str">
        <f>IF(Table2[[#This Row],[Customer_Age]]&lt;20,"10-19", IF(Table2[[#This Row],[Customer_Age]]&lt;30,"20-29", IF(Table2[[#This Row],[Customer_Age]]&lt;40,"30-39", IF(Table2[[#This Row],[Customer_Age]]&lt;50,"40-49", IF(Table2[[#This Row],[Customer_Age]]&lt;60,"50-59", IF(Table2[[#This Row],[Customer_Age]]&lt;70,"60-69","70+"))))))</f>
        <v>30-39</v>
      </c>
    </row>
    <row r="161" spans="1:10">
      <c r="A161" s="32" t="s">
        <v>196</v>
      </c>
      <c r="B161" s="39" t="s">
        <v>38</v>
      </c>
      <c r="C161" s="39" t="s">
        <v>55</v>
      </c>
      <c r="D161" s="18">
        <v>2302.31</v>
      </c>
      <c r="E161" s="23">
        <v>48</v>
      </c>
      <c r="F161" s="27">
        <v>45229</v>
      </c>
      <c r="G161" s="39" t="s">
        <v>22</v>
      </c>
      <c r="H161" s="39" t="s">
        <v>14</v>
      </c>
      <c r="I161" s="2" t="str">
        <f>TEXT(Table2[[#This Row],[Booking_Date]],"mmmm")</f>
        <v>October</v>
      </c>
      <c r="J161" s="6" t="str">
        <f>IF(Table2[[#This Row],[Customer_Age]]&lt;20,"10-19", IF(Table2[[#This Row],[Customer_Age]]&lt;30,"20-29", IF(Table2[[#This Row],[Customer_Age]]&lt;40,"30-39", IF(Table2[[#This Row],[Customer_Age]]&lt;50,"40-49", IF(Table2[[#This Row],[Customer_Age]]&lt;60,"50-59", IF(Table2[[#This Row],[Customer_Age]]&lt;70,"60-69","70+"))))))</f>
        <v>40-49</v>
      </c>
    </row>
    <row r="162" spans="1:10">
      <c r="A162" s="31" t="s">
        <v>197</v>
      </c>
      <c r="B162" s="38" t="s">
        <v>24</v>
      </c>
      <c r="C162" s="39" t="s">
        <v>17</v>
      </c>
      <c r="D162" s="17">
        <v>523.74</v>
      </c>
      <c r="E162" s="22">
        <v>32</v>
      </c>
      <c r="F162" s="26">
        <v>45619</v>
      </c>
      <c r="G162" s="38" t="s">
        <v>22</v>
      </c>
      <c r="H162" s="38" t="s">
        <v>26</v>
      </c>
      <c r="I162" s="2" t="str">
        <f>TEXT(Table2[[#This Row],[Booking_Date]],"mmmm")</f>
        <v>November</v>
      </c>
      <c r="J162" s="6" t="str">
        <f>IF(Table2[[#This Row],[Customer_Age]]&lt;20,"10-19", IF(Table2[[#This Row],[Customer_Age]]&lt;30,"20-29", IF(Table2[[#This Row],[Customer_Age]]&lt;40,"30-39", IF(Table2[[#This Row],[Customer_Age]]&lt;50,"40-49", IF(Table2[[#This Row],[Customer_Age]]&lt;60,"50-59", IF(Table2[[#This Row],[Customer_Age]]&lt;70,"60-69","70+"))))))</f>
        <v>30-39</v>
      </c>
    </row>
    <row r="163" spans="1:10">
      <c r="A163" s="32" t="s">
        <v>198</v>
      </c>
      <c r="B163" s="39" t="s">
        <v>11</v>
      </c>
      <c r="C163" s="39" t="s">
        <v>49</v>
      </c>
      <c r="D163" s="18">
        <v>232.01</v>
      </c>
      <c r="E163" s="23">
        <v>52</v>
      </c>
      <c r="F163" s="27">
        <v>45053</v>
      </c>
      <c r="G163" s="39" t="s">
        <v>22</v>
      </c>
      <c r="H163" s="39" t="s">
        <v>26</v>
      </c>
      <c r="I163" s="2" t="str">
        <f>TEXT(Table2[[#This Row],[Booking_Date]],"mmmm")</f>
        <v>May</v>
      </c>
      <c r="J163" s="6" t="str">
        <f>IF(Table2[[#This Row],[Customer_Age]]&lt;20,"10-19", IF(Table2[[#This Row],[Customer_Age]]&lt;30,"20-29", IF(Table2[[#This Row],[Customer_Age]]&lt;40,"30-39", IF(Table2[[#This Row],[Customer_Age]]&lt;50,"40-49", IF(Table2[[#This Row],[Customer_Age]]&lt;60,"50-59", IF(Table2[[#This Row],[Customer_Age]]&lt;70,"60-69","70+"))))))</f>
        <v>50-59</v>
      </c>
    </row>
    <row r="164" spans="1:10">
      <c r="A164" s="31" t="s">
        <v>199</v>
      </c>
      <c r="B164" s="38" t="s">
        <v>28</v>
      </c>
      <c r="C164" s="39" t="s">
        <v>25</v>
      </c>
      <c r="D164" s="17">
        <v>1076.3599999999999</v>
      </c>
      <c r="E164" s="22">
        <v>58</v>
      </c>
      <c r="F164" s="26">
        <v>45307</v>
      </c>
      <c r="G164" s="38" t="s">
        <v>13</v>
      </c>
      <c r="H164" s="38" t="s">
        <v>18</v>
      </c>
      <c r="I164" s="2" t="str">
        <f>TEXT(Table2[[#This Row],[Booking_Date]],"mmmm")</f>
        <v>January</v>
      </c>
      <c r="J164" s="6" t="str">
        <f>IF(Table2[[#This Row],[Customer_Age]]&lt;20,"10-19", IF(Table2[[#This Row],[Customer_Age]]&lt;30,"20-29", IF(Table2[[#This Row],[Customer_Age]]&lt;40,"30-39", IF(Table2[[#This Row],[Customer_Age]]&lt;50,"40-49", IF(Table2[[#This Row],[Customer_Age]]&lt;60,"50-59", IF(Table2[[#This Row],[Customer_Age]]&lt;70,"60-69","70+"))))))</f>
        <v>50-59</v>
      </c>
    </row>
    <row r="165" spans="1:10">
      <c r="A165" s="32" t="s">
        <v>200</v>
      </c>
      <c r="B165" s="39" t="s">
        <v>24</v>
      </c>
      <c r="C165" s="39" t="s">
        <v>12</v>
      </c>
      <c r="D165" s="18">
        <v>1624.96</v>
      </c>
      <c r="E165" s="23">
        <v>53</v>
      </c>
      <c r="F165" s="27">
        <v>45262</v>
      </c>
      <c r="G165" s="39" t="s">
        <v>13</v>
      </c>
      <c r="H165" s="39" t="s">
        <v>14</v>
      </c>
      <c r="I165" s="2" t="str">
        <f>TEXT(Table2[[#This Row],[Booking_Date]],"mmmm")</f>
        <v>December</v>
      </c>
      <c r="J165" s="6" t="str">
        <f>IF(Table2[[#This Row],[Customer_Age]]&lt;20,"10-19", IF(Table2[[#This Row],[Customer_Age]]&lt;30,"20-29", IF(Table2[[#This Row],[Customer_Age]]&lt;40,"30-39", IF(Table2[[#This Row],[Customer_Age]]&lt;50,"40-49", IF(Table2[[#This Row],[Customer_Age]]&lt;60,"50-59", IF(Table2[[#This Row],[Customer_Age]]&lt;70,"60-69","70+"))))))</f>
        <v>50-59</v>
      </c>
    </row>
    <row r="166" spans="1:10">
      <c r="A166" s="31" t="s">
        <v>201</v>
      </c>
      <c r="B166" s="38" t="s">
        <v>24</v>
      </c>
      <c r="C166" s="39" t="s">
        <v>41</v>
      </c>
      <c r="D166" s="17">
        <v>895.04</v>
      </c>
      <c r="E166" s="22">
        <v>44</v>
      </c>
      <c r="F166" s="26">
        <v>45046</v>
      </c>
      <c r="G166" s="38" t="s">
        <v>13</v>
      </c>
      <c r="H166" s="38" t="s">
        <v>14</v>
      </c>
      <c r="I166" s="2" t="str">
        <f>TEXT(Table2[[#This Row],[Booking_Date]],"mmmm")</f>
        <v>April</v>
      </c>
      <c r="J166" s="6" t="str">
        <f>IF(Table2[[#This Row],[Customer_Age]]&lt;20,"10-19", IF(Table2[[#This Row],[Customer_Age]]&lt;30,"20-29", IF(Table2[[#This Row],[Customer_Age]]&lt;40,"30-39", IF(Table2[[#This Row],[Customer_Age]]&lt;50,"40-49", IF(Table2[[#This Row],[Customer_Age]]&lt;60,"50-59", IF(Table2[[#This Row],[Customer_Age]]&lt;70,"60-69","70+"))))))</f>
        <v>40-49</v>
      </c>
    </row>
    <row r="167" spans="1:10">
      <c r="A167" s="32" t="s">
        <v>202</v>
      </c>
      <c r="B167" s="39" t="s">
        <v>69</v>
      </c>
      <c r="C167" s="39" t="s">
        <v>55</v>
      </c>
      <c r="D167" s="18">
        <v>2490.63</v>
      </c>
      <c r="E167" s="23">
        <v>25</v>
      </c>
      <c r="F167" s="27">
        <v>45026</v>
      </c>
      <c r="G167" s="39" t="s">
        <v>13</v>
      </c>
      <c r="H167" s="39" t="s">
        <v>18</v>
      </c>
      <c r="I167" s="2" t="str">
        <f>TEXT(Table2[[#This Row],[Booking_Date]],"mmmm")</f>
        <v>April</v>
      </c>
      <c r="J167" s="6" t="str">
        <f>IF(Table2[[#This Row],[Customer_Age]]&lt;20,"10-19", IF(Table2[[#This Row],[Customer_Age]]&lt;30,"20-29", IF(Table2[[#This Row],[Customer_Age]]&lt;40,"30-39", IF(Table2[[#This Row],[Customer_Age]]&lt;50,"40-49", IF(Table2[[#This Row],[Customer_Age]]&lt;60,"50-59", IF(Table2[[#This Row],[Customer_Age]]&lt;70,"60-69","70+"))))))</f>
        <v>20-29</v>
      </c>
    </row>
    <row r="168" spans="1:10">
      <c r="A168" s="31" t="s">
        <v>203</v>
      </c>
      <c r="B168" s="38" t="s">
        <v>31</v>
      </c>
      <c r="C168" s="39" t="s">
        <v>51</v>
      </c>
      <c r="D168" s="17">
        <v>1053.33</v>
      </c>
      <c r="E168" s="22">
        <v>65</v>
      </c>
      <c r="F168" s="26">
        <v>45640</v>
      </c>
      <c r="G168" s="38" t="s">
        <v>22</v>
      </c>
      <c r="H168" s="38" t="s">
        <v>18</v>
      </c>
      <c r="I168" s="2" t="str">
        <f>TEXT(Table2[[#This Row],[Booking_Date]],"mmmm")</f>
        <v>December</v>
      </c>
      <c r="J168" s="6" t="str">
        <f>IF(Table2[[#This Row],[Customer_Age]]&lt;20,"10-19", IF(Table2[[#This Row],[Customer_Age]]&lt;30,"20-29", IF(Table2[[#This Row],[Customer_Age]]&lt;40,"30-39", IF(Table2[[#This Row],[Customer_Age]]&lt;50,"40-49", IF(Table2[[#This Row],[Customer_Age]]&lt;60,"50-59", IF(Table2[[#This Row],[Customer_Age]]&lt;70,"60-69","70+"))))))</f>
        <v>60-69</v>
      </c>
    </row>
    <row r="169" spans="1:10">
      <c r="A169" s="32" t="s">
        <v>204</v>
      </c>
      <c r="B169" s="39" t="s">
        <v>31</v>
      </c>
      <c r="C169" s="39" t="s">
        <v>47</v>
      </c>
      <c r="D169" s="18">
        <v>427.75</v>
      </c>
      <c r="E169" s="23">
        <v>49</v>
      </c>
      <c r="F169" s="27">
        <v>45557</v>
      </c>
      <c r="G169" s="39" t="s">
        <v>22</v>
      </c>
      <c r="H169" s="39" t="s">
        <v>26</v>
      </c>
      <c r="I169" s="2" t="str">
        <f>TEXT(Table2[[#This Row],[Booking_Date]],"mmmm")</f>
        <v>September</v>
      </c>
      <c r="J169" s="6" t="str">
        <f>IF(Table2[[#This Row],[Customer_Age]]&lt;20,"10-19", IF(Table2[[#This Row],[Customer_Age]]&lt;30,"20-29", IF(Table2[[#This Row],[Customer_Age]]&lt;40,"30-39", IF(Table2[[#This Row],[Customer_Age]]&lt;50,"40-49", IF(Table2[[#This Row],[Customer_Age]]&lt;60,"50-59", IF(Table2[[#This Row],[Customer_Age]]&lt;70,"60-69","70+"))))))</f>
        <v>40-49</v>
      </c>
    </row>
    <row r="170" spans="1:10">
      <c r="A170" s="31" t="s">
        <v>205</v>
      </c>
      <c r="B170" s="38" t="s">
        <v>69</v>
      </c>
      <c r="C170" s="39" t="s">
        <v>41</v>
      </c>
      <c r="D170" s="17">
        <v>1052.22</v>
      </c>
      <c r="E170" s="22">
        <v>46</v>
      </c>
      <c r="F170" s="26">
        <v>45382</v>
      </c>
      <c r="G170" s="38" t="s">
        <v>13</v>
      </c>
      <c r="H170" s="38" t="s">
        <v>26</v>
      </c>
      <c r="I170" s="2" t="str">
        <f>TEXT(Table2[[#This Row],[Booking_Date]],"mmmm")</f>
        <v>March</v>
      </c>
      <c r="J170" s="6" t="str">
        <f>IF(Table2[[#This Row],[Customer_Age]]&lt;20,"10-19", IF(Table2[[#This Row],[Customer_Age]]&lt;30,"20-29", IF(Table2[[#This Row],[Customer_Age]]&lt;40,"30-39", IF(Table2[[#This Row],[Customer_Age]]&lt;50,"40-49", IF(Table2[[#This Row],[Customer_Age]]&lt;60,"50-59", IF(Table2[[#This Row],[Customer_Age]]&lt;70,"60-69","70+"))))))</f>
        <v>40-49</v>
      </c>
    </row>
    <row r="171" spans="1:10">
      <c r="A171" s="32" t="s">
        <v>206</v>
      </c>
      <c r="B171" s="39" t="s">
        <v>11</v>
      </c>
      <c r="C171" s="39" t="s">
        <v>47</v>
      </c>
      <c r="D171" s="18">
        <v>1044.8699999999999</v>
      </c>
      <c r="E171" s="23">
        <v>59</v>
      </c>
      <c r="F171" s="27">
        <v>45294</v>
      </c>
      <c r="G171" s="39" t="s">
        <v>13</v>
      </c>
      <c r="H171" s="39" t="s">
        <v>45</v>
      </c>
      <c r="I171" s="2" t="str">
        <f>TEXT(Table2[[#This Row],[Booking_Date]],"mmmm")</f>
        <v>January</v>
      </c>
      <c r="J171" s="6" t="str">
        <f>IF(Table2[[#This Row],[Customer_Age]]&lt;20,"10-19", IF(Table2[[#This Row],[Customer_Age]]&lt;30,"20-29", IF(Table2[[#This Row],[Customer_Age]]&lt;40,"30-39", IF(Table2[[#This Row],[Customer_Age]]&lt;50,"40-49", IF(Table2[[#This Row],[Customer_Age]]&lt;60,"50-59", IF(Table2[[#This Row],[Customer_Age]]&lt;70,"60-69","70+"))))))</f>
        <v>50-59</v>
      </c>
    </row>
    <row r="172" spans="1:10">
      <c r="A172" s="31" t="s">
        <v>207</v>
      </c>
      <c r="B172" s="38" t="s">
        <v>28</v>
      </c>
      <c r="C172" s="39" t="s">
        <v>35</v>
      </c>
      <c r="D172" s="17">
        <v>2426.88</v>
      </c>
      <c r="E172" s="22">
        <v>70</v>
      </c>
      <c r="F172" s="26">
        <v>45392</v>
      </c>
      <c r="G172" s="38" t="s">
        <v>13</v>
      </c>
      <c r="H172" s="38" t="s">
        <v>18</v>
      </c>
      <c r="I172" s="2" t="str">
        <f>TEXT(Table2[[#This Row],[Booking_Date]],"mmmm")</f>
        <v>April</v>
      </c>
      <c r="J172" s="6" t="str">
        <f>IF(Table2[[#This Row],[Customer_Age]]&lt;20,"10-19", IF(Table2[[#This Row],[Customer_Age]]&lt;30,"20-29", IF(Table2[[#This Row],[Customer_Age]]&lt;40,"30-39", IF(Table2[[#This Row],[Customer_Age]]&lt;50,"40-49", IF(Table2[[#This Row],[Customer_Age]]&lt;60,"50-59", IF(Table2[[#This Row],[Customer_Age]]&lt;70,"60-69","70+"))))))</f>
        <v>70+</v>
      </c>
    </row>
    <row r="173" spans="1:10">
      <c r="A173" s="32" t="s">
        <v>208</v>
      </c>
      <c r="B173" s="39" t="s">
        <v>34</v>
      </c>
      <c r="C173" s="39" t="s">
        <v>12</v>
      </c>
      <c r="D173" s="18">
        <v>316.33</v>
      </c>
      <c r="E173" s="23">
        <v>39</v>
      </c>
      <c r="F173" s="27">
        <v>45176</v>
      </c>
      <c r="G173" s="39" t="s">
        <v>13</v>
      </c>
      <c r="H173" s="39" t="s">
        <v>18</v>
      </c>
      <c r="I173" s="2" t="str">
        <f>TEXT(Table2[[#This Row],[Booking_Date]],"mmmm")</f>
        <v>September</v>
      </c>
      <c r="J173" s="6" t="str">
        <f>IF(Table2[[#This Row],[Customer_Age]]&lt;20,"10-19", IF(Table2[[#This Row],[Customer_Age]]&lt;30,"20-29", IF(Table2[[#This Row],[Customer_Age]]&lt;40,"30-39", IF(Table2[[#This Row],[Customer_Age]]&lt;50,"40-49", IF(Table2[[#This Row],[Customer_Age]]&lt;60,"50-59", IF(Table2[[#This Row],[Customer_Age]]&lt;70,"60-69","70+"))))))</f>
        <v>30-39</v>
      </c>
    </row>
    <row r="174" spans="1:10">
      <c r="A174" s="31" t="s">
        <v>209</v>
      </c>
      <c r="B174" s="38" t="s">
        <v>11</v>
      </c>
      <c r="C174" s="39" t="s">
        <v>21</v>
      </c>
      <c r="D174" s="17">
        <v>676.46</v>
      </c>
      <c r="E174" s="22">
        <v>31</v>
      </c>
      <c r="F174" s="26">
        <v>45165</v>
      </c>
      <c r="G174" s="38" t="s">
        <v>22</v>
      </c>
      <c r="H174" s="38" t="s">
        <v>18</v>
      </c>
      <c r="I174" s="2" t="str">
        <f>TEXT(Table2[[#This Row],[Booking_Date]],"mmmm")</f>
        <v>August</v>
      </c>
      <c r="J174" s="6" t="str">
        <f>IF(Table2[[#This Row],[Customer_Age]]&lt;20,"10-19", IF(Table2[[#This Row],[Customer_Age]]&lt;30,"20-29", IF(Table2[[#This Row],[Customer_Age]]&lt;40,"30-39", IF(Table2[[#This Row],[Customer_Age]]&lt;50,"40-49", IF(Table2[[#This Row],[Customer_Age]]&lt;60,"50-59", IF(Table2[[#This Row],[Customer_Age]]&lt;70,"60-69","70+"))))))</f>
        <v>30-39</v>
      </c>
    </row>
    <row r="175" spans="1:10">
      <c r="A175" s="32" t="s">
        <v>210</v>
      </c>
      <c r="B175" s="39" t="s">
        <v>34</v>
      </c>
      <c r="C175" s="39" t="s">
        <v>12</v>
      </c>
      <c r="D175" s="18">
        <v>837.73</v>
      </c>
      <c r="E175" s="23">
        <v>27</v>
      </c>
      <c r="F175" s="27">
        <v>45060</v>
      </c>
      <c r="G175" s="39" t="s">
        <v>22</v>
      </c>
      <c r="H175" s="39" t="s">
        <v>18</v>
      </c>
      <c r="I175" s="2" t="str">
        <f>TEXT(Table2[[#This Row],[Booking_Date]],"mmmm")</f>
        <v>May</v>
      </c>
      <c r="J175" s="6" t="str">
        <f>IF(Table2[[#This Row],[Customer_Age]]&lt;20,"10-19", IF(Table2[[#This Row],[Customer_Age]]&lt;30,"20-29", IF(Table2[[#This Row],[Customer_Age]]&lt;40,"30-39", IF(Table2[[#This Row],[Customer_Age]]&lt;50,"40-49", IF(Table2[[#This Row],[Customer_Age]]&lt;60,"50-59", IF(Table2[[#This Row],[Customer_Age]]&lt;70,"60-69","70+"))))))</f>
        <v>20-29</v>
      </c>
    </row>
    <row r="176" spans="1:10">
      <c r="A176" s="31" t="s">
        <v>211</v>
      </c>
      <c r="B176" s="38" t="s">
        <v>11</v>
      </c>
      <c r="C176" s="39" t="s">
        <v>47</v>
      </c>
      <c r="D176" s="17">
        <v>2192.83</v>
      </c>
      <c r="E176" s="22">
        <v>26</v>
      </c>
      <c r="F176" s="26">
        <v>44942</v>
      </c>
      <c r="G176" s="38" t="s">
        <v>22</v>
      </c>
      <c r="H176" s="38" t="s">
        <v>18</v>
      </c>
      <c r="I176" s="2" t="str">
        <f>TEXT(Table2[[#This Row],[Booking_Date]],"mmmm")</f>
        <v>January</v>
      </c>
      <c r="J176" s="6" t="str">
        <f>IF(Table2[[#This Row],[Customer_Age]]&lt;20,"10-19", IF(Table2[[#This Row],[Customer_Age]]&lt;30,"20-29", IF(Table2[[#This Row],[Customer_Age]]&lt;40,"30-39", IF(Table2[[#This Row],[Customer_Age]]&lt;50,"40-49", IF(Table2[[#This Row],[Customer_Age]]&lt;60,"50-59", IF(Table2[[#This Row],[Customer_Age]]&lt;70,"60-69","70+"))))))</f>
        <v>20-29</v>
      </c>
    </row>
    <row r="177" spans="1:10">
      <c r="A177" s="32" t="s">
        <v>212</v>
      </c>
      <c r="B177" s="39" t="s">
        <v>34</v>
      </c>
      <c r="C177" s="39" t="s">
        <v>39</v>
      </c>
      <c r="D177" s="18">
        <v>236.3</v>
      </c>
      <c r="E177" s="23">
        <v>34</v>
      </c>
      <c r="F177" s="27">
        <v>44980</v>
      </c>
      <c r="G177" s="39" t="s">
        <v>13</v>
      </c>
      <c r="H177" s="39" t="s">
        <v>45</v>
      </c>
      <c r="I177" s="2" t="str">
        <f>TEXT(Table2[[#This Row],[Booking_Date]],"mmmm")</f>
        <v>February</v>
      </c>
      <c r="J177" s="6" t="str">
        <f>IF(Table2[[#This Row],[Customer_Age]]&lt;20,"10-19", IF(Table2[[#This Row],[Customer_Age]]&lt;30,"20-29", IF(Table2[[#This Row],[Customer_Age]]&lt;40,"30-39", IF(Table2[[#This Row],[Customer_Age]]&lt;50,"40-49", IF(Table2[[#This Row],[Customer_Age]]&lt;60,"50-59", IF(Table2[[#This Row],[Customer_Age]]&lt;70,"60-69","70+"))))))</f>
        <v>30-39</v>
      </c>
    </row>
    <row r="178" spans="1:10">
      <c r="A178" s="31" t="s">
        <v>213</v>
      </c>
      <c r="B178" s="38" t="s">
        <v>16</v>
      </c>
      <c r="C178" s="39" t="s">
        <v>17</v>
      </c>
      <c r="D178" s="17">
        <v>1915.03</v>
      </c>
      <c r="E178" s="22">
        <v>48</v>
      </c>
      <c r="F178" s="26">
        <v>45386</v>
      </c>
      <c r="G178" s="38" t="s">
        <v>22</v>
      </c>
      <c r="H178" s="38" t="s">
        <v>14</v>
      </c>
      <c r="I178" s="2" t="str">
        <f>TEXT(Table2[[#This Row],[Booking_Date]],"mmmm")</f>
        <v>April</v>
      </c>
      <c r="J178" s="6" t="str">
        <f>IF(Table2[[#This Row],[Customer_Age]]&lt;20,"10-19", IF(Table2[[#This Row],[Customer_Age]]&lt;30,"20-29", IF(Table2[[#This Row],[Customer_Age]]&lt;40,"30-39", IF(Table2[[#This Row],[Customer_Age]]&lt;50,"40-49", IF(Table2[[#This Row],[Customer_Age]]&lt;60,"50-59", IF(Table2[[#This Row],[Customer_Age]]&lt;70,"60-69","70+"))))))</f>
        <v>40-49</v>
      </c>
    </row>
    <row r="179" spans="1:10">
      <c r="A179" s="32" t="s">
        <v>214</v>
      </c>
      <c r="B179" s="39" t="s">
        <v>24</v>
      </c>
      <c r="C179" s="39" t="s">
        <v>21</v>
      </c>
      <c r="D179" s="18">
        <v>709.56</v>
      </c>
      <c r="E179" s="23">
        <v>57</v>
      </c>
      <c r="F179" s="27">
        <v>44971</v>
      </c>
      <c r="G179" s="39" t="s">
        <v>22</v>
      </c>
      <c r="H179" s="39" t="s">
        <v>45</v>
      </c>
      <c r="I179" s="2" t="str">
        <f>TEXT(Table2[[#This Row],[Booking_Date]],"mmmm")</f>
        <v>February</v>
      </c>
      <c r="J179" s="6" t="str">
        <f>IF(Table2[[#This Row],[Customer_Age]]&lt;20,"10-19", IF(Table2[[#This Row],[Customer_Age]]&lt;30,"20-29", IF(Table2[[#This Row],[Customer_Age]]&lt;40,"30-39", IF(Table2[[#This Row],[Customer_Age]]&lt;50,"40-49", IF(Table2[[#This Row],[Customer_Age]]&lt;60,"50-59", IF(Table2[[#This Row],[Customer_Age]]&lt;70,"60-69","70+"))))))</f>
        <v>50-59</v>
      </c>
    </row>
    <row r="180" spans="1:10">
      <c r="A180" s="31" t="s">
        <v>215</v>
      </c>
      <c r="B180" s="38" t="s">
        <v>69</v>
      </c>
      <c r="C180" s="39" t="s">
        <v>12</v>
      </c>
      <c r="D180" s="17">
        <v>2496.75</v>
      </c>
      <c r="E180" s="22">
        <v>43</v>
      </c>
      <c r="F180" s="26">
        <v>45363</v>
      </c>
      <c r="G180" s="38" t="s">
        <v>13</v>
      </c>
      <c r="H180" s="38" t="s">
        <v>45</v>
      </c>
      <c r="I180" s="2" t="str">
        <f>TEXT(Table2[[#This Row],[Booking_Date]],"mmmm")</f>
        <v>March</v>
      </c>
      <c r="J180" s="6" t="str">
        <f>IF(Table2[[#This Row],[Customer_Age]]&lt;20,"10-19", IF(Table2[[#This Row],[Customer_Age]]&lt;30,"20-29", IF(Table2[[#This Row],[Customer_Age]]&lt;40,"30-39", IF(Table2[[#This Row],[Customer_Age]]&lt;50,"40-49", IF(Table2[[#This Row],[Customer_Age]]&lt;60,"50-59", IF(Table2[[#This Row],[Customer_Age]]&lt;70,"60-69","70+"))))))</f>
        <v>40-49</v>
      </c>
    </row>
    <row r="181" spans="1:10">
      <c r="A181" s="32" t="s">
        <v>216</v>
      </c>
      <c r="B181" s="39" t="s">
        <v>24</v>
      </c>
      <c r="C181" s="39" t="s">
        <v>17</v>
      </c>
      <c r="D181" s="18">
        <v>2268.31</v>
      </c>
      <c r="E181" s="23">
        <v>38</v>
      </c>
      <c r="F181" s="27">
        <v>45549</v>
      </c>
      <c r="G181" s="39" t="s">
        <v>13</v>
      </c>
      <c r="H181" s="39" t="s">
        <v>14</v>
      </c>
      <c r="I181" s="2" t="str">
        <f>TEXT(Table2[[#This Row],[Booking_Date]],"mmmm")</f>
        <v>September</v>
      </c>
      <c r="J181" s="6" t="str">
        <f>IF(Table2[[#This Row],[Customer_Age]]&lt;20,"10-19", IF(Table2[[#This Row],[Customer_Age]]&lt;30,"20-29", IF(Table2[[#This Row],[Customer_Age]]&lt;40,"30-39", IF(Table2[[#This Row],[Customer_Age]]&lt;50,"40-49", IF(Table2[[#This Row],[Customer_Age]]&lt;60,"50-59", IF(Table2[[#This Row],[Customer_Age]]&lt;70,"60-69","70+"))))))</f>
        <v>30-39</v>
      </c>
    </row>
    <row r="182" spans="1:10">
      <c r="A182" s="31" t="s">
        <v>217</v>
      </c>
      <c r="B182" s="38" t="s">
        <v>38</v>
      </c>
      <c r="C182" s="39" t="s">
        <v>55</v>
      </c>
      <c r="D182" s="17">
        <v>1635.93</v>
      </c>
      <c r="E182" s="22">
        <v>55</v>
      </c>
      <c r="F182" s="26">
        <v>45488</v>
      </c>
      <c r="G182" s="38" t="s">
        <v>22</v>
      </c>
      <c r="H182" s="38" t="s">
        <v>45</v>
      </c>
      <c r="I182" s="2" t="str">
        <f>TEXT(Table2[[#This Row],[Booking_Date]],"mmmm")</f>
        <v>July</v>
      </c>
      <c r="J182" s="6" t="str">
        <f>IF(Table2[[#This Row],[Customer_Age]]&lt;20,"10-19", IF(Table2[[#This Row],[Customer_Age]]&lt;30,"20-29", IF(Table2[[#This Row],[Customer_Age]]&lt;40,"30-39", IF(Table2[[#This Row],[Customer_Age]]&lt;50,"40-49", IF(Table2[[#This Row],[Customer_Age]]&lt;60,"50-59", IF(Table2[[#This Row],[Customer_Age]]&lt;70,"60-69","70+"))))))</f>
        <v>50-59</v>
      </c>
    </row>
    <row r="183" spans="1:10">
      <c r="A183" s="32" t="s">
        <v>218</v>
      </c>
      <c r="B183" s="39" t="s">
        <v>34</v>
      </c>
      <c r="C183" s="39" t="s">
        <v>21</v>
      </c>
      <c r="D183" s="18">
        <v>878.26</v>
      </c>
      <c r="E183" s="23">
        <v>50</v>
      </c>
      <c r="F183" s="27">
        <v>45546</v>
      </c>
      <c r="G183" s="39" t="s">
        <v>22</v>
      </c>
      <c r="H183" s="39" t="s">
        <v>14</v>
      </c>
      <c r="I183" s="2" t="str">
        <f>TEXT(Table2[[#This Row],[Booking_Date]],"mmmm")</f>
        <v>September</v>
      </c>
      <c r="J183" s="6" t="str">
        <f>IF(Table2[[#This Row],[Customer_Age]]&lt;20,"10-19", IF(Table2[[#This Row],[Customer_Age]]&lt;30,"20-29", IF(Table2[[#This Row],[Customer_Age]]&lt;40,"30-39", IF(Table2[[#This Row],[Customer_Age]]&lt;50,"40-49", IF(Table2[[#This Row],[Customer_Age]]&lt;60,"50-59", IF(Table2[[#This Row],[Customer_Age]]&lt;70,"60-69","70+"))))))</f>
        <v>50-59</v>
      </c>
    </row>
    <row r="184" spans="1:10">
      <c r="A184" s="31" t="s">
        <v>219</v>
      </c>
      <c r="B184" s="38" t="s">
        <v>11</v>
      </c>
      <c r="C184" s="39" t="s">
        <v>47</v>
      </c>
      <c r="D184" s="17">
        <v>1697.11</v>
      </c>
      <c r="E184" s="22">
        <v>67</v>
      </c>
      <c r="F184" s="26">
        <v>45491</v>
      </c>
      <c r="G184" s="38" t="s">
        <v>13</v>
      </c>
      <c r="H184" s="38" t="s">
        <v>45</v>
      </c>
      <c r="I184" s="2" t="str">
        <f>TEXT(Table2[[#This Row],[Booking_Date]],"mmmm")</f>
        <v>July</v>
      </c>
      <c r="J184" s="6" t="str">
        <f>IF(Table2[[#This Row],[Customer_Age]]&lt;20,"10-19", IF(Table2[[#This Row],[Customer_Age]]&lt;30,"20-29", IF(Table2[[#This Row],[Customer_Age]]&lt;40,"30-39", IF(Table2[[#This Row],[Customer_Age]]&lt;50,"40-49", IF(Table2[[#This Row],[Customer_Age]]&lt;60,"50-59", IF(Table2[[#This Row],[Customer_Age]]&lt;70,"60-69","70+"))))))</f>
        <v>60-69</v>
      </c>
    </row>
    <row r="185" spans="1:10">
      <c r="A185" s="32" t="s">
        <v>220</v>
      </c>
      <c r="B185" s="39" t="s">
        <v>24</v>
      </c>
      <c r="C185" s="39" t="s">
        <v>35</v>
      </c>
      <c r="D185" s="18">
        <v>1151.77</v>
      </c>
      <c r="E185" s="23">
        <v>70</v>
      </c>
      <c r="F185" s="27">
        <v>45391</v>
      </c>
      <c r="G185" s="39" t="s">
        <v>22</v>
      </c>
      <c r="H185" s="39" t="s">
        <v>45</v>
      </c>
      <c r="I185" s="2" t="str">
        <f>TEXT(Table2[[#This Row],[Booking_Date]],"mmmm")</f>
        <v>April</v>
      </c>
      <c r="J185" s="6" t="str">
        <f>IF(Table2[[#This Row],[Customer_Age]]&lt;20,"10-19", IF(Table2[[#This Row],[Customer_Age]]&lt;30,"20-29", IF(Table2[[#This Row],[Customer_Age]]&lt;40,"30-39", IF(Table2[[#This Row],[Customer_Age]]&lt;50,"40-49", IF(Table2[[#This Row],[Customer_Age]]&lt;60,"50-59", IF(Table2[[#This Row],[Customer_Age]]&lt;70,"60-69","70+"))))))</f>
        <v>70+</v>
      </c>
    </row>
    <row r="186" spans="1:10">
      <c r="A186" s="31" t="s">
        <v>221</v>
      </c>
      <c r="B186" s="38" t="s">
        <v>11</v>
      </c>
      <c r="C186" s="39" t="s">
        <v>39</v>
      </c>
      <c r="D186" s="17">
        <v>1181.56</v>
      </c>
      <c r="E186" s="22">
        <v>60</v>
      </c>
      <c r="F186" s="26">
        <v>45188</v>
      </c>
      <c r="G186" s="38" t="s">
        <v>22</v>
      </c>
      <c r="H186" s="38" t="s">
        <v>18</v>
      </c>
      <c r="I186" s="2" t="str">
        <f>TEXT(Table2[[#This Row],[Booking_Date]],"mmmm")</f>
        <v>September</v>
      </c>
      <c r="J186" s="6" t="str">
        <f>IF(Table2[[#This Row],[Customer_Age]]&lt;20,"10-19", IF(Table2[[#This Row],[Customer_Age]]&lt;30,"20-29", IF(Table2[[#This Row],[Customer_Age]]&lt;40,"30-39", IF(Table2[[#This Row],[Customer_Age]]&lt;50,"40-49", IF(Table2[[#This Row],[Customer_Age]]&lt;60,"50-59", IF(Table2[[#This Row],[Customer_Age]]&lt;70,"60-69","70+"))))))</f>
        <v>60-69</v>
      </c>
    </row>
    <row r="187" spans="1:10">
      <c r="A187" s="32" t="s">
        <v>222</v>
      </c>
      <c r="B187" s="39" t="s">
        <v>24</v>
      </c>
      <c r="C187" s="39" t="s">
        <v>17</v>
      </c>
      <c r="D187" s="18">
        <v>409.82</v>
      </c>
      <c r="E187" s="23">
        <v>23</v>
      </c>
      <c r="F187" s="27">
        <v>45022</v>
      </c>
      <c r="G187" s="39" t="s">
        <v>22</v>
      </c>
      <c r="H187" s="39" t="s">
        <v>14</v>
      </c>
      <c r="I187" s="2" t="str">
        <f>TEXT(Table2[[#This Row],[Booking_Date]],"mmmm")</f>
        <v>April</v>
      </c>
      <c r="J187" s="6" t="str">
        <f>IF(Table2[[#This Row],[Customer_Age]]&lt;20,"10-19", IF(Table2[[#This Row],[Customer_Age]]&lt;30,"20-29", IF(Table2[[#This Row],[Customer_Age]]&lt;40,"30-39", IF(Table2[[#This Row],[Customer_Age]]&lt;50,"40-49", IF(Table2[[#This Row],[Customer_Age]]&lt;60,"50-59", IF(Table2[[#This Row],[Customer_Age]]&lt;70,"60-69","70+"))))))</f>
        <v>20-29</v>
      </c>
    </row>
    <row r="188" spans="1:10">
      <c r="A188" s="31" t="s">
        <v>223</v>
      </c>
      <c r="B188" s="38" t="s">
        <v>43</v>
      </c>
      <c r="C188" s="39" t="s">
        <v>29</v>
      </c>
      <c r="D188" s="17">
        <v>1479.65</v>
      </c>
      <c r="E188" s="22">
        <v>55</v>
      </c>
      <c r="F188" s="26">
        <v>45502</v>
      </c>
      <c r="G188" s="38" t="s">
        <v>22</v>
      </c>
      <c r="H188" s="38" t="s">
        <v>14</v>
      </c>
      <c r="I188" s="2" t="str">
        <f>TEXT(Table2[[#This Row],[Booking_Date]],"mmmm")</f>
        <v>July</v>
      </c>
      <c r="J188" s="6" t="str">
        <f>IF(Table2[[#This Row],[Customer_Age]]&lt;20,"10-19", IF(Table2[[#This Row],[Customer_Age]]&lt;30,"20-29", IF(Table2[[#This Row],[Customer_Age]]&lt;40,"30-39", IF(Table2[[#This Row],[Customer_Age]]&lt;50,"40-49", IF(Table2[[#This Row],[Customer_Age]]&lt;60,"50-59", IF(Table2[[#This Row],[Customer_Age]]&lt;70,"60-69","70+"))))))</f>
        <v>50-59</v>
      </c>
    </row>
    <row r="189" spans="1:10">
      <c r="A189" s="32" t="s">
        <v>224</v>
      </c>
      <c r="B189" s="39" t="s">
        <v>31</v>
      </c>
      <c r="C189" s="39" t="s">
        <v>39</v>
      </c>
      <c r="D189" s="18">
        <v>2209.3000000000002</v>
      </c>
      <c r="E189" s="23">
        <v>66</v>
      </c>
      <c r="F189" s="27">
        <v>45360</v>
      </c>
      <c r="G189" s="39" t="s">
        <v>13</v>
      </c>
      <c r="H189" s="39" t="s">
        <v>26</v>
      </c>
      <c r="I189" s="2" t="str">
        <f>TEXT(Table2[[#This Row],[Booking_Date]],"mmmm")</f>
        <v>March</v>
      </c>
      <c r="J189" s="6" t="str">
        <f>IF(Table2[[#This Row],[Customer_Age]]&lt;20,"10-19", IF(Table2[[#This Row],[Customer_Age]]&lt;30,"20-29", IF(Table2[[#This Row],[Customer_Age]]&lt;40,"30-39", IF(Table2[[#This Row],[Customer_Age]]&lt;50,"40-49", IF(Table2[[#This Row],[Customer_Age]]&lt;60,"50-59", IF(Table2[[#This Row],[Customer_Age]]&lt;70,"60-69","70+"))))))</f>
        <v>60-69</v>
      </c>
    </row>
    <row r="190" spans="1:10">
      <c r="A190" s="31" t="s">
        <v>225</v>
      </c>
      <c r="B190" s="38" t="s">
        <v>34</v>
      </c>
      <c r="C190" s="39" t="s">
        <v>55</v>
      </c>
      <c r="D190" s="17">
        <v>1008.79</v>
      </c>
      <c r="E190" s="22">
        <v>54</v>
      </c>
      <c r="F190" s="26">
        <v>45446</v>
      </c>
      <c r="G190" s="38" t="s">
        <v>13</v>
      </c>
      <c r="H190" s="38" t="s">
        <v>18</v>
      </c>
      <c r="I190" s="2" t="str">
        <f>TEXT(Table2[[#This Row],[Booking_Date]],"mmmm")</f>
        <v>June</v>
      </c>
      <c r="J190" s="6" t="str">
        <f>IF(Table2[[#This Row],[Customer_Age]]&lt;20,"10-19", IF(Table2[[#This Row],[Customer_Age]]&lt;30,"20-29", IF(Table2[[#This Row],[Customer_Age]]&lt;40,"30-39", IF(Table2[[#This Row],[Customer_Age]]&lt;50,"40-49", IF(Table2[[#This Row],[Customer_Age]]&lt;60,"50-59", IF(Table2[[#This Row],[Customer_Age]]&lt;70,"60-69","70+"))))))</f>
        <v>50-59</v>
      </c>
    </row>
    <row r="191" spans="1:10">
      <c r="A191" s="32" t="s">
        <v>226</v>
      </c>
      <c r="B191" s="39" t="s">
        <v>24</v>
      </c>
      <c r="C191" s="39" t="s">
        <v>35</v>
      </c>
      <c r="D191" s="18">
        <v>2148.73</v>
      </c>
      <c r="E191" s="23">
        <v>40</v>
      </c>
      <c r="F191" s="27">
        <v>45496</v>
      </c>
      <c r="G191" s="39" t="s">
        <v>22</v>
      </c>
      <c r="H191" s="39" t="s">
        <v>14</v>
      </c>
      <c r="I191" s="2" t="str">
        <f>TEXT(Table2[[#This Row],[Booking_Date]],"mmmm")</f>
        <v>July</v>
      </c>
      <c r="J191" s="6" t="str">
        <f>IF(Table2[[#This Row],[Customer_Age]]&lt;20,"10-19", IF(Table2[[#This Row],[Customer_Age]]&lt;30,"20-29", IF(Table2[[#This Row],[Customer_Age]]&lt;40,"30-39", IF(Table2[[#This Row],[Customer_Age]]&lt;50,"40-49", IF(Table2[[#This Row],[Customer_Age]]&lt;60,"50-59", IF(Table2[[#This Row],[Customer_Age]]&lt;70,"60-69","70+"))))))</f>
        <v>40-49</v>
      </c>
    </row>
    <row r="192" spans="1:10">
      <c r="A192" s="31" t="s">
        <v>227</v>
      </c>
      <c r="B192" s="38" t="s">
        <v>28</v>
      </c>
      <c r="C192" s="39" t="s">
        <v>25</v>
      </c>
      <c r="D192" s="17">
        <v>720.17</v>
      </c>
      <c r="E192" s="22">
        <v>45</v>
      </c>
      <c r="F192" s="26">
        <v>45501</v>
      </c>
      <c r="G192" s="38" t="s">
        <v>13</v>
      </c>
      <c r="H192" s="38" t="s">
        <v>26</v>
      </c>
      <c r="I192" s="2" t="str">
        <f>TEXT(Table2[[#This Row],[Booking_Date]],"mmmm")</f>
        <v>July</v>
      </c>
      <c r="J192" s="6" t="str">
        <f>IF(Table2[[#This Row],[Customer_Age]]&lt;20,"10-19", IF(Table2[[#This Row],[Customer_Age]]&lt;30,"20-29", IF(Table2[[#This Row],[Customer_Age]]&lt;40,"30-39", IF(Table2[[#This Row],[Customer_Age]]&lt;50,"40-49", IF(Table2[[#This Row],[Customer_Age]]&lt;60,"50-59", IF(Table2[[#This Row],[Customer_Age]]&lt;70,"60-69","70+"))))))</f>
        <v>40-49</v>
      </c>
    </row>
    <row r="193" spans="1:10">
      <c r="A193" s="32" t="s">
        <v>228</v>
      </c>
      <c r="B193" s="39" t="s">
        <v>69</v>
      </c>
      <c r="C193" s="39" t="s">
        <v>29</v>
      </c>
      <c r="D193" s="18">
        <v>828.52</v>
      </c>
      <c r="E193" s="23">
        <v>66</v>
      </c>
      <c r="F193" s="27">
        <v>45243</v>
      </c>
      <c r="G193" s="39" t="s">
        <v>22</v>
      </c>
      <c r="H193" s="39" t="s">
        <v>26</v>
      </c>
      <c r="I193" s="2" t="str">
        <f>TEXT(Table2[[#This Row],[Booking_Date]],"mmmm")</f>
        <v>November</v>
      </c>
      <c r="J193" s="6" t="str">
        <f>IF(Table2[[#This Row],[Customer_Age]]&lt;20,"10-19", IF(Table2[[#This Row],[Customer_Age]]&lt;30,"20-29", IF(Table2[[#This Row],[Customer_Age]]&lt;40,"30-39", IF(Table2[[#This Row],[Customer_Age]]&lt;50,"40-49", IF(Table2[[#This Row],[Customer_Age]]&lt;60,"50-59", IF(Table2[[#This Row],[Customer_Age]]&lt;70,"60-69","70+"))))))</f>
        <v>60-69</v>
      </c>
    </row>
    <row r="194" spans="1:10">
      <c r="A194" s="31" t="s">
        <v>229</v>
      </c>
      <c r="B194" s="38" t="s">
        <v>69</v>
      </c>
      <c r="C194" s="39" t="s">
        <v>29</v>
      </c>
      <c r="D194" s="17">
        <v>2200.6799999999998</v>
      </c>
      <c r="E194" s="22">
        <v>54</v>
      </c>
      <c r="F194" s="26">
        <v>45600</v>
      </c>
      <c r="G194" s="38" t="s">
        <v>22</v>
      </c>
      <c r="H194" s="38" t="s">
        <v>14</v>
      </c>
      <c r="I194" s="2" t="str">
        <f>TEXT(Table2[[#This Row],[Booking_Date]],"mmmm")</f>
        <v>November</v>
      </c>
      <c r="J194" s="6" t="str">
        <f>IF(Table2[[#This Row],[Customer_Age]]&lt;20,"10-19", IF(Table2[[#This Row],[Customer_Age]]&lt;30,"20-29", IF(Table2[[#This Row],[Customer_Age]]&lt;40,"30-39", IF(Table2[[#This Row],[Customer_Age]]&lt;50,"40-49", IF(Table2[[#This Row],[Customer_Age]]&lt;60,"50-59", IF(Table2[[#This Row],[Customer_Age]]&lt;70,"60-69","70+"))))))</f>
        <v>50-59</v>
      </c>
    </row>
    <row r="195" spans="1:10">
      <c r="A195" s="32" t="s">
        <v>230</v>
      </c>
      <c r="B195" s="39" t="s">
        <v>38</v>
      </c>
      <c r="C195" s="39" t="s">
        <v>41</v>
      </c>
      <c r="D195" s="18">
        <v>1656.3</v>
      </c>
      <c r="E195" s="23">
        <v>19</v>
      </c>
      <c r="F195" s="27">
        <v>45020</v>
      </c>
      <c r="G195" s="39" t="s">
        <v>13</v>
      </c>
      <c r="H195" s="39" t="s">
        <v>45</v>
      </c>
      <c r="I195" s="2" t="str">
        <f>TEXT(Table2[[#This Row],[Booking_Date]],"mmmm")</f>
        <v>April</v>
      </c>
      <c r="J195" s="6" t="str">
        <f>IF(Table2[[#This Row],[Customer_Age]]&lt;20,"10-19", IF(Table2[[#This Row],[Customer_Age]]&lt;30,"20-29", IF(Table2[[#This Row],[Customer_Age]]&lt;40,"30-39", IF(Table2[[#This Row],[Customer_Age]]&lt;50,"40-49", IF(Table2[[#This Row],[Customer_Age]]&lt;60,"50-59", IF(Table2[[#This Row],[Customer_Age]]&lt;70,"60-69","70+"))))))</f>
        <v>10-19</v>
      </c>
    </row>
    <row r="196" spans="1:10">
      <c r="A196" s="31" t="s">
        <v>231</v>
      </c>
      <c r="B196" s="38" t="s">
        <v>31</v>
      </c>
      <c r="C196" s="39" t="s">
        <v>51</v>
      </c>
      <c r="D196" s="17">
        <v>984.06</v>
      </c>
      <c r="E196" s="22">
        <v>41</v>
      </c>
      <c r="F196" s="26">
        <v>45246</v>
      </c>
      <c r="G196" s="38" t="s">
        <v>22</v>
      </c>
      <c r="H196" s="38" t="s">
        <v>14</v>
      </c>
      <c r="I196" s="2" t="str">
        <f>TEXT(Table2[[#This Row],[Booking_Date]],"mmmm")</f>
        <v>November</v>
      </c>
      <c r="J196" s="6" t="str">
        <f>IF(Table2[[#This Row],[Customer_Age]]&lt;20,"10-19", IF(Table2[[#This Row],[Customer_Age]]&lt;30,"20-29", IF(Table2[[#This Row],[Customer_Age]]&lt;40,"30-39", IF(Table2[[#This Row],[Customer_Age]]&lt;50,"40-49", IF(Table2[[#This Row],[Customer_Age]]&lt;60,"50-59", IF(Table2[[#This Row],[Customer_Age]]&lt;70,"60-69","70+"))))))</f>
        <v>40-49</v>
      </c>
    </row>
    <row r="197" spans="1:10">
      <c r="A197" s="32" t="s">
        <v>232</v>
      </c>
      <c r="B197" s="39" t="s">
        <v>69</v>
      </c>
      <c r="C197" s="39" t="s">
        <v>29</v>
      </c>
      <c r="D197" s="18">
        <v>562.04</v>
      </c>
      <c r="E197" s="23">
        <v>57</v>
      </c>
      <c r="F197" s="27">
        <v>44977</v>
      </c>
      <c r="G197" s="39" t="s">
        <v>13</v>
      </c>
      <c r="H197" s="39" t="s">
        <v>26</v>
      </c>
      <c r="I197" s="2" t="str">
        <f>TEXT(Table2[[#This Row],[Booking_Date]],"mmmm")</f>
        <v>February</v>
      </c>
      <c r="J197" s="6" t="str">
        <f>IF(Table2[[#This Row],[Customer_Age]]&lt;20,"10-19", IF(Table2[[#This Row],[Customer_Age]]&lt;30,"20-29", IF(Table2[[#This Row],[Customer_Age]]&lt;40,"30-39", IF(Table2[[#This Row],[Customer_Age]]&lt;50,"40-49", IF(Table2[[#This Row],[Customer_Age]]&lt;60,"50-59", IF(Table2[[#This Row],[Customer_Age]]&lt;70,"60-69","70+"))))))</f>
        <v>50-59</v>
      </c>
    </row>
    <row r="198" spans="1:10">
      <c r="A198" s="31" t="s">
        <v>233</v>
      </c>
      <c r="B198" s="38" t="s">
        <v>24</v>
      </c>
      <c r="C198" s="39" t="s">
        <v>47</v>
      </c>
      <c r="D198" s="17">
        <v>1175.23</v>
      </c>
      <c r="E198" s="22">
        <v>56</v>
      </c>
      <c r="F198" s="26">
        <v>45379</v>
      </c>
      <c r="G198" s="38" t="s">
        <v>22</v>
      </c>
      <c r="H198" s="38" t="s">
        <v>26</v>
      </c>
      <c r="I198" s="2" t="str">
        <f>TEXT(Table2[[#This Row],[Booking_Date]],"mmmm")</f>
        <v>March</v>
      </c>
      <c r="J198" s="6" t="str">
        <f>IF(Table2[[#This Row],[Customer_Age]]&lt;20,"10-19", IF(Table2[[#This Row],[Customer_Age]]&lt;30,"20-29", IF(Table2[[#This Row],[Customer_Age]]&lt;40,"30-39", IF(Table2[[#This Row],[Customer_Age]]&lt;50,"40-49", IF(Table2[[#This Row],[Customer_Age]]&lt;60,"50-59", IF(Table2[[#This Row],[Customer_Age]]&lt;70,"60-69","70+"))))))</f>
        <v>50-59</v>
      </c>
    </row>
    <row r="199" spans="1:10">
      <c r="A199" s="32" t="s">
        <v>234</v>
      </c>
      <c r="B199" s="39" t="s">
        <v>20</v>
      </c>
      <c r="C199" s="39" t="s">
        <v>21</v>
      </c>
      <c r="D199" s="18">
        <v>461.78</v>
      </c>
      <c r="E199" s="23">
        <v>45</v>
      </c>
      <c r="F199" s="27">
        <v>45040</v>
      </c>
      <c r="G199" s="39" t="s">
        <v>22</v>
      </c>
      <c r="H199" s="39" t="s">
        <v>45</v>
      </c>
      <c r="I199" s="2" t="str">
        <f>TEXT(Table2[[#This Row],[Booking_Date]],"mmmm")</f>
        <v>April</v>
      </c>
      <c r="J199" s="6" t="str">
        <f>IF(Table2[[#This Row],[Customer_Age]]&lt;20,"10-19", IF(Table2[[#This Row],[Customer_Age]]&lt;30,"20-29", IF(Table2[[#This Row],[Customer_Age]]&lt;40,"30-39", IF(Table2[[#This Row],[Customer_Age]]&lt;50,"40-49", IF(Table2[[#This Row],[Customer_Age]]&lt;60,"50-59", IF(Table2[[#This Row],[Customer_Age]]&lt;70,"60-69","70+"))))))</f>
        <v>40-49</v>
      </c>
    </row>
    <row r="200" spans="1:10">
      <c r="A200" s="31" t="s">
        <v>235</v>
      </c>
      <c r="B200" s="38" t="s">
        <v>16</v>
      </c>
      <c r="C200" s="39" t="s">
        <v>47</v>
      </c>
      <c r="D200" s="17">
        <v>909.36</v>
      </c>
      <c r="E200" s="22">
        <v>32</v>
      </c>
      <c r="F200" s="26">
        <v>45331</v>
      </c>
      <c r="G200" s="38" t="s">
        <v>13</v>
      </c>
      <c r="H200" s="38" t="s">
        <v>14</v>
      </c>
      <c r="I200" s="2" t="str">
        <f>TEXT(Table2[[#This Row],[Booking_Date]],"mmmm")</f>
        <v>February</v>
      </c>
      <c r="J200" s="6" t="str">
        <f>IF(Table2[[#This Row],[Customer_Age]]&lt;20,"10-19", IF(Table2[[#This Row],[Customer_Age]]&lt;30,"20-29", IF(Table2[[#This Row],[Customer_Age]]&lt;40,"30-39", IF(Table2[[#This Row],[Customer_Age]]&lt;50,"40-49", IF(Table2[[#This Row],[Customer_Age]]&lt;60,"50-59", IF(Table2[[#This Row],[Customer_Age]]&lt;70,"60-69","70+"))))))</f>
        <v>30-39</v>
      </c>
    </row>
    <row r="201" spans="1:10">
      <c r="A201" s="32" t="s">
        <v>236</v>
      </c>
      <c r="B201" s="39" t="s">
        <v>20</v>
      </c>
      <c r="C201" s="39" t="s">
        <v>55</v>
      </c>
      <c r="D201" s="18">
        <v>2374.25</v>
      </c>
      <c r="E201" s="23">
        <v>67</v>
      </c>
      <c r="F201" s="27">
        <v>45067</v>
      </c>
      <c r="G201" s="39" t="s">
        <v>22</v>
      </c>
      <c r="H201" s="39" t="s">
        <v>26</v>
      </c>
      <c r="I201" s="2" t="str">
        <f>TEXT(Table2[[#This Row],[Booking_Date]],"mmmm")</f>
        <v>May</v>
      </c>
      <c r="J201" s="6" t="str">
        <f>IF(Table2[[#This Row],[Customer_Age]]&lt;20,"10-19", IF(Table2[[#This Row],[Customer_Age]]&lt;30,"20-29", IF(Table2[[#This Row],[Customer_Age]]&lt;40,"30-39", IF(Table2[[#This Row],[Customer_Age]]&lt;50,"40-49", IF(Table2[[#This Row],[Customer_Age]]&lt;60,"50-59", IF(Table2[[#This Row],[Customer_Age]]&lt;70,"60-69","70+"))))))</f>
        <v>60-69</v>
      </c>
    </row>
    <row r="202" spans="1:10">
      <c r="A202" s="31" t="s">
        <v>237</v>
      </c>
      <c r="B202" s="38" t="s">
        <v>43</v>
      </c>
      <c r="C202" s="39" t="s">
        <v>17</v>
      </c>
      <c r="D202" s="17">
        <v>217.78</v>
      </c>
      <c r="E202" s="22">
        <v>65</v>
      </c>
      <c r="F202" s="26">
        <v>45367</v>
      </c>
      <c r="G202" s="38" t="s">
        <v>13</v>
      </c>
      <c r="H202" s="38" t="s">
        <v>18</v>
      </c>
      <c r="I202" s="2" t="str">
        <f>TEXT(Table2[[#This Row],[Booking_Date]],"mmmm")</f>
        <v>March</v>
      </c>
      <c r="J202" s="6" t="str">
        <f>IF(Table2[[#This Row],[Customer_Age]]&lt;20,"10-19", IF(Table2[[#This Row],[Customer_Age]]&lt;30,"20-29", IF(Table2[[#This Row],[Customer_Age]]&lt;40,"30-39", IF(Table2[[#This Row],[Customer_Age]]&lt;50,"40-49", IF(Table2[[#This Row],[Customer_Age]]&lt;60,"50-59", IF(Table2[[#This Row],[Customer_Age]]&lt;70,"60-69","70+"))))))</f>
        <v>60-69</v>
      </c>
    </row>
    <row r="203" spans="1:10">
      <c r="A203" s="32" t="s">
        <v>238</v>
      </c>
      <c r="B203" s="39" t="s">
        <v>31</v>
      </c>
      <c r="C203" s="39" t="s">
        <v>21</v>
      </c>
      <c r="D203" s="18">
        <v>1818.44</v>
      </c>
      <c r="E203" s="23">
        <v>50</v>
      </c>
      <c r="F203" s="27">
        <v>45499</v>
      </c>
      <c r="G203" s="39" t="s">
        <v>22</v>
      </c>
      <c r="H203" s="39" t="s">
        <v>14</v>
      </c>
      <c r="I203" s="2" t="str">
        <f>TEXT(Table2[[#This Row],[Booking_Date]],"mmmm")</f>
        <v>July</v>
      </c>
      <c r="J203" s="6" t="str">
        <f>IF(Table2[[#This Row],[Customer_Age]]&lt;20,"10-19", IF(Table2[[#This Row],[Customer_Age]]&lt;30,"20-29", IF(Table2[[#This Row],[Customer_Age]]&lt;40,"30-39", IF(Table2[[#This Row],[Customer_Age]]&lt;50,"40-49", IF(Table2[[#This Row],[Customer_Age]]&lt;60,"50-59", IF(Table2[[#This Row],[Customer_Age]]&lt;70,"60-69","70+"))))))</f>
        <v>50-59</v>
      </c>
    </row>
    <row r="204" spans="1:10">
      <c r="A204" s="31" t="s">
        <v>239</v>
      </c>
      <c r="B204" s="38" t="s">
        <v>31</v>
      </c>
      <c r="C204" s="39" t="s">
        <v>41</v>
      </c>
      <c r="D204" s="17">
        <v>297.3</v>
      </c>
      <c r="E204" s="22">
        <v>19</v>
      </c>
      <c r="F204" s="26">
        <v>45397</v>
      </c>
      <c r="G204" s="38" t="s">
        <v>13</v>
      </c>
      <c r="H204" s="38" t="s">
        <v>26</v>
      </c>
      <c r="I204" s="2" t="str">
        <f>TEXT(Table2[[#This Row],[Booking_Date]],"mmmm")</f>
        <v>April</v>
      </c>
      <c r="J204" s="6" t="str">
        <f>IF(Table2[[#This Row],[Customer_Age]]&lt;20,"10-19", IF(Table2[[#This Row],[Customer_Age]]&lt;30,"20-29", IF(Table2[[#This Row],[Customer_Age]]&lt;40,"30-39", IF(Table2[[#This Row],[Customer_Age]]&lt;50,"40-49", IF(Table2[[#This Row],[Customer_Age]]&lt;60,"50-59", IF(Table2[[#This Row],[Customer_Age]]&lt;70,"60-69","70+"))))))</f>
        <v>10-19</v>
      </c>
    </row>
    <row r="205" spans="1:10">
      <c r="A205" s="32" t="s">
        <v>240</v>
      </c>
      <c r="B205" s="39" t="s">
        <v>34</v>
      </c>
      <c r="C205" s="39" t="s">
        <v>49</v>
      </c>
      <c r="D205" s="18">
        <v>1518.82</v>
      </c>
      <c r="E205" s="23">
        <v>63</v>
      </c>
      <c r="F205" s="27">
        <v>45582</v>
      </c>
      <c r="G205" s="39" t="s">
        <v>22</v>
      </c>
      <c r="H205" s="39" t="s">
        <v>26</v>
      </c>
      <c r="I205" s="2" t="str">
        <f>TEXT(Table2[[#This Row],[Booking_Date]],"mmmm")</f>
        <v>October</v>
      </c>
      <c r="J205" s="6" t="str">
        <f>IF(Table2[[#This Row],[Customer_Age]]&lt;20,"10-19", IF(Table2[[#This Row],[Customer_Age]]&lt;30,"20-29", IF(Table2[[#This Row],[Customer_Age]]&lt;40,"30-39", IF(Table2[[#This Row],[Customer_Age]]&lt;50,"40-49", IF(Table2[[#This Row],[Customer_Age]]&lt;60,"50-59", IF(Table2[[#This Row],[Customer_Age]]&lt;70,"60-69","70+"))))))</f>
        <v>60-69</v>
      </c>
    </row>
    <row r="206" spans="1:10">
      <c r="A206" s="31" t="s">
        <v>241</v>
      </c>
      <c r="B206" s="38" t="s">
        <v>11</v>
      </c>
      <c r="C206" s="39" t="s">
        <v>49</v>
      </c>
      <c r="D206" s="17">
        <v>247.97</v>
      </c>
      <c r="E206" s="22">
        <v>38</v>
      </c>
      <c r="F206" s="26">
        <v>45102</v>
      </c>
      <c r="G206" s="38" t="s">
        <v>22</v>
      </c>
      <c r="H206" s="38" t="s">
        <v>26</v>
      </c>
      <c r="I206" s="2" t="str">
        <f>TEXT(Table2[[#This Row],[Booking_Date]],"mmmm")</f>
        <v>June</v>
      </c>
      <c r="J206" s="6" t="str">
        <f>IF(Table2[[#This Row],[Customer_Age]]&lt;20,"10-19", IF(Table2[[#This Row],[Customer_Age]]&lt;30,"20-29", IF(Table2[[#This Row],[Customer_Age]]&lt;40,"30-39", IF(Table2[[#This Row],[Customer_Age]]&lt;50,"40-49", IF(Table2[[#This Row],[Customer_Age]]&lt;60,"50-59", IF(Table2[[#This Row],[Customer_Age]]&lt;70,"60-69","70+"))))))</f>
        <v>30-39</v>
      </c>
    </row>
    <row r="207" spans="1:10">
      <c r="A207" s="32" t="s">
        <v>242</v>
      </c>
      <c r="B207" s="39" t="s">
        <v>11</v>
      </c>
      <c r="C207" s="39" t="s">
        <v>49</v>
      </c>
      <c r="D207" s="18">
        <v>2142.31</v>
      </c>
      <c r="E207" s="23">
        <v>33</v>
      </c>
      <c r="F207" s="27">
        <v>45373</v>
      </c>
      <c r="G207" s="39" t="s">
        <v>22</v>
      </c>
      <c r="H207" s="39" t="s">
        <v>14</v>
      </c>
      <c r="I207" s="2" t="str">
        <f>TEXT(Table2[[#This Row],[Booking_Date]],"mmmm")</f>
        <v>March</v>
      </c>
      <c r="J207" s="6" t="str">
        <f>IF(Table2[[#This Row],[Customer_Age]]&lt;20,"10-19", IF(Table2[[#This Row],[Customer_Age]]&lt;30,"20-29", IF(Table2[[#This Row],[Customer_Age]]&lt;40,"30-39", IF(Table2[[#This Row],[Customer_Age]]&lt;50,"40-49", IF(Table2[[#This Row],[Customer_Age]]&lt;60,"50-59", IF(Table2[[#This Row],[Customer_Age]]&lt;70,"60-69","70+"))))))</f>
        <v>30-39</v>
      </c>
    </row>
    <row r="208" spans="1:10">
      <c r="A208" s="31" t="s">
        <v>243</v>
      </c>
      <c r="B208" s="38" t="s">
        <v>31</v>
      </c>
      <c r="C208" s="39" t="s">
        <v>55</v>
      </c>
      <c r="D208" s="17">
        <v>1915.35</v>
      </c>
      <c r="E208" s="22">
        <v>32</v>
      </c>
      <c r="F208" s="26">
        <v>45268</v>
      </c>
      <c r="G208" s="38" t="s">
        <v>13</v>
      </c>
      <c r="H208" s="38" t="s">
        <v>14</v>
      </c>
      <c r="I208" s="2" t="str">
        <f>TEXT(Table2[[#This Row],[Booking_Date]],"mmmm")</f>
        <v>December</v>
      </c>
      <c r="J208" s="6" t="str">
        <f>IF(Table2[[#This Row],[Customer_Age]]&lt;20,"10-19", IF(Table2[[#This Row],[Customer_Age]]&lt;30,"20-29", IF(Table2[[#This Row],[Customer_Age]]&lt;40,"30-39", IF(Table2[[#This Row],[Customer_Age]]&lt;50,"40-49", IF(Table2[[#This Row],[Customer_Age]]&lt;60,"50-59", IF(Table2[[#This Row],[Customer_Age]]&lt;70,"60-69","70+"))))))</f>
        <v>30-39</v>
      </c>
    </row>
    <row r="209" spans="1:10">
      <c r="A209" s="32" t="s">
        <v>244</v>
      </c>
      <c r="B209" s="39" t="s">
        <v>16</v>
      </c>
      <c r="C209" s="39" t="s">
        <v>47</v>
      </c>
      <c r="D209" s="18">
        <v>462.26</v>
      </c>
      <c r="E209" s="23">
        <v>50</v>
      </c>
      <c r="F209" s="27">
        <v>45125</v>
      </c>
      <c r="G209" s="39" t="s">
        <v>22</v>
      </c>
      <c r="H209" s="39" t="s">
        <v>26</v>
      </c>
      <c r="I209" s="2" t="str">
        <f>TEXT(Table2[[#This Row],[Booking_Date]],"mmmm")</f>
        <v>July</v>
      </c>
      <c r="J209" s="6" t="str">
        <f>IF(Table2[[#This Row],[Customer_Age]]&lt;20,"10-19", IF(Table2[[#This Row],[Customer_Age]]&lt;30,"20-29", IF(Table2[[#This Row],[Customer_Age]]&lt;40,"30-39", IF(Table2[[#This Row],[Customer_Age]]&lt;50,"40-49", IF(Table2[[#This Row],[Customer_Age]]&lt;60,"50-59", IF(Table2[[#This Row],[Customer_Age]]&lt;70,"60-69","70+"))))))</f>
        <v>50-59</v>
      </c>
    </row>
    <row r="210" spans="1:10">
      <c r="A210" s="31" t="s">
        <v>245</v>
      </c>
      <c r="B210" s="38" t="s">
        <v>38</v>
      </c>
      <c r="C210" s="39" t="s">
        <v>35</v>
      </c>
      <c r="D210" s="17">
        <v>436.45</v>
      </c>
      <c r="E210" s="22">
        <v>34</v>
      </c>
      <c r="F210" s="26">
        <v>45129</v>
      </c>
      <c r="G210" s="38" t="s">
        <v>13</v>
      </c>
      <c r="H210" s="38" t="s">
        <v>18</v>
      </c>
      <c r="I210" s="2" t="str">
        <f>TEXT(Table2[[#This Row],[Booking_Date]],"mmmm")</f>
        <v>July</v>
      </c>
      <c r="J210" s="6" t="str">
        <f>IF(Table2[[#This Row],[Customer_Age]]&lt;20,"10-19", IF(Table2[[#This Row],[Customer_Age]]&lt;30,"20-29", IF(Table2[[#This Row],[Customer_Age]]&lt;40,"30-39", IF(Table2[[#This Row],[Customer_Age]]&lt;50,"40-49", IF(Table2[[#This Row],[Customer_Age]]&lt;60,"50-59", IF(Table2[[#This Row],[Customer_Age]]&lt;70,"60-69","70+"))))))</f>
        <v>30-39</v>
      </c>
    </row>
    <row r="211" spans="1:10">
      <c r="A211" s="32" t="s">
        <v>246</v>
      </c>
      <c r="B211" s="39" t="s">
        <v>11</v>
      </c>
      <c r="C211" s="39" t="s">
        <v>29</v>
      </c>
      <c r="D211" s="18">
        <v>2387.9699999999998</v>
      </c>
      <c r="E211" s="23">
        <v>58</v>
      </c>
      <c r="F211" s="27">
        <v>45432</v>
      </c>
      <c r="G211" s="39" t="s">
        <v>22</v>
      </c>
      <c r="H211" s="39" t="s">
        <v>45</v>
      </c>
      <c r="I211" s="2" t="str">
        <f>TEXT(Table2[[#This Row],[Booking_Date]],"mmmm")</f>
        <v>May</v>
      </c>
      <c r="J211" s="6" t="str">
        <f>IF(Table2[[#This Row],[Customer_Age]]&lt;20,"10-19", IF(Table2[[#This Row],[Customer_Age]]&lt;30,"20-29", IF(Table2[[#This Row],[Customer_Age]]&lt;40,"30-39", IF(Table2[[#This Row],[Customer_Age]]&lt;50,"40-49", IF(Table2[[#This Row],[Customer_Age]]&lt;60,"50-59", IF(Table2[[#This Row],[Customer_Age]]&lt;70,"60-69","70+"))))))</f>
        <v>50-59</v>
      </c>
    </row>
    <row r="212" spans="1:10">
      <c r="A212" s="31" t="s">
        <v>247</v>
      </c>
      <c r="B212" s="38" t="s">
        <v>34</v>
      </c>
      <c r="C212" s="39" t="s">
        <v>47</v>
      </c>
      <c r="D212" s="17">
        <v>1661.19</v>
      </c>
      <c r="E212" s="22">
        <v>57</v>
      </c>
      <c r="F212" s="26">
        <v>45257</v>
      </c>
      <c r="G212" s="38" t="s">
        <v>22</v>
      </c>
      <c r="H212" s="38" t="s">
        <v>18</v>
      </c>
      <c r="I212" s="2" t="str">
        <f>TEXT(Table2[[#This Row],[Booking_Date]],"mmmm")</f>
        <v>November</v>
      </c>
      <c r="J212" s="6" t="str">
        <f>IF(Table2[[#This Row],[Customer_Age]]&lt;20,"10-19", IF(Table2[[#This Row],[Customer_Age]]&lt;30,"20-29", IF(Table2[[#This Row],[Customer_Age]]&lt;40,"30-39", IF(Table2[[#This Row],[Customer_Age]]&lt;50,"40-49", IF(Table2[[#This Row],[Customer_Age]]&lt;60,"50-59", IF(Table2[[#This Row],[Customer_Age]]&lt;70,"60-69","70+"))))))</f>
        <v>50-59</v>
      </c>
    </row>
    <row r="213" spans="1:10">
      <c r="A213" s="32" t="s">
        <v>248</v>
      </c>
      <c r="B213" s="39" t="s">
        <v>24</v>
      </c>
      <c r="C213" s="39" t="s">
        <v>17</v>
      </c>
      <c r="D213" s="18">
        <v>1278.52</v>
      </c>
      <c r="E213" s="23">
        <v>58</v>
      </c>
      <c r="F213" s="27">
        <v>45237</v>
      </c>
      <c r="G213" s="39" t="s">
        <v>22</v>
      </c>
      <c r="H213" s="39" t="s">
        <v>14</v>
      </c>
      <c r="I213" s="2" t="str">
        <f>TEXT(Table2[[#This Row],[Booking_Date]],"mmmm")</f>
        <v>November</v>
      </c>
      <c r="J213" s="6" t="str">
        <f>IF(Table2[[#This Row],[Customer_Age]]&lt;20,"10-19", IF(Table2[[#This Row],[Customer_Age]]&lt;30,"20-29", IF(Table2[[#This Row],[Customer_Age]]&lt;40,"30-39", IF(Table2[[#This Row],[Customer_Age]]&lt;50,"40-49", IF(Table2[[#This Row],[Customer_Age]]&lt;60,"50-59", IF(Table2[[#This Row],[Customer_Age]]&lt;70,"60-69","70+"))))))</f>
        <v>50-59</v>
      </c>
    </row>
    <row r="214" spans="1:10">
      <c r="A214" s="31" t="s">
        <v>249</v>
      </c>
      <c r="B214" s="38" t="s">
        <v>43</v>
      </c>
      <c r="C214" s="39" t="s">
        <v>21</v>
      </c>
      <c r="D214" s="17">
        <v>370.64</v>
      </c>
      <c r="E214" s="22">
        <v>47</v>
      </c>
      <c r="F214" s="26">
        <v>45389</v>
      </c>
      <c r="G214" s="38" t="s">
        <v>13</v>
      </c>
      <c r="H214" s="38" t="s">
        <v>14</v>
      </c>
      <c r="I214" s="2" t="str">
        <f>TEXT(Table2[[#This Row],[Booking_Date]],"mmmm")</f>
        <v>April</v>
      </c>
      <c r="J214" s="6" t="str">
        <f>IF(Table2[[#This Row],[Customer_Age]]&lt;20,"10-19", IF(Table2[[#This Row],[Customer_Age]]&lt;30,"20-29", IF(Table2[[#This Row],[Customer_Age]]&lt;40,"30-39", IF(Table2[[#This Row],[Customer_Age]]&lt;50,"40-49", IF(Table2[[#This Row],[Customer_Age]]&lt;60,"50-59", IF(Table2[[#This Row],[Customer_Age]]&lt;70,"60-69","70+"))))))</f>
        <v>40-49</v>
      </c>
    </row>
    <row r="215" spans="1:10">
      <c r="A215" s="32" t="s">
        <v>250</v>
      </c>
      <c r="B215" s="39" t="s">
        <v>43</v>
      </c>
      <c r="C215" s="39" t="s">
        <v>55</v>
      </c>
      <c r="D215" s="18">
        <v>376.48</v>
      </c>
      <c r="E215" s="23">
        <v>23</v>
      </c>
      <c r="F215" s="27">
        <v>45556</v>
      </c>
      <c r="G215" s="39" t="s">
        <v>22</v>
      </c>
      <c r="H215" s="39" t="s">
        <v>45</v>
      </c>
      <c r="I215" s="2" t="str">
        <f>TEXT(Table2[[#This Row],[Booking_Date]],"mmmm")</f>
        <v>September</v>
      </c>
      <c r="J215" s="6" t="str">
        <f>IF(Table2[[#This Row],[Customer_Age]]&lt;20,"10-19", IF(Table2[[#This Row],[Customer_Age]]&lt;30,"20-29", IF(Table2[[#This Row],[Customer_Age]]&lt;40,"30-39", IF(Table2[[#This Row],[Customer_Age]]&lt;50,"40-49", IF(Table2[[#This Row],[Customer_Age]]&lt;60,"50-59", IF(Table2[[#This Row],[Customer_Age]]&lt;70,"60-69","70+"))))))</f>
        <v>20-29</v>
      </c>
    </row>
    <row r="216" spans="1:10">
      <c r="A216" s="31" t="s">
        <v>251</v>
      </c>
      <c r="B216" s="38" t="s">
        <v>34</v>
      </c>
      <c r="C216" s="39" t="s">
        <v>21</v>
      </c>
      <c r="D216" s="17">
        <v>2394.73</v>
      </c>
      <c r="E216" s="22">
        <v>65</v>
      </c>
      <c r="F216" s="26">
        <v>44969</v>
      </c>
      <c r="G216" s="38" t="s">
        <v>22</v>
      </c>
      <c r="H216" s="38" t="s">
        <v>18</v>
      </c>
      <c r="I216" s="2" t="str">
        <f>TEXT(Table2[[#This Row],[Booking_Date]],"mmmm")</f>
        <v>February</v>
      </c>
      <c r="J216" s="6" t="str">
        <f>IF(Table2[[#This Row],[Customer_Age]]&lt;20,"10-19", IF(Table2[[#This Row],[Customer_Age]]&lt;30,"20-29", IF(Table2[[#This Row],[Customer_Age]]&lt;40,"30-39", IF(Table2[[#This Row],[Customer_Age]]&lt;50,"40-49", IF(Table2[[#This Row],[Customer_Age]]&lt;60,"50-59", IF(Table2[[#This Row],[Customer_Age]]&lt;70,"60-69","70+"))))))</f>
        <v>60-69</v>
      </c>
    </row>
    <row r="217" spans="1:10">
      <c r="A217" s="32" t="s">
        <v>252</v>
      </c>
      <c r="B217" s="39" t="s">
        <v>43</v>
      </c>
      <c r="C217" s="39" t="s">
        <v>25</v>
      </c>
      <c r="D217" s="18">
        <v>1293.95</v>
      </c>
      <c r="E217" s="23">
        <v>27</v>
      </c>
      <c r="F217" s="27">
        <v>44990</v>
      </c>
      <c r="G217" s="39" t="s">
        <v>22</v>
      </c>
      <c r="H217" s="39" t="s">
        <v>14</v>
      </c>
      <c r="I217" s="2" t="str">
        <f>TEXT(Table2[[#This Row],[Booking_Date]],"mmmm")</f>
        <v>March</v>
      </c>
      <c r="J217" s="6" t="str">
        <f>IF(Table2[[#This Row],[Customer_Age]]&lt;20,"10-19", IF(Table2[[#This Row],[Customer_Age]]&lt;30,"20-29", IF(Table2[[#This Row],[Customer_Age]]&lt;40,"30-39", IF(Table2[[#This Row],[Customer_Age]]&lt;50,"40-49", IF(Table2[[#This Row],[Customer_Age]]&lt;60,"50-59", IF(Table2[[#This Row],[Customer_Age]]&lt;70,"60-69","70+"))))))</f>
        <v>20-29</v>
      </c>
    </row>
    <row r="218" spans="1:10">
      <c r="A218" s="31" t="s">
        <v>253</v>
      </c>
      <c r="B218" s="38" t="s">
        <v>43</v>
      </c>
      <c r="C218" s="39" t="s">
        <v>41</v>
      </c>
      <c r="D218" s="17">
        <v>393.96</v>
      </c>
      <c r="E218" s="22">
        <v>59</v>
      </c>
      <c r="F218" s="26">
        <v>45103</v>
      </c>
      <c r="G218" s="38" t="s">
        <v>13</v>
      </c>
      <c r="H218" s="38" t="s">
        <v>18</v>
      </c>
      <c r="I218" s="2" t="str">
        <f>TEXT(Table2[[#This Row],[Booking_Date]],"mmmm")</f>
        <v>June</v>
      </c>
      <c r="J218" s="6" t="str">
        <f>IF(Table2[[#This Row],[Customer_Age]]&lt;20,"10-19", IF(Table2[[#This Row],[Customer_Age]]&lt;30,"20-29", IF(Table2[[#This Row],[Customer_Age]]&lt;40,"30-39", IF(Table2[[#This Row],[Customer_Age]]&lt;50,"40-49", IF(Table2[[#This Row],[Customer_Age]]&lt;60,"50-59", IF(Table2[[#This Row],[Customer_Age]]&lt;70,"60-69","70+"))))))</f>
        <v>50-59</v>
      </c>
    </row>
    <row r="219" spans="1:10">
      <c r="A219" s="32" t="s">
        <v>254</v>
      </c>
      <c r="B219" s="39" t="s">
        <v>24</v>
      </c>
      <c r="C219" s="39" t="s">
        <v>51</v>
      </c>
      <c r="D219" s="18">
        <v>1405.36</v>
      </c>
      <c r="E219" s="23">
        <v>57</v>
      </c>
      <c r="F219" s="27">
        <v>45089</v>
      </c>
      <c r="G219" s="39" t="s">
        <v>22</v>
      </c>
      <c r="H219" s="39" t="s">
        <v>26</v>
      </c>
      <c r="I219" s="2" t="str">
        <f>TEXT(Table2[[#This Row],[Booking_Date]],"mmmm")</f>
        <v>June</v>
      </c>
      <c r="J219" s="6" t="str">
        <f>IF(Table2[[#This Row],[Customer_Age]]&lt;20,"10-19", IF(Table2[[#This Row],[Customer_Age]]&lt;30,"20-29", IF(Table2[[#This Row],[Customer_Age]]&lt;40,"30-39", IF(Table2[[#This Row],[Customer_Age]]&lt;50,"40-49", IF(Table2[[#This Row],[Customer_Age]]&lt;60,"50-59", IF(Table2[[#This Row],[Customer_Age]]&lt;70,"60-69","70+"))))))</f>
        <v>50-59</v>
      </c>
    </row>
    <row r="220" spans="1:10">
      <c r="A220" s="31" t="s">
        <v>255</v>
      </c>
      <c r="B220" s="38" t="s">
        <v>28</v>
      </c>
      <c r="C220" s="39" t="s">
        <v>49</v>
      </c>
      <c r="D220" s="17">
        <v>1140.17</v>
      </c>
      <c r="E220" s="22">
        <v>39</v>
      </c>
      <c r="F220" s="26">
        <v>45622</v>
      </c>
      <c r="G220" s="38" t="s">
        <v>13</v>
      </c>
      <c r="H220" s="38" t="s">
        <v>26</v>
      </c>
      <c r="I220" s="2" t="str">
        <f>TEXT(Table2[[#This Row],[Booking_Date]],"mmmm")</f>
        <v>November</v>
      </c>
      <c r="J220" s="6" t="str">
        <f>IF(Table2[[#This Row],[Customer_Age]]&lt;20,"10-19", IF(Table2[[#This Row],[Customer_Age]]&lt;30,"20-29", IF(Table2[[#This Row],[Customer_Age]]&lt;40,"30-39", IF(Table2[[#This Row],[Customer_Age]]&lt;50,"40-49", IF(Table2[[#This Row],[Customer_Age]]&lt;60,"50-59", IF(Table2[[#This Row],[Customer_Age]]&lt;70,"60-69","70+"))))))</f>
        <v>30-39</v>
      </c>
    </row>
    <row r="221" spans="1:10">
      <c r="A221" s="32" t="s">
        <v>256</v>
      </c>
      <c r="B221" s="39" t="s">
        <v>11</v>
      </c>
      <c r="C221" s="39" t="s">
        <v>39</v>
      </c>
      <c r="D221" s="18">
        <v>417.36</v>
      </c>
      <c r="E221" s="23">
        <v>61</v>
      </c>
      <c r="F221" s="27">
        <v>45322</v>
      </c>
      <c r="G221" s="39" t="s">
        <v>22</v>
      </c>
      <c r="H221" s="39" t="s">
        <v>26</v>
      </c>
      <c r="I221" s="2" t="str">
        <f>TEXT(Table2[[#This Row],[Booking_Date]],"mmmm")</f>
        <v>January</v>
      </c>
      <c r="J221" s="6" t="str">
        <f>IF(Table2[[#This Row],[Customer_Age]]&lt;20,"10-19", IF(Table2[[#This Row],[Customer_Age]]&lt;30,"20-29", IF(Table2[[#This Row],[Customer_Age]]&lt;40,"30-39", IF(Table2[[#This Row],[Customer_Age]]&lt;50,"40-49", IF(Table2[[#This Row],[Customer_Age]]&lt;60,"50-59", IF(Table2[[#This Row],[Customer_Age]]&lt;70,"60-69","70+"))))))</f>
        <v>60-69</v>
      </c>
    </row>
    <row r="222" spans="1:10">
      <c r="A222" s="31" t="s">
        <v>257</v>
      </c>
      <c r="B222" s="38" t="s">
        <v>34</v>
      </c>
      <c r="C222" s="39" t="s">
        <v>29</v>
      </c>
      <c r="D222" s="17">
        <v>966.73</v>
      </c>
      <c r="E222" s="22">
        <v>55</v>
      </c>
      <c r="F222" s="26">
        <v>45606</v>
      </c>
      <c r="G222" s="38" t="s">
        <v>13</v>
      </c>
      <c r="H222" s="38" t="s">
        <v>26</v>
      </c>
      <c r="I222" s="2" t="str">
        <f>TEXT(Table2[[#This Row],[Booking_Date]],"mmmm")</f>
        <v>November</v>
      </c>
      <c r="J222" s="6" t="str">
        <f>IF(Table2[[#This Row],[Customer_Age]]&lt;20,"10-19", IF(Table2[[#This Row],[Customer_Age]]&lt;30,"20-29", IF(Table2[[#This Row],[Customer_Age]]&lt;40,"30-39", IF(Table2[[#This Row],[Customer_Age]]&lt;50,"40-49", IF(Table2[[#This Row],[Customer_Age]]&lt;60,"50-59", IF(Table2[[#This Row],[Customer_Age]]&lt;70,"60-69","70+"))))))</f>
        <v>50-59</v>
      </c>
    </row>
    <row r="223" spans="1:10">
      <c r="A223" s="32" t="s">
        <v>258</v>
      </c>
      <c r="B223" s="39" t="s">
        <v>16</v>
      </c>
      <c r="C223" s="39" t="s">
        <v>49</v>
      </c>
      <c r="D223" s="18">
        <v>1680.03</v>
      </c>
      <c r="E223" s="23">
        <v>39</v>
      </c>
      <c r="F223" s="27">
        <v>45057</v>
      </c>
      <c r="G223" s="39" t="s">
        <v>13</v>
      </c>
      <c r="H223" s="39" t="s">
        <v>45</v>
      </c>
      <c r="I223" s="2" t="str">
        <f>TEXT(Table2[[#This Row],[Booking_Date]],"mmmm")</f>
        <v>May</v>
      </c>
      <c r="J223" s="6" t="str">
        <f>IF(Table2[[#This Row],[Customer_Age]]&lt;20,"10-19", IF(Table2[[#This Row],[Customer_Age]]&lt;30,"20-29", IF(Table2[[#This Row],[Customer_Age]]&lt;40,"30-39", IF(Table2[[#This Row],[Customer_Age]]&lt;50,"40-49", IF(Table2[[#This Row],[Customer_Age]]&lt;60,"50-59", IF(Table2[[#This Row],[Customer_Age]]&lt;70,"60-69","70+"))))))</f>
        <v>30-39</v>
      </c>
    </row>
    <row r="224" spans="1:10">
      <c r="A224" s="31" t="s">
        <v>259</v>
      </c>
      <c r="B224" s="38" t="s">
        <v>16</v>
      </c>
      <c r="C224" s="39" t="s">
        <v>39</v>
      </c>
      <c r="D224" s="17">
        <v>241.93</v>
      </c>
      <c r="E224" s="22">
        <v>37</v>
      </c>
      <c r="F224" s="26">
        <v>45111</v>
      </c>
      <c r="G224" s="38" t="s">
        <v>13</v>
      </c>
      <c r="H224" s="38" t="s">
        <v>26</v>
      </c>
      <c r="I224" s="2" t="str">
        <f>TEXT(Table2[[#This Row],[Booking_Date]],"mmmm")</f>
        <v>July</v>
      </c>
      <c r="J224" s="6" t="str">
        <f>IF(Table2[[#This Row],[Customer_Age]]&lt;20,"10-19", IF(Table2[[#This Row],[Customer_Age]]&lt;30,"20-29", IF(Table2[[#This Row],[Customer_Age]]&lt;40,"30-39", IF(Table2[[#This Row],[Customer_Age]]&lt;50,"40-49", IF(Table2[[#This Row],[Customer_Age]]&lt;60,"50-59", IF(Table2[[#This Row],[Customer_Age]]&lt;70,"60-69","70+"))))))</f>
        <v>30-39</v>
      </c>
    </row>
    <row r="225" spans="1:10">
      <c r="A225" s="32" t="s">
        <v>260</v>
      </c>
      <c r="B225" s="39" t="s">
        <v>24</v>
      </c>
      <c r="C225" s="39" t="s">
        <v>35</v>
      </c>
      <c r="D225" s="18">
        <v>721.05</v>
      </c>
      <c r="E225" s="23">
        <v>26</v>
      </c>
      <c r="F225" s="27">
        <v>45085</v>
      </c>
      <c r="G225" s="39" t="s">
        <v>13</v>
      </c>
      <c r="H225" s="39" t="s">
        <v>26</v>
      </c>
      <c r="I225" s="2" t="str">
        <f>TEXT(Table2[[#This Row],[Booking_Date]],"mmmm")</f>
        <v>June</v>
      </c>
      <c r="J225" s="6" t="str">
        <f>IF(Table2[[#This Row],[Customer_Age]]&lt;20,"10-19", IF(Table2[[#This Row],[Customer_Age]]&lt;30,"20-29", IF(Table2[[#This Row],[Customer_Age]]&lt;40,"30-39", IF(Table2[[#This Row],[Customer_Age]]&lt;50,"40-49", IF(Table2[[#This Row],[Customer_Age]]&lt;60,"50-59", IF(Table2[[#This Row],[Customer_Age]]&lt;70,"60-69","70+"))))))</f>
        <v>20-29</v>
      </c>
    </row>
    <row r="226" spans="1:10">
      <c r="A226" s="31" t="s">
        <v>261</v>
      </c>
      <c r="B226" s="38" t="s">
        <v>11</v>
      </c>
      <c r="C226" s="39" t="s">
        <v>21</v>
      </c>
      <c r="D226" s="17">
        <v>1973.01</v>
      </c>
      <c r="E226" s="22">
        <v>65</v>
      </c>
      <c r="F226" s="26">
        <v>45466</v>
      </c>
      <c r="G226" s="38" t="s">
        <v>13</v>
      </c>
      <c r="H226" s="38" t="s">
        <v>26</v>
      </c>
      <c r="I226" s="2" t="str">
        <f>TEXT(Table2[[#This Row],[Booking_Date]],"mmmm")</f>
        <v>June</v>
      </c>
      <c r="J226" s="6" t="str">
        <f>IF(Table2[[#This Row],[Customer_Age]]&lt;20,"10-19", IF(Table2[[#This Row],[Customer_Age]]&lt;30,"20-29", IF(Table2[[#This Row],[Customer_Age]]&lt;40,"30-39", IF(Table2[[#This Row],[Customer_Age]]&lt;50,"40-49", IF(Table2[[#This Row],[Customer_Age]]&lt;60,"50-59", IF(Table2[[#This Row],[Customer_Age]]&lt;70,"60-69","70+"))))))</f>
        <v>60-69</v>
      </c>
    </row>
    <row r="227" spans="1:10">
      <c r="A227" s="32" t="s">
        <v>262</v>
      </c>
      <c r="B227" s="39" t="s">
        <v>34</v>
      </c>
      <c r="C227" s="39" t="s">
        <v>29</v>
      </c>
      <c r="D227" s="18">
        <v>1573.67</v>
      </c>
      <c r="E227" s="23">
        <v>27</v>
      </c>
      <c r="F227" s="27">
        <v>45093</v>
      </c>
      <c r="G227" s="39" t="s">
        <v>13</v>
      </c>
      <c r="H227" s="39" t="s">
        <v>18</v>
      </c>
      <c r="I227" s="2" t="str">
        <f>TEXT(Table2[[#This Row],[Booking_Date]],"mmmm")</f>
        <v>June</v>
      </c>
      <c r="J227" s="6" t="str">
        <f>IF(Table2[[#This Row],[Customer_Age]]&lt;20,"10-19", IF(Table2[[#This Row],[Customer_Age]]&lt;30,"20-29", IF(Table2[[#This Row],[Customer_Age]]&lt;40,"30-39", IF(Table2[[#This Row],[Customer_Age]]&lt;50,"40-49", IF(Table2[[#This Row],[Customer_Age]]&lt;60,"50-59", IF(Table2[[#This Row],[Customer_Age]]&lt;70,"60-69","70+"))))))</f>
        <v>20-29</v>
      </c>
    </row>
    <row r="228" spans="1:10">
      <c r="A228" s="31" t="s">
        <v>263</v>
      </c>
      <c r="B228" s="38" t="s">
        <v>24</v>
      </c>
      <c r="C228" s="39" t="s">
        <v>12</v>
      </c>
      <c r="D228" s="17">
        <v>1144.97</v>
      </c>
      <c r="E228" s="22">
        <v>61</v>
      </c>
      <c r="F228" s="26">
        <v>45170</v>
      </c>
      <c r="G228" s="38" t="s">
        <v>22</v>
      </c>
      <c r="H228" s="38" t="s">
        <v>26</v>
      </c>
      <c r="I228" s="2" t="str">
        <f>TEXT(Table2[[#This Row],[Booking_Date]],"mmmm")</f>
        <v>September</v>
      </c>
      <c r="J228" s="6" t="str">
        <f>IF(Table2[[#This Row],[Customer_Age]]&lt;20,"10-19", IF(Table2[[#This Row],[Customer_Age]]&lt;30,"20-29", IF(Table2[[#This Row],[Customer_Age]]&lt;40,"30-39", IF(Table2[[#This Row],[Customer_Age]]&lt;50,"40-49", IF(Table2[[#This Row],[Customer_Age]]&lt;60,"50-59", IF(Table2[[#This Row],[Customer_Age]]&lt;70,"60-69","70+"))))))</f>
        <v>60-69</v>
      </c>
    </row>
    <row r="229" spans="1:10">
      <c r="A229" s="32" t="s">
        <v>264</v>
      </c>
      <c r="B229" s="39" t="s">
        <v>34</v>
      </c>
      <c r="C229" s="39" t="s">
        <v>51</v>
      </c>
      <c r="D229" s="18">
        <v>1261.8599999999999</v>
      </c>
      <c r="E229" s="23">
        <v>36</v>
      </c>
      <c r="F229" s="27">
        <v>45318</v>
      </c>
      <c r="G229" s="39" t="s">
        <v>22</v>
      </c>
      <c r="H229" s="39" t="s">
        <v>18</v>
      </c>
      <c r="I229" s="2" t="str">
        <f>TEXT(Table2[[#This Row],[Booking_Date]],"mmmm")</f>
        <v>January</v>
      </c>
      <c r="J229" s="6" t="str">
        <f>IF(Table2[[#This Row],[Customer_Age]]&lt;20,"10-19", IF(Table2[[#This Row],[Customer_Age]]&lt;30,"20-29", IF(Table2[[#This Row],[Customer_Age]]&lt;40,"30-39", IF(Table2[[#This Row],[Customer_Age]]&lt;50,"40-49", IF(Table2[[#This Row],[Customer_Age]]&lt;60,"50-59", IF(Table2[[#This Row],[Customer_Age]]&lt;70,"60-69","70+"))))))</f>
        <v>30-39</v>
      </c>
    </row>
    <row r="230" spans="1:10">
      <c r="A230" s="31" t="s">
        <v>265</v>
      </c>
      <c r="B230" s="38" t="s">
        <v>20</v>
      </c>
      <c r="C230" s="39" t="s">
        <v>25</v>
      </c>
      <c r="D230" s="17">
        <v>518.32000000000005</v>
      </c>
      <c r="E230" s="22">
        <v>34</v>
      </c>
      <c r="F230" s="26">
        <v>44980</v>
      </c>
      <c r="G230" s="38" t="s">
        <v>22</v>
      </c>
      <c r="H230" s="38" t="s">
        <v>26</v>
      </c>
      <c r="I230" s="2" t="str">
        <f>TEXT(Table2[[#This Row],[Booking_Date]],"mmmm")</f>
        <v>February</v>
      </c>
      <c r="J230" s="6" t="str">
        <f>IF(Table2[[#This Row],[Customer_Age]]&lt;20,"10-19", IF(Table2[[#This Row],[Customer_Age]]&lt;30,"20-29", IF(Table2[[#This Row],[Customer_Age]]&lt;40,"30-39", IF(Table2[[#This Row],[Customer_Age]]&lt;50,"40-49", IF(Table2[[#This Row],[Customer_Age]]&lt;60,"50-59", IF(Table2[[#This Row],[Customer_Age]]&lt;70,"60-69","70+"))))))</f>
        <v>30-39</v>
      </c>
    </row>
    <row r="231" spans="1:10">
      <c r="A231" s="32" t="s">
        <v>266</v>
      </c>
      <c r="B231" s="39" t="s">
        <v>16</v>
      </c>
      <c r="C231" s="39" t="s">
        <v>17</v>
      </c>
      <c r="D231" s="18">
        <v>1836.22</v>
      </c>
      <c r="E231" s="23">
        <v>51</v>
      </c>
      <c r="F231" s="27">
        <v>45054</v>
      </c>
      <c r="G231" s="39" t="s">
        <v>22</v>
      </c>
      <c r="H231" s="39" t="s">
        <v>14</v>
      </c>
      <c r="I231" s="2" t="str">
        <f>TEXT(Table2[[#This Row],[Booking_Date]],"mmmm")</f>
        <v>May</v>
      </c>
      <c r="J231" s="6" t="str">
        <f>IF(Table2[[#This Row],[Customer_Age]]&lt;20,"10-19", IF(Table2[[#This Row],[Customer_Age]]&lt;30,"20-29", IF(Table2[[#This Row],[Customer_Age]]&lt;40,"30-39", IF(Table2[[#This Row],[Customer_Age]]&lt;50,"40-49", IF(Table2[[#This Row],[Customer_Age]]&lt;60,"50-59", IF(Table2[[#This Row],[Customer_Age]]&lt;70,"60-69","70+"))))))</f>
        <v>50-59</v>
      </c>
    </row>
    <row r="232" spans="1:10">
      <c r="A232" s="31" t="s">
        <v>267</v>
      </c>
      <c r="B232" s="38" t="s">
        <v>38</v>
      </c>
      <c r="C232" s="39" t="s">
        <v>55</v>
      </c>
      <c r="D232" s="17">
        <v>1233.43</v>
      </c>
      <c r="E232" s="22">
        <v>50</v>
      </c>
      <c r="F232" s="26">
        <v>45077</v>
      </c>
      <c r="G232" s="38" t="s">
        <v>22</v>
      </c>
      <c r="H232" s="38" t="s">
        <v>14</v>
      </c>
      <c r="I232" s="2" t="str">
        <f>TEXT(Table2[[#This Row],[Booking_Date]],"mmmm")</f>
        <v>May</v>
      </c>
      <c r="J232" s="6" t="str">
        <f>IF(Table2[[#This Row],[Customer_Age]]&lt;20,"10-19", IF(Table2[[#This Row],[Customer_Age]]&lt;30,"20-29", IF(Table2[[#This Row],[Customer_Age]]&lt;40,"30-39", IF(Table2[[#This Row],[Customer_Age]]&lt;50,"40-49", IF(Table2[[#This Row],[Customer_Age]]&lt;60,"50-59", IF(Table2[[#This Row],[Customer_Age]]&lt;70,"60-69","70+"))))))</f>
        <v>50-59</v>
      </c>
    </row>
    <row r="233" spans="1:10">
      <c r="A233" s="32" t="s">
        <v>268</v>
      </c>
      <c r="B233" s="39" t="s">
        <v>20</v>
      </c>
      <c r="C233" s="39" t="s">
        <v>51</v>
      </c>
      <c r="D233" s="18">
        <v>2234.65</v>
      </c>
      <c r="E233" s="23">
        <v>19</v>
      </c>
      <c r="F233" s="27">
        <v>45351</v>
      </c>
      <c r="G233" s="39" t="s">
        <v>13</v>
      </c>
      <c r="H233" s="39" t="s">
        <v>45</v>
      </c>
      <c r="I233" s="2" t="str">
        <f>TEXT(Table2[[#This Row],[Booking_Date]],"mmmm")</f>
        <v>February</v>
      </c>
      <c r="J233" s="6" t="str">
        <f>IF(Table2[[#This Row],[Customer_Age]]&lt;20,"10-19", IF(Table2[[#This Row],[Customer_Age]]&lt;30,"20-29", IF(Table2[[#This Row],[Customer_Age]]&lt;40,"30-39", IF(Table2[[#This Row],[Customer_Age]]&lt;50,"40-49", IF(Table2[[#This Row],[Customer_Age]]&lt;60,"50-59", IF(Table2[[#This Row],[Customer_Age]]&lt;70,"60-69","70+"))))))</f>
        <v>10-19</v>
      </c>
    </row>
    <row r="234" spans="1:10">
      <c r="A234" s="31" t="s">
        <v>269</v>
      </c>
      <c r="B234" s="38" t="s">
        <v>16</v>
      </c>
      <c r="C234" s="39" t="s">
        <v>39</v>
      </c>
      <c r="D234" s="17">
        <v>742.29</v>
      </c>
      <c r="E234" s="22">
        <v>23</v>
      </c>
      <c r="F234" s="26">
        <v>45310</v>
      </c>
      <c r="G234" s="38" t="s">
        <v>13</v>
      </c>
      <c r="H234" s="38" t="s">
        <v>14</v>
      </c>
      <c r="I234" s="2" t="str">
        <f>TEXT(Table2[[#This Row],[Booking_Date]],"mmmm")</f>
        <v>January</v>
      </c>
      <c r="J234" s="6" t="str">
        <f>IF(Table2[[#This Row],[Customer_Age]]&lt;20,"10-19", IF(Table2[[#This Row],[Customer_Age]]&lt;30,"20-29", IF(Table2[[#This Row],[Customer_Age]]&lt;40,"30-39", IF(Table2[[#This Row],[Customer_Age]]&lt;50,"40-49", IF(Table2[[#This Row],[Customer_Age]]&lt;60,"50-59", IF(Table2[[#This Row],[Customer_Age]]&lt;70,"60-69","70+"))))))</f>
        <v>20-29</v>
      </c>
    </row>
    <row r="235" spans="1:10">
      <c r="A235" s="32" t="s">
        <v>270</v>
      </c>
      <c r="B235" s="39" t="s">
        <v>43</v>
      </c>
      <c r="C235" s="39" t="s">
        <v>17</v>
      </c>
      <c r="D235" s="18">
        <v>2130.11</v>
      </c>
      <c r="E235" s="23">
        <v>59</v>
      </c>
      <c r="F235" s="27">
        <v>45270</v>
      </c>
      <c r="G235" s="39" t="s">
        <v>13</v>
      </c>
      <c r="H235" s="39" t="s">
        <v>18</v>
      </c>
      <c r="I235" s="2" t="str">
        <f>TEXT(Table2[[#This Row],[Booking_Date]],"mmmm")</f>
        <v>December</v>
      </c>
      <c r="J235" s="6" t="str">
        <f>IF(Table2[[#This Row],[Customer_Age]]&lt;20,"10-19", IF(Table2[[#This Row],[Customer_Age]]&lt;30,"20-29", IF(Table2[[#This Row],[Customer_Age]]&lt;40,"30-39", IF(Table2[[#This Row],[Customer_Age]]&lt;50,"40-49", IF(Table2[[#This Row],[Customer_Age]]&lt;60,"50-59", IF(Table2[[#This Row],[Customer_Age]]&lt;70,"60-69","70+"))))))</f>
        <v>50-59</v>
      </c>
    </row>
    <row r="236" spans="1:10">
      <c r="A236" s="31" t="s">
        <v>271</v>
      </c>
      <c r="B236" s="38" t="s">
        <v>69</v>
      </c>
      <c r="C236" s="39" t="s">
        <v>55</v>
      </c>
      <c r="D236" s="17">
        <v>2310.0100000000002</v>
      </c>
      <c r="E236" s="22">
        <v>48</v>
      </c>
      <c r="F236" s="26">
        <v>45639</v>
      </c>
      <c r="G236" s="38" t="s">
        <v>13</v>
      </c>
      <c r="H236" s="38" t="s">
        <v>45</v>
      </c>
      <c r="I236" s="2" t="str">
        <f>TEXT(Table2[[#This Row],[Booking_Date]],"mmmm")</f>
        <v>December</v>
      </c>
      <c r="J236" s="6" t="str">
        <f>IF(Table2[[#This Row],[Customer_Age]]&lt;20,"10-19", IF(Table2[[#This Row],[Customer_Age]]&lt;30,"20-29", IF(Table2[[#This Row],[Customer_Age]]&lt;40,"30-39", IF(Table2[[#This Row],[Customer_Age]]&lt;50,"40-49", IF(Table2[[#This Row],[Customer_Age]]&lt;60,"50-59", IF(Table2[[#This Row],[Customer_Age]]&lt;70,"60-69","70+"))))))</f>
        <v>40-49</v>
      </c>
    </row>
    <row r="237" spans="1:10">
      <c r="A237" s="32" t="s">
        <v>272</v>
      </c>
      <c r="B237" s="39" t="s">
        <v>24</v>
      </c>
      <c r="C237" s="39" t="s">
        <v>25</v>
      </c>
      <c r="D237" s="18">
        <v>212.08</v>
      </c>
      <c r="E237" s="23">
        <v>23</v>
      </c>
      <c r="F237" s="27">
        <v>44946</v>
      </c>
      <c r="G237" s="39" t="s">
        <v>22</v>
      </c>
      <c r="H237" s="39" t="s">
        <v>18</v>
      </c>
      <c r="I237" s="2" t="str">
        <f>TEXT(Table2[[#This Row],[Booking_Date]],"mmmm")</f>
        <v>January</v>
      </c>
      <c r="J237" s="6" t="str">
        <f>IF(Table2[[#This Row],[Customer_Age]]&lt;20,"10-19", IF(Table2[[#This Row],[Customer_Age]]&lt;30,"20-29", IF(Table2[[#This Row],[Customer_Age]]&lt;40,"30-39", IF(Table2[[#This Row],[Customer_Age]]&lt;50,"40-49", IF(Table2[[#This Row],[Customer_Age]]&lt;60,"50-59", IF(Table2[[#This Row],[Customer_Age]]&lt;70,"60-69","70+"))))))</f>
        <v>20-29</v>
      </c>
    </row>
    <row r="238" spans="1:10">
      <c r="A238" s="31" t="s">
        <v>273</v>
      </c>
      <c r="B238" s="38" t="s">
        <v>38</v>
      </c>
      <c r="C238" s="39" t="s">
        <v>21</v>
      </c>
      <c r="D238" s="17">
        <v>2362.52</v>
      </c>
      <c r="E238" s="22">
        <v>56</v>
      </c>
      <c r="F238" s="26">
        <v>45467</v>
      </c>
      <c r="G238" s="38" t="s">
        <v>22</v>
      </c>
      <c r="H238" s="38" t="s">
        <v>14</v>
      </c>
      <c r="I238" s="2" t="str">
        <f>TEXT(Table2[[#This Row],[Booking_Date]],"mmmm")</f>
        <v>June</v>
      </c>
      <c r="J238" s="6" t="str">
        <f>IF(Table2[[#This Row],[Customer_Age]]&lt;20,"10-19", IF(Table2[[#This Row],[Customer_Age]]&lt;30,"20-29", IF(Table2[[#This Row],[Customer_Age]]&lt;40,"30-39", IF(Table2[[#This Row],[Customer_Age]]&lt;50,"40-49", IF(Table2[[#This Row],[Customer_Age]]&lt;60,"50-59", IF(Table2[[#This Row],[Customer_Age]]&lt;70,"60-69","70+"))))))</f>
        <v>50-59</v>
      </c>
    </row>
    <row r="239" spans="1:10">
      <c r="A239" s="32" t="s">
        <v>274</v>
      </c>
      <c r="B239" s="39" t="s">
        <v>28</v>
      </c>
      <c r="C239" s="39" t="s">
        <v>35</v>
      </c>
      <c r="D239" s="18">
        <v>892.65</v>
      </c>
      <c r="E239" s="23">
        <v>21</v>
      </c>
      <c r="F239" s="27">
        <v>45171</v>
      </c>
      <c r="G239" s="39" t="s">
        <v>22</v>
      </c>
      <c r="H239" s="39" t="s">
        <v>45</v>
      </c>
      <c r="I239" s="2" t="str">
        <f>TEXT(Table2[[#This Row],[Booking_Date]],"mmmm")</f>
        <v>September</v>
      </c>
      <c r="J239" s="6" t="str">
        <f>IF(Table2[[#This Row],[Customer_Age]]&lt;20,"10-19", IF(Table2[[#This Row],[Customer_Age]]&lt;30,"20-29", IF(Table2[[#This Row],[Customer_Age]]&lt;40,"30-39", IF(Table2[[#This Row],[Customer_Age]]&lt;50,"40-49", IF(Table2[[#This Row],[Customer_Age]]&lt;60,"50-59", IF(Table2[[#This Row],[Customer_Age]]&lt;70,"60-69","70+"))))))</f>
        <v>20-29</v>
      </c>
    </row>
    <row r="240" spans="1:10">
      <c r="A240" s="31" t="s">
        <v>275</v>
      </c>
      <c r="B240" s="38" t="s">
        <v>11</v>
      </c>
      <c r="C240" s="39" t="s">
        <v>17</v>
      </c>
      <c r="D240" s="17">
        <v>2124.38</v>
      </c>
      <c r="E240" s="22">
        <v>49</v>
      </c>
      <c r="F240" s="26">
        <v>45538</v>
      </c>
      <c r="G240" s="38" t="s">
        <v>13</v>
      </c>
      <c r="H240" s="38" t="s">
        <v>18</v>
      </c>
      <c r="I240" s="2" t="str">
        <f>TEXT(Table2[[#This Row],[Booking_Date]],"mmmm")</f>
        <v>September</v>
      </c>
      <c r="J240" s="6" t="str">
        <f>IF(Table2[[#This Row],[Customer_Age]]&lt;20,"10-19", IF(Table2[[#This Row],[Customer_Age]]&lt;30,"20-29", IF(Table2[[#This Row],[Customer_Age]]&lt;40,"30-39", IF(Table2[[#This Row],[Customer_Age]]&lt;50,"40-49", IF(Table2[[#This Row],[Customer_Age]]&lt;60,"50-59", IF(Table2[[#This Row],[Customer_Age]]&lt;70,"60-69","70+"))))))</f>
        <v>40-49</v>
      </c>
    </row>
    <row r="241" spans="1:10">
      <c r="A241" s="32" t="s">
        <v>276</v>
      </c>
      <c r="B241" s="39" t="s">
        <v>38</v>
      </c>
      <c r="C241" s="39" t="s">
        <v>55</v>
      </c>
      <c r="D241" s="18">
        <v>1187.25</v>
      </c>
      <c r="E241" s="23">
        <v>57</v>
      </c>
      <c r="F241" s="27">
        <v>45288</v>
      </c>
      <c r="G241" s="39" t="s">
        <v>13</v>
      </c>
      <c r="H241" s="39" t="s">
        <v>45</v>
      </c>
      <c r="I241" s="2" t="str">
        <f>TEXT(Table2[[#This Row],[Booking_Date]],"mmmm")</f>
        <v>December</v>
      </c>
      <c r="J241" s="6" t="str">
        <f>IF(Table2[[#This Row],[Customer_Age]]&lt;20,"10-19", IF(Table2[[#This Row],[Customer_Age]]&lt;30,"20-29", IF(Table2[[#This Row],[Customer_Age]]&lt;40,"30-39", IF(Table2[[#This Row],[Customer_Age]]&lt;50,"40-49", IF(Table2[[#This Row],[Customer_Age]]&lt;60,"50-59", IF(Table2[[#This Row],[Customer_Age]]&lt;70,"60-69","70+"))))))</f>
        <v>50-59</v>
      </c>
    </row>
    <row r="242" spans="1:10">
      <c r="A242" s="31" t="s">
        <v>277</v>
      </c>
      <c r="B242" s="38" t="s">
        <v>38</v>
      </c>
      <c r="C242" s="39" t="s">
        <v>47</v>
      </c>
      <c r="D242" s="17">
        <v>1736.89</v>
      </c>
      <c r="E242" s="22">
        <v>51</v>
      </c>
      <c r="F242" s="26">
        <v>45296</v>
      </c>
      <c r="G242" s="38" t="s">
        <v>13</v>
      </c>
      <c r="H242" s="38" t="s">
        <v>14</v>
      </c>
      <c r="I242" s="2" t="str">
        <f>TEXT(Table2[[#This Row],[Booking_Date]],"mmmm")</f>
        <v>January</v>
      </c>
      <c r="J242" s="6" t="str">
        <f>IF(Table2[[#This Row],[Customer_Age]]&lt;20,"10-19", IF(Table2[[#This Row],[Customer_Age]]&lt;30,"20-29", IF(Table2[[#This Row],[Customer_Age]]&lt;40,"30-39", IF(Table2[[#This Row],[Customer_Age]]&lt;50,"40-49", IF(Table2[[#This Row],[Customer_Age]]&lt;60,"50-59", IF(Table2[[#This Row],[Customer_Age]]&lt;70,"60-69","70+"))))))</f>
        <v>50-59</v>
      </c>
    </row>
    <row r="243" spans="1:10">
      <c r="A243" s="32" t="s">
        <v>278</v>
      </c>
      <c r="B243" s="39" t="s">
        <v>31</v>
      </c>
      <c r="C243" s="39" t="s">
        <v>51</v>
      </c>
      <c r="D243" s="18">
        <v>300.13</v>
      </c>
      <c r="E243" s="23">
        <v>42</v>
      </c>
      <c r="F243" s="27">
        <v>45309</v>
      </c>
      <c r="G243" s="39" t="s">
        <v>22</v>
      </c>
      <c r="H243" s="39" t="s">
        <v>14</v>
      </c>
      <c r="I243" s="2" t="str">
        <f>TEXT(Table2[[#This Row],[Booking_Date]],"mmmm")</f>
        <v>January</v>
      </c>
      <c r="J243" s="6" t="str">
        <f>IF(Table2[[#This Row],[Customer_Age]]&lt;20,"10-19", IF(Table2[[#This Row],[Customer_Age]]&lt;30,"20-29", IF(Table2[[#This Row],[Customer_Age]]&lt;40,"30-39", IF(Table2[[#This Row],[Customer_Age]]&lt;50,"40-49", IF(Table2[[#This Row],[Customer_Age]]&lt;60,"50-59", IF(Table2[[#This Row],[Customer_Age]]&lt;70,"60-69","70+"))))))</f>
        <v>40-49</v>
      </c>
    </row>
    <row r="244" spans="1:10">
      <c r="A244" s="31" t="s">
        <v>279</v>
      </c>
      <c r="B244" s="38" t="s">
        <v>43</v>
      </c>
      <c r="C244" s="39" t="s">
        <v>17</v>
      </c>
      <c r="D244" s="17">
        <v>993.05</v>
      </c>
      <c r="E244" s="22">
        <v>64</v>
      </c>
      <c r="F244" s="26">
        <v>45599</v>
      </c>
      <c r="G244" s="38" t="s">
        <v>13</v>
      </c>
      <c r="H244" s="38" t="s">
        <v>26</v>
      </c>
      <c r="I244" s="2" t="str">
        <f>TEXT(Table2[[#This Row],[Booking_Date]],"mmmm")</f>
        <v>November</v>
      </c>
      <c r="J244" s="6" t="str">
        <f>IF(Table2[[#This Row],[Customer_Age]]&lt;20,"10-19", IF(Table2[[#This Row],[Customer_Age]]&lt;30,"20-29", IF(Table2[[#This Row],[Customer_Age]]&lt;40,"30-39", IF(Table2[[#This Row],[Customer_Age]]&lt;50,"40-49", IF(Table2[[#This Row],[Customer_Age]]&lt;60,"50-59", IF(Table2[[#This Row],[Customer_Age]]&lt;70,"60-69","70+"))))))</f>
        <v>60-69</v>
      </c>
    </row>
    <row r="245" spans="1:10">
      <c r="A245" s="32" t="s">
        <v>280</v>
      </c>
      <c r="B245" s="39" t="s">
        <v>38</v>
      </c>
      <c r="C245" s="39" t="s">
        <v>12</v>
      </c>
      <c r="D245" s="18">
        <v>1010.29</v>
      </c>
      <c r="E245" s="23">
        <v>39</v>
      </c>
      <c r="F245" s="27">
        <v>45585</v>
      </c>
      <c r="G245" s="39" t="s">
        <v>13</v>
      </c>
      <c r="H245" s="39" t="s">
        <v>45</v>
      </c>
      <c r="I245" s="2" t="str">
        <f>TEXT(Table2[[#This Row],[Booking_Date]],"mmmm")</f>
        <v>October</v>
      </c>
      <c r="J245" s="6" t="str">
        <f>IF(Table2[[#This Row],[Customer_Age]]&lt;20,"10-19", IF(Table2[[#This Row],[Customer_Age]]&lt;30,"20-29", IF(Table2[[#This Row],[Customer_Age]]&lt;40,"30-39", IF(Table2[[#This Row],[Customer_Age]]&lt;50,"40-49", IF(Table2[[#This Row],[Customer_Age]]&lt;60,"50-59", IF(Table2[[#This Row],[Customer_Age]]&lt;70,"60-69","70+"))))))</f>
        <v>30-39</v>
      </c>
    </row>
    <row r="246" spans="1:10">
      <c r="A246" s="31" t="s">
        <v>281</v>
      </c>
      <c r="B246" s="38" t="s">
        <v>24</v>
      </c>
      <c r="C246" s="39" t="s">
        <v>47</v>
      </c>
      <c r="D246" s="17">
        <v>619.24</v>
      </c>
      <c r="E246" s="22">
        <v>26</v>
      </c>
      <c r="F246" s="26">
        <v>44991</v>
      </c>
      <c r="G246" s="38" t="s">
        <v>22</v>
      </c>
      <c r="H246" s="38" t="s">
        <v>14</v>
      </c>
      <c r="I246" s="2" t="str">
        <f>TEXT(Table2[[#This Row],[Booking_Date]],"mmmm")</f>
        <v>March</v>
      </c>
      <c r="J246" s="6" t="str">
        <f>IF(Table2[[#This Row],[Customer_Age]]&lt;20,"10-19", IF(Table2[[#This Row],[Customer_Age]]&lt;30,"20-29", IF(Table2[[#This Row],[Customer_Age]]&lt;40,"30-39", IF(Table2[[#This Row],[Customer_Age]]&lt;50,"40-49", IF(Table2[[#This Row],[Customer_Age]]&lt;60,"50-59", IF(Table2[[#This Row],[Customer_Age]]&lt;70,"60-69","70+"))))))</f>
        <v>20-29</v>
      </c>
    </row>
    <row r="247" spans="1:10">
      <c r="A247" s="32" t="s">
        <v>282</v>
      </c>
      <c r="B247" s="39" t="s">
        <v>28</v>
      </c>
      <c r="C247" s="39" t="s">
        <v>35</v>
      </c>
      <c r="D247" s="18">
        <v>300.75</v>
      </c>
      <c r="E247" s="23">
        <v>30</v>
      </c>
      <c r="F247" s="27">
        <v>44969</v>
      </c>
      <c r="G247" s="39" t="s">
        <v>22</v>
      </c>
      <c r="H247" s="39" t="s">
        <v>26</v>
      </c>
      <c r="I247" s="2" t="str">
        <f>TEXT(Table2[[#This Row],[Booking_Date]],"mmmm")</f>
        <v>February</v>
      </c>
      <c r="J247" s="6" t="str">
        <f>IF(Table2[[#This Row],[Customer_Age]]&lt;20,"10-19", IF(Table2[[#This Row],[Customer_Age]]&lt;30,"20-29", IF(Table2[[#This Row],[Customer_Age]]&lt;40,"30-39", IF(Table2[[#This Row],[Customer_Age]]&lt;50,"40-49", IF(Table2[[#This Row],[Customer_Age]]&lt;60,"50-59", IF(Table2[[#This Row],[Customer_Age]]&lt;70,"60-69","70+"))))))</f>
        <v>30-39</v>
      </c>
    </row>
    <row r="248" spans="1:10">
      <c r="A248" s="31" t="s">
        <v>283</v>
      </c>
      <c r="B248" s="38" t="s">
        <v>16</v>
      </c>
      <c r="C248" s="39" t="s">
        <v>49</v>
      </c>
      <c r="D248" s="17">
        <v>2474.98</v>
      </c>
      <c r="E248" s="22">
        <v>52</v>
      </c>
      <c r="F248" s="26">
        <v>45411</v>
      </c>
      <c r="G248" s="38" t="s">
        <v>22</v>
      </c>
      <c r="H248" s="38" t="s">
        <v>14</v>
      </c>
      <c r="I248" s="2" t="str">
        <f>TEXT(Table2[[#This Row],[Booking_Date]],"mmmm")</f>
        <v>April</v>
      </c>
      <c r="J248" s="6" t="str">
        <f>IF(Table2[[#This Row],[Customer_Age]]&lt;20,"10-19", IF(Table2[[#This Row],[Customer_Age]]&lt;30,"20-29", IF(Table2[[#This Row],[Customer_Age]]&lt;40,"30-39", IF(Table2[[#This Row],[Customer_Age]]&lt;50,"40-49", IF(Table2[[#This Row],[Customer_Age]]&lt;60,"50-59", IF(Table2[[#This Row],[Customer_Age]]&lt;70,"60-69","70+"))))))</f>
        <v>50-59</v>
      </c>
    </row>
    <row r="249" spans="1:10">
      <c r="A249" s="32" t="s">
        <v>284</v>
      </c>
      <c r="B249" s="39" t="s">
        <v>20</v>
      </c>
      <c r="C249" s="39" t="s">
        <v>55</v>
      </c>
      <c r="D249" s="18">
        <v>1021.04</v>
      </c>
      <c r="E249" s="23">
        <v>67</v>
      </c>
      <c r="F249" s="27">
        <v>44975</v>
      </c>
      <c r="G249" s="39" t="s">
        <v>22</v>
      </c>
      <c r="H249" s="39" t="s">
        <v>26</v>
      </c>
      <c r="I249" s="2" t="str">
        <f>TEXT(Table2[[#This Row],[Booking_Date]],"mmmm")</f>
        <v>February</v>
      </c>
      <c r="J249" s="6" t="str">
        <f>IF(Table2[[#This Row],[Customer_Age]]&lt;20,"10-19", IF(Table2[[#This Row],[Customer_Age]]&lt;30,"20-29", IF(Table2[[#This Row],[Customer_Age]]&lt;40,"30-39", IF(Table2[[#This Row],[Customer_Age]]&lt;50,"40-49", IF(Table2[[#This Row],[Customer_Age]]&lt;60,"50-59", IF(Table2[[#This Row],[Customer_Age]]&lt;70,"60-69","70+"))))))</f>
        <v>60-69</v>
      </c>
    </row>
    <row r="250" spans="1:10">
      <c r="A250" s="31" t="s">
        <v>285</v>
      </c>
      <c r="B250" s="38" t="s">
        <v>11</v>
      </c>
      <c r="C250" s="39" t="s">
        <v>39</v>
      </c>
      <c r="D250" s="17">
        <v>1204.99</v>
      </c>
      <c r="E250" s="22">
        <v>43</v>
      </c>
      <c r="F250" s="26">
        <v>45377</v>
      </c>
      <c r="G250" s="38" t="s">
        <v>22</v>
      </c>
      <c r="H250" s="38" t="s">
        <v>26</v>
      </c>
      <c r="I250" s="2" t="str">
        <f>TEXT(Table2[[#This Row],[Booking_Date]],"mmmm")</f>
        <v>March</v>
      </c>
      <c r="J250" s="6" t="str">
        <f>IF(Table2[[#This Row],[Customer_Age]]&lt;20,"10-19", IF(Table2[[#This Row],[Customer_Age]]&lt;30,"20-29", IF(Table2[[#This Row],[Customer_Age]]&lt;40,"30-39", IF(Table2[[#This Row],[Customer_Age]]&lt;50,"40-49", IF(Table2[[#This Row],[Customer_Age]]&lt;60,"50-59", IF(Table2[[#This Row],[Customer_Age]]&lt;70,"60-69","70+"))))))</f>
        <v>40-49</v>
      </c>
    </row>
    <row r="251" spans="1:10">
      <c r="A251" s="32" t="s">
        <v>286</v>
      </c>
      <c r="B251" s="39" t="s">
        <v>38</v>
      </c>
      <c r="C251" s="39" t="s">
        <v>51</v>
      </c>
      <c r="D251" s="18">
        <v>1791.76</v>
      </c>
      <c r="E251" s="23">
        <v>41</v>
      </c>
      <c r="F251" s="27">
        <v>45458</v>
      </c>
      <c r="G251" s="39" t="s">
        <v>22</v>
      </c>
      <c r="H251" s="39" t="s">
        <v>14</v>
      </c>
      <c r="I251" s="2" t="str">
        <f>TEXT(Table2[[#This Row],[Booking_Date]],"mmmm")</f>
        <v>June</v>
      </c>
      <c r="J251" s="6" t="str">
        <f>IF(Table2[[#This Row],[Customer_Age]]&lt;20,"10-19", IF(Table2[[#This Row],[Customer_Age]]&lt;30,"20-29", IF(Table2[[#This Row],[Customer_Age]]&lt;40,"30-39", IF(Table2[[#This Row],[Customer_Age]]&lt;50,"40-49", IF(Table2[[#This Row],[Customer_Age]]&lt;60,"50-59", IF(Table2[[#This Row],[Customer_Age]]&lt;70,"60-69","70+"))))))</f>
        <v>40-49</v>
      </c>
    </row>
    <row r="252" spans="1:10">
      <c r="A252" s="31" t="s">
        <v>287</v>
      </c>
      <c r="B252" s="38" t="s">
        <v>31</v>
      </c>
      <c r="C252" s="39" t="s">
        <v>17</v>
      </c>
      <c r="D252" s="17">
        <v>1190.4000000000001</v>
      </c>
      <c r="E252" s="22">
        <v>70</v>
      </c>
      <c r="F252" s="26">
        <v>45111</v>
      </c>
      <c r="G252" s="38" t="s">
        <v>22</v>
      </c>
      <c r="H252" s="38" t="s">
        <v>26</v>
      </c>
      <c r="I252" s="2" t="str">
        <f>TEXT(Table2[[#This Row],[Booking_Date]],"mmmm")</f>
        <v>July</v>
      </c>
      <c r="J252" s="6" t="str">
        <f>IF(Table2[[#This Row],[Customer_Age]]&lt;20,"10-19", IF(Table2[[#This Row],[Customer_Age]]&lt;30,"20-29", IF(Table2[[#This Row],[Customer_Age]]&lt;40,"30-39", IF(Table2[[#This Row],[Customer_Age]]&lt;50,"40-49", IF(Table2[[#This Row],[Customer_Age]]&lt;60,"50-59", IF(Table2[[#This Row],[Customer_Age]]&lt;70,"60-69","70+"))))))</f>
        <v>70+</v>
      </c>
    </row>
    <row r="253" spans="1:10">
      <c r="A253" s="32" t="s">
        <v>288</v>
      </c>
      <c r="B253" s="39" t="s">
        <v>11</v>
      </c>
      <c r="C253" s="39" t="s">
        <v>17</v>
      </c>
      <c r="D253" s="18">
        <v>954.22</v>
      </c>
      <c r="E253" s="23">
        <v>36</v>
      </c>
      <c r="F253" s="27">
        <v>45240</v>
      </c>
      <c r="G253" s="39" t="s">
        <v>22</v>
      </c>
      <c r="H253" s="39" t="s">
        <v>45</v>
      </c>
      <c r="I253" s="2" t="str">
        <f>TEXT(Table2[[#This Row],[Booking_Date]],"mmmm")</f>
        <v>November</v>
      </c>
      <c r="J253" s="6" t="str">
        <f>IF(Table2[[#This Row],[Customer_Age]]&lt;20,"10-19", IF(Table2[[#This Row],[Customer_Age]]&lt;30,"20-29", IF(Table2[[#This Row],[Customer_Age]]&lt;40,"30-39", IF(Table2[[#This Row],[Customer_Age]]&lt;50,"40-49", IF(Table2[[#This Row],[Customer_Age]]&lt;60,"50-59", IF(Table2[[#This Row],[Customer_Age]]&lt;70,"60-69","70+"))))))</f>
        <v>30-39</v>
      </c>
    </row>
    <row r="254" spans="1:10">
      <c r="A254" s="31" t="s">
        <v>289</v>
      </c>
      <c r="B254" s="38" t="s">
        <v>38</v>
      </c>
      <c r="C254" s="39" t="s">
        <v>41</v>
      </c>
      <c r="D254" s="17">
        <v>1220.99</v>
      </c>
      <c r="E254" s="22">
        <v>46</v>
      </c>
      <c r="F254" s="26">
        <v>44970</v>
      </c>
      <c r="G254" s="38" t="s">
        <v>22</v>
      </c>
      <c r="H254" s="38" t="s">
        <v>45</v>
      </c>
      <c r="I254" s="2" t="str">
        <f>TEXT(Table2[[#This Row],[Booking_Date]],"mmmm")</f>
        <v>February</v>
      </c>
      <c r="J254" s="6" t="str">
        <f>IF(Table2[[#This Row],[Customer_Age]]&lt;20,"10-19", IF(Table2[[#This Row],[Customer_Age]]&lt;30,"20-29", IF(Table2[[#This Row],[Customer_Age]]&lt;40,"30-39", IF(Table2[[#This Row],[Customer_Age]]&lt;50,"40-49", IF(Table2[[#This Row],[Customer_Age]]&lt;60,"50-59", IF(Table2[[#This Row],[Customer_Age]]&lt;70,"60-69","70+"))))))</f>
        <v>40-49</v>
      </c>
    </row>
    <row r="255" spans="1:10">
      <c r="A255" s="32" t="s">
        <v>290</v>
      </c>
      <c r="B255" s="39" t="s">
        <v>28</v>
      </c>
      <c r="C255" s="39" t="s">
        <v>47</v>
      </c>
      <c r="D255" s="18">
        <v>2454.06</v>
      </c>
      <c r="E255" s="23">
        <v>21</v>
      </c>
      <c r="F255" s="27">
        <v>45003</v>
      </c>
      <c r="G255" s="39" t="s">
        <v>22</v>
      </c>
      <c r="H255" s="39" t="s">
        <v>26</v>
      </c>
      <c r="I255" s="2" t="str">
        <f>TEXT(Table2[[#This Row],[Booking_Date]],"mmmm")</f>
        <v>March</v>
      </c>
      <c r="J255" s="6" t="str">
        <f>IF(Table2[[#This Row],[Customer_Age]]&lt;20,"10-19", IF(Table2[[#This Row],[Customer_Age]]&lt;30,"20-29", IF(Table2[[#This Row],[Customer_Age]]&lt;40,"30-39", IF(Table2[[#This Row],[Customer_Age]]&lt;50,"40-49", IF(Table2[[#This Row],[Customer_Age]]&lt;60,"50-59", IF(Table2[[#This Row],[Customer_Age]]&lt;70,"60-69","70+"))))))</f>
        <v>20-29</v>
      </c>
    </row>
    <row r="256" spans="1:10">
      <c r="A256" s="31" t="s">
        <v>291</v>
      </c>
      <c r="B256" s="38" t="s">
        <v>16</v>
      </c>
      <c r="C256" s="39" t="s">
        <v>41</v>
      </c>
      <c r="D256" s="17">
        <v>1762.64</v>
      </c>
      <c r="E256" s="22">
        <v>19</v>
      </c>
      <c r="F256" s="26">
        <v>45073</v>
      </c>
      <c r="G256" s="38" t="s">
        <v>22</v>
      </c>
      <c r="H256" s="38" t="s">
        <v>14</v>
      </c>
      <c r="I256" s="2" t="str">
        <f>TEXT(Table2[[#This Row],[Booking_Date]],"mmmm")</f>
        <v>May</v>
      </c>
      <c r="J256" s="6" t="str">
        <f>IF(Table2[[#This Row],[Customer_Age]]&lt;20,"10-19", IF(Table2[[#This Row],[Customer_Age]]&lt;30,"20-29", IF(Table2[[#This Row],[Customer_Age]]&lt;40,"30-39", IF(Table2[[#This Row],[Customer_Age]]&lt;50,"40-49", IF(Table2[[#This Row],[Customer_Age]]&lt;60,"50-59", IF(Table2[[#This Row],[Customer_Age]]&lt;70,"60-69","70+"))))))</f>
        <v>10-19</v>
      </c>
    </row>
    <row r="257" spans="1:10">
      <c r="A257" s="32" t="s">
        <v>292</v>
      </c>
      <c r="B257" s="39" t="s">
        <v>38</v>
      </c>
      <c r="C257" s="39" t="s">
        <v>17</v>
      </c>
      <c r="D257" s="18">
        <v>742.79</v>
      </c>
      <c r="E257" s="23">
        <v>59</v>
      </c>
      <c r="F257" s="27">
        <v>45302</v>
      </c>
      <c r="G257" s="39" t="s">
        <v>22</v>
      </c>
      <c r="H257" s="39" t="s">
        <v>45</v>
      </c>
      <c r="I257" s="2" t="str">
        <f>TEXT(Table2[[#This Row],[Booking_Date]],"mmmm")</f>
        <v>January</v>
      </c>
      <c r="J257" s="6" t="str">
        <f>IF(Table2[[#This Row],[Customer_Age]]&lt;20,"10-19", IF(Table2[[#This Row],[Customer_Age]]&lt;30,"20-29", IF(Table2[[#This Row],[Customer_Age]]&lt;40,"30-39", IF(Table2[[#This Row],[Customer_Age]]&lt;50,"40-49", IF(Table2[[#This Row],[Customer_Age]]&lt;60,"50-59", IF(Table2[[#This Row],[Customer_Age]]&lt;70,"60-69","70+"))))))</f>
        <v>50-59</v>
      </c>
    </row>
    <row r="258" spans="1:10">
      <c r="A258" s="31" t="s">
        <v>293</v>
      </c>
      <c r="B258" s="38" t="s">
        <v>34</v>
      </c>
      <c r="C258" s="39" t="s">
        <v>12</v>
      </c>
      <c r="D258" s="17">
        <v>1591.72</v>
      </c>
      <c r="E258" s="22">
        <v>61</v>
      </c>
      <c r="F258" s="26">
        <v>45387</v>
      </c>
      <c r="G258" s="38" t="s">
        <v>22</v>
      </c>
      <c r="H258" s="38" t="s">
        <v>26</v>
      </c>
      <c r="I258" s="2" t="str">
        <f>TEXT(Table2[[#This Row],[Booking_Date]],"mmmm")</f>
        <v>April</v>
      </c>
      <c r="J258" s="6" t="str">
        <f>IF(Table2[[#This Row],[Customer_Age]]&lt;20,"10-19", IF(Table2[[#This Row],[Customer_Age]]&lt;30,"20-29", IF(Table2[[#This Row],[Customer_Age]]&lt;40,"30-39", IF(Table2[[#This Row],[Customer_Age]]&lt;50,"40-49", IF(Table2[[#This Row],[Customer_Age]]&lt;60,"50-59", IF(Table2[[#This Row],[Customer_Age]]&lt;70,"60-69","70+"))))))</f>
        <v>60-69</v>
      </c>
    </row>
    <row r="259" spans="1:10">
      <c r="A259" s="32" t="s">
        <v>294</v>
      </c>
      <c r="B259" s="39" t="s">
        <v>24</v>
      </c>
      <c r="C259" s="39" t="s">
        <v>17</v>
      </c>
      <c r="D259" s="18">
        <v>1520.02</v>
      </c>
      <c r="E259" s="23">
        <v>51</v>
      </c>
      <c r="F259" s="27">
        <v>45302</v>
      </c>
      <c r="G259" s="39" t="s">
        <v>22</v>
      </c>
      <c r="H259" s="39" t="s">
        <v>26</v>
      </c>
      <c r="I259" s="2" t="str">
        <f>TEXT(Table2[[#This Row],[Booking_Date]],"mmmm")</f>
        <v>January</v>
      </c>
      <c r="J259" s="6" t="str">
        <f>IF(Table2[[#This Row],[Customer_Age]]&lt;20,"10-19", IF(Table2[[#This Row],[Customer_Age]]&lt;30,"20-29", IF(Table2[[#This Row],[Customer_Age]]&lt;40,"30-39", IF(Table2[[#This Row],[Customer_Age]]&lt;50,"40-49", IF(Table2[[#This Row],[Customer_Age]]&lt;60,"50-59", IF(Table2[[#This Row],[Customer_Age]]&lt;70,"60-69","70+"))))))</f>
        <v>50-59</v>
      </c>
    </row>
    <row r="260" spans="1:10">
      <c r="A260" s="31" t="s">
        <v>295</v>
      </c>
      <c r="B260" s="38" t="s">
        <v>28</v>
      </c>
      <c r="C260" s="39" t="s">
        <v>35</v>
      </c>
      <c r="D260" s="17">
        <v>2409.1999999999998</v>
      </c>
      <c r="E260" s="22">
        <v>19</v>
      </c>
      <c r="F260" s="26">
        <v>45117</v>
      </c>
      <c r="G260" s="38" t="s">
        <v>22</v>
      </c>
      <c r="H260" s="38" t="s">
        <v>45</v>
      </c>
      <c r="I260" s="2" t="str">
        <f>TEXT(Table2[[#This Row],[Booking_Date]],"mmmm")</f>
        <v>July</v>
      </c>
      <c r="J260" s="6" t="str">
        <f>IF(Table2[[#This Row],[Customer_Age]]&lt;20,"10-19", IF(Table2[[#This Row],[Customer_Age]]&lt;30,"20-29", IF(Table2[[#This Row],[Customer_Age]]&lt;40,"30-39", IF(Table2[[#This Row],[Customer_Age]]&lt;50,"40-49", IF(Table2[[#This Row],[Customer_Age]]&lt;60,"50-59", IF(Table2[[#This Row],[Customer_Age]]&lt;70,"60-69","70+"))))))</f>
        <v>10-19</v>
      </c>
    </row>
    <row r="261" spans="1:10">
      <c r="A261" s="32" t="s">
        <v>296</v>
      </c>
      <c r="B261" s="39" t="s">
        <v>16</v>
      </c>
      <c r="C261" s="39" t="s">
        <v>17</v>
      </c>
      <c r="D261" s="18">
        <v>802.09</v>
      </c>
      <c r="E261" s="23">
        <v>34</v>
      </c>
      <c r="F261" s="27">
        <v>45647</v>
      </c>
      <c r="G261" s="39" t="s">
        <v>22</v>
      </c>
      <c r="H261" s="39" t="s">
        <v>18</v>
      </c>
      <c r="I261" s="2" t="str">
        <f>TEXT(Table2[[#This Row],[Booking_Date]],"mmmm")</f>
        <v>December</v>
      </c>
      <c r="J261" s="6" t="str">
        <f>IF(Table2[[#This Row],[Customer_Age]]&lt;20,"10-19", IF(Table2[[#This Row],[Customer_Age]]&lt;30,"20-29", IF(Table2[[#This Row],[Customer_Age]]&lt;40,"30-39", IF(Table2[[#This Row],[Customer_Age]]&lt;50,"40-49", IF(Table2[[#This Row],[Customer_Age]]&lt;60,"50-59", IF(Table2[[#This Row],[Customer_Age]]&lt;70,"60-69","70+"))))))</f>
        <v>30-39</v>
      </c>
    </row>
    <row r="262" spans="1:10">
      <c r="A262" s="31" t="s">
        <v>297</v>
      </c>
      <c r="B262" s="38" t="s">
        <v>34</v>
      </c>
      <c r="C262" s="39" t="s">
        <v>55</v>
      </c>
      <c r="D262" s="17">
        <v>1796.16</v>
      </c>
      <c r="E262" s="22">
        <v>49</v>
      </c>
      <c r="F262" s="26">
        <v>45131</v>
      </c>
      <c r="G262" s="38" t="s">
        <v>13</v>
      </c>
      <c r="H262" s="38" t="s">
        <v>18</v>
      </c>
      <c r="I262" s="2" t="str">
        <f>TEXT(Table2[[#This Row],[Booking_Date]],"mmmm")</f>
        <v>July</v>
      </c>
      <c r="J262" s="6" t="str">
        <f>IF(Table2[[#This Row],[Customer_Age]]&lt;20,"10-19", IF(Table2[[#This Row],[Customer_Age]]&lt;30,"20-29", IF(Table2[[#This Row],[Customer_Age]]&lt;40,"30-39", IF(Table2[[#This Row],[Customer_Age]]&lt;50,"40-49", IF(Table2[[#This Row],[Customer_Age]]&lt;60,"50-59", IF(Table2[[#This Row],[Customer_Age]]&lt;70,"60-69","70+"))))))</f>
        <v>40-49</v>
      </c>
    </row>
    <row r="263" spans="1:10">
      <c r="A263" s="32" t="s">
        <v>298</v>
      </c>
      <c r="B263" s="39" t="s">
        <v>11</v>
      </c>
      <c r="C263" s="39" t="s">
        <v>51</v>
      </c>
      <c r="D263" s="18">
        <v>597.11</v>
      </c>
      <c r="E263" s="23">
        <v>63</v>
      </c>
      <c r="F263" s="27">
        <v>45382</v>
      </c>
      <c r="G263" s="39" t="s">
        <v>13</v>
      </c>
      <c r="H263" s="39" t="s">
        <v>26</v>
      </c>
      <c r="I263" s="2" t="str">
        <f>TEXT(Table2[[#This Row],[Booking_Date]],"mmmm")</f>
        <v>March</v>
      </c>
      <c r="J263" s="6" t="str">
        <f>IF(Table2[[#This Row],[Customer_Age]]&lt;20,"10-19", IF(Table2[[#This Row],[Customer_Age]]&lt;30,"20-29", IF(Table2[[#This Row],[Customer_Age]]&lt;40,"30-39", IF(Table2[[#This Row],[Customer_Age]]&lt;50,"40-49", IF(Table2[[#This Row],[Customer_Age]]&lt;60,"50-59", IF(Table2[[#This Row],[Customer_Age]]&lt;70,"60-69","70+"))))))</f>
        <v>60-69</v>
      </c>
    </row>
    <row r="264" spans="1:10">
      <c r="A264" s="31" t="s">
        <v>299</v>
      </c>
      <c r="B264" s="38" t="s">
        <v>43</v>
      </c>
      <c r="C264" s="39" t="s">
        <v>41</v>
      </c>
      <c r="D264" s="17">
        <v>349.36</v>
      </c>
      <c r="E264" s="22">
        <v>52</v>
      </c>
      <c r="F264" s="26">
        <v>45224</v>
      </c>
      <c r="G264" s="38" t="s">
        <v>22</v>
      </c>
      <c r="H264" s="38" t="s">
        <v>18</v>
      </c>
      <c r="I264" s="2" t="str">
        <f>TEXT(Table2[[#This Row],[Booking_Date]],"mmmm")</f>
        <v>October</v>
      </c>
      <c r="J264" s="6" t="str">
        <f>IF(Table2[[#This Row],[Customer_Age]]&lt;20,"10-19", IF(Table2[[#This Row],[Customer_Age]]&lt;30,"20-29", IF(Table2[[#This Row],[Customer_Age]]&lt;40,"30-39", IF(Table2[[#This Row],[Customer_Age]]&lt;50,"40-49", IF(Table2[[#This Row],[Customer_Age]]&lt;60,"50-59", IF(Table2[[#This Row],[Customer_Age]]&lt;70,"60-69","70+"))))))</f>
        <v>50-59</v>
      </c>
    </row>
    <row r="265" spans="1:10">
      <c r="A265" s="32" t="s">
        <v>300</v>
      </c>
      <c r="B265" s="39" t="s">
        <v>38</v>
      </c>
      <c r="C265" s="39" t="s">
        <v>39</v>
      </c>
      <c r="D265" s="18">
        <v>1370.14</v>
      </c>
      <c r="E265" s="23">
        <v>25</v>
      </c>
      <c r="F265" s="27">
        <v>45132</v>
      </c>
      <c r="G265" s="39" t="s">
        <v>13</v>
      </c>
      <c r="H265" s="39" t="s">
        <v>18</v>
      </c>
      <c r="I265" s="2" t="str">
        <f>TEXT(Table2[[#This Row],[Booking_Date]],"mmmm")</f>
        <v>July</v>
      </c>
      <c r="J265" s="6" t="str">
        <f>IF(Table2[[#This Row],[Customer_Age]]&lt;20,"10-19", IF(Table2[[#This Row],[Customer_Age]]&lt;30,"20-29", IF(Table2[[#This Row],[Customer_Age]]&lt;40,"30-39", IF(Table2[[#This Row],[Customer_Age]]&lt;50,"40-49", IF(Table2[[#This Row],[Customer_Age]]&lt;60,"50-59", IF(Table2[[#This Row],[Customer_Age]]&lt;70,"60-69","70+"))))))</f>
        <v>20-29</v>
      </c>
    </row>
    <row r="266" spans="1:10">
      <c r="A266" s="31" t="s">
        <v>301</v>
      </c>
      <c r="B266" s="38" t="s">
        <v>24</v>
      </c>
      <c r="C266" s="39" t="s">
        <v>12</v>
      </c>
      <c r="D266" s="17">
        <v>1030.06</v>
      </c>
      <c r="E266" s="22">
        <v>54</v>
      </c>
      <c r="F266" s="26">
        <v>45304</v>
      </c>
      <c r="G266" s="38" t="s">
        <v>22</v>
      </c>
      <c r="H266" s="38" t="s">
        <v>18</v>
      </c>
      <c r="I266" s="2" t="str">
        <f>TEXT(Table2[[#This Row],[Booking_Date]],"mmmm")</f>
        <v>January</v>
      </c>
      <c r="J266" s="6" t="str">
        <f>IF(Table2[[#This Row],[Customer_Age]]&lt;20,"10-19", IF(Table2[[#This Row],[Customer_Age]]&lt;30,"20-29", IF(Table2[[#This Row],[Customer_Age]]&lt;40,"30-39", IF(Table2[[#This Row],[Customer_Age]]&lt;50,"40-49", IF(Table2[[#This Row],[Customer_Age]]&lt;60,"50-59", IF(Table2[[#This Row],[Customer_Age]]&lt;70,"60-69","70+"))))))</f>
        <v>50-59</v>
      </c>
    </row>
    <row r="267" spans="1:10">
      <c r="A267" s="32" t="s">
        <v>302</v>
      </c>
      <c r="B267" s="39" t="s">
        <v>34</v>
      </c>
      <c r="C267" s="39" t="s">
        <v>17</v>
      </c>
      <c r="D267" s="18">
        <v>351.22</v>
      </c>
      <c r="E267" s="23">
        <v>43</v>
      </c>
      <c r="F267" s="27">
        <v>45417</v>
      </c>
      <c r="G267" s="39" t="s">
        <v>22</v>
      </c>
      <c r="H267" s="39" t="s">
        <v>45</v>
      </c>
      <c r="I267" s="2" t="str">
        <f>TEXT(Table2[[#This Row],[Booking_Date]],"mmmm")</f>
        <v>May</v>
      </c>
      <c r="J267" s="6" t="str">
        <f>IF(Table2[[#This Row],[Customer_Age]]&lt;20,"10-19", IF(Table2[[#This Row],[Customer_Age]]&lt;30,"20-29", IF(Table2[[#This Row],[Customer_Age]]&lt;40,"30-39", IF(Table2[[#This Row],[Customer_Age]]&lt;50,"40-49", IF(Table2[[#This Row],[Customer_Age]]&lt;60,"50-59", IF(Table2[[#This Row],[Customer_Age]]&lt;70,"60-69","70+"))))))</f>
        <v>40-49</v>
      </c>
    </row>
    <row r="268" spans="1:10">
      <c r="A268" s="31" t="s">
        <v>303</v>
      </c>
      <c r="B268" s="38" t="s">
        <v>34</v>
      </c>
      <c r="C268" s="39" t="s">
        <v>17</v>
      </c>
      <c r="D268" s="17">
        <v>488.25</v>
      </c>
      <c r="E268" s="22">
        <v>38</v>
      </c>
      <c r="F268" s="26">
        <v>45584</v>
      </c>
      <c r="G268" s="38" t="s">
        <v>13</v>
      </c>
      <c r="H268" s="38" t="s">
        <v>45</v>
      </c>
      <c r="I268" s="2" t="str">
        <f>TEXT(Table2[[#This Row],[Booking_Date]],"mmmm")</f>
        <v>October</v>
      </c>
      <c r="J268" s="6" t="str">
        <f>IF(Table2[[#This Row],[Customer_Age]]&lt;20,"10-19", IF(Table2[[#This Row],[Customer_Age]]&lt;30,"20-29", IF(Table2[[#This Row],[Customer_Age]]&lt;40,"30-39", IF(Table2[[#This Row],[Customer_Age]]&lt;50,"40-49", IF(Table2[[#This Row],[Customer_Age]]&lt;60,"50-59", IF(Table2[[#This Row],[Customer_Age]]&lt;70,"60-69","70+"))))))</f>
        <v>30-39</v>
      </c>
    </row>
    <row r="269" spans="1:10">
      <c r="A269" s="32" t="s">
        <v>304</v>
      </c>
      <c r="B269" s="39" t="s">
        <v>24</v>
      </c>
      <c r="C269" s="39" t="s">
        <v>47</v>
      </c>
      <c r="D269" s="18">
        <v>1389.93</v>
      </c>
      <c r="E269" s="23">
        <v>26</v>
      </c>
      <c r="F269" s="27">
        <v>45491</v>
      </c>
      <c r="G269" s="39" t="s">
        <v>13</v>
      </c>
      <c r="H269" s="39" t="s">
        <v>18</v>
      </c>
      <c r="I269" s="2" t="str">
        <f>TEXT(Table2[[#This Row],[Booking_Date]],"mmmm")</f>
        <v>July</v>
      </c>
      <c r="J269" s="6" t="str">
        <f>IF(Table2[[#This Row],[Customer_Age]]&lt;20,"10-19", IF(Table2[[#This Row],[Customer_Age]]&lt;30,"20-29", IF(Table2[[#This Row],[Customer_Age]]&lt;40,"30-39", IF(Table2[[#This Row],[Customer_Age]]&lt;50,"40-49", IF(Table2[[#This Row],[Customer_Age]]&lt;60,"50-59", IF(Table2[[#This Row],[Customer_Age]]&lt;70,"60-69","70+"))))))</f>
        <v>20-29</v>
      </c>
    </row>
    <row r="270" spans="1:10">
      <c r="A270" s="31" t="s">
        <v>305</v>
      </c>
      <c r="B270" s="38" t="s">
        <v>31</v>
      </c>
      <c r="C270" s="39" t="s">
        <v>21</v>
      </c>
      <c r="D270" s="17">
        <v>2294.64</v>
      </c>
      <c r="E270" s="22">
        <v>21</v>
      </c>
      <c r="F270" s="26">
        <v>45054</v>
      </c>
      <c r="G270" s="38" t="s">
        <v>13</v>
      </c>
      <c r="H270" s="38" t="s">
        <v>26</v>
      </c>
      <c r="I270" s="2" t="str">
        <f>TEXT(Table2[[#This Row],[Booking_Date]],"mmmm")</f>
        <v>May</v>
      </c>
      <c r="J270" s="6" t="str">
        <f>IF(Table2[[#This Row],[Customer_Age]]&lt;20,"10-19", IF(Table2[[#This Row],[Customer_Age]]&lt;30,"20-29", IF(Table2[[#This Row],[Customer_Age]]&lt;40,"30-39", IF(Table2[[#This Row],[Customer_Age]]&lt;50,"40-49", IF(Table2[[#This Row],[Customer_Age]]&lt;60,"50-59", IF(Table2[[#This Row],[Customer_Age]]&lt;70,"60-69","70+"))))))</f>
        <v>20-29</v>
      </c>
    </row>
    <row r="271" spans="1:10">
      <c r="A271" s="32" t="s">
        <v>306</v>
      </c>
      <c r="B271" s="39" t="s">
        <v>38</v>
      </c>
      <c r="C271" s="39" t="s">
        <v>29</v>
      </c>
      <c r="D271" s="18">
        <v>942.12</v>
      </c>
      <c r="E271" s="23">
        <v>63</v>
      </c>
      <c r="F271" s="27">
        <v>45157</v>
      </c>
      <c r="G271" s="39" t="s">
        <v>22</v>
      </c>
      <c r="H271" s="39" t="s">
        <v>26</v>
      </c>
      <c r="I271" s="2" t="str">
        <f>TEXT(Table2[[#This Row],[Booking_Date]],"mmmm")</f>
        <v>August</v>
      </c>
      <c r="J271" s="6" t="str">
        <f>IF(Table2[[#This Row],[Customer_Age]]&lt;20,"10-19", IF(Table2[[#This Row],[Customer_Age]]&lt;30,"20-29", IF(Table2[[#This Row],[Customer_Age]]&lt;40,"30-39", IF(Table2[[#This Row],[Customer_Age]]&lt;50,"40-49", IF(Table2[[#This Row],[Customer_Age]]&lt;60,"50-59", IF(Table2[[#This Row],[Customer_Age]]&lt;70,"60-69","70+"))))))</f>
        <v>60-69</v>
      </c>
    </row>
    <row r="272" spans="1:10">
      <c r="A272" s="31" t="s">
        <v>307</v>
      </c>
      <c r="B272" s="38" t="s">
        <v>11</v>
      </c>
      <c r="C272" s="39" t="s">
        <v>55</v>
      </c>
      <c r="D272" s="17">
        <v>651.49</v>
      </c>
      <c r="E272" s="22">
        <v>53</v>
      </c>
      <c r="F272" s="26">
        <v>45208</v>
      </c>
      <c r="G272" s="38" t="s">
        <v>13</v>
      </c>
      <c r="H272" s="38" t="s">
        <v>26</v>
      </c>
      <c r="I272" s="2" t="str">
        <f>TEXT(Table2[[#This Row],[Booking_Date]],"mmmm")</f>
        <v>October</v>
      </c>
      <c r="J272" s="6" t="str">
        <f>IF(Table2[[#This Row],[Customer_Age]]&lt;20,"10-19", IF(Table2[[#This Row],[Customer_Age]]&lt;30,"20-29", IF(Table2[[#This Row],[Customer_Age]]&lt;40,"30-39", IF(Table2[[#This Row],[Customer_Age]]&lt;50,"40-49", IF(Table2[[#This Row],[Customer_Age]]&lt;60,"50-59", IF(Table2[[#This Row],[Customer_Age]]&lt;70,"60-69","70+"))))))</f>
        <v>50-59</v>
      </c>
    </row>
    <row r="273" spans="1:10">
      <c r="A273" s="32" t="s">
        <v>308</v>
      </c>
      <c r="B273" s="39" t="s">
        <v>34</v>
      </c>
      <c r="C273" s="39" t="s">
        <v>21</v>
      </c>
      <c r="D273" s="18">
        <v>414.89</v>
      </c>
      <c r="E273" s="23">
        <v>59</v>
      </c>
      <c r="F273" s="27">
        <v>45099</v>
      </c>
      <c r="G273" s="39" t="s">
        <v>13</v>
      </c>
      <c r="H273" s="39" t="s">
        <v>18</v>
      </c>
      <c r="I273" s="2" t="str">
        <f>TEXT(Table2[[#This Row],[Booking_Date]],"mmmm")</f>
        <v>June</v>
      </c>
      <c r="J273" s="6" t="str">
        <f>IF(Table2[[#This Row],[Customer_Age]]&lt;20,"10-19", IF(Table2[[#This Row],[Customer_Age]]&lt;30,"20-29", IF(Table2[[#This Row],[Customer_Age]]&lt;40,"30-39", IF(Table2[[#This Row],[Customer_Age]]&lt;50,"40-49", IF(Table2[[#This Row],[Customer_Age]]&lt;60,"50-59", IF(Table2[[#This Row],[Customer_Age]]&lt;70,"60-69","70+"))))))</f>
        <v>50-59</v>
      </c>
    </row>
    <row r="274" spans="1:10">
      <c r="A274" s="31" t="s">
        <v>309</v>
      </c>
      <c r="B274" s="38" t="s">
        <v>34</v>
      </c>
      <c r="C274" s="39" t="s">
        <v>41</v>
      </c>
      <c r="D274" s="17">
        <v>2274.6</v>
      </c>
      <c r="E274" s="22">
        <v>39</v>
      </c>
      <c r="F274" s="26">
        <v>45504</v>
      </c>
      <c r="G274" s="38" t="s">
        <v>13</v>
      </c>
      <c r="H274" s="38" t="s">
        <v>14</v>
      </c>
      <c r="I274" s="2" t="str">
        <f>TEXT(Table2[[#This Row],[Booking_Date]],"mmmm")</f>
        <v>July</v>
      </c>
      <c r="J274" s="6" t="str">
        <f>IF(Table2[[#This Row],[Customer_Age]]&lt;20,"10-19", IF(Table2[[#This Row],[Customer_Age]]&lt;30,"20-29", IF(Table2[[#This Row],[Customer_Age]]&lt;40,"30-39", IF(Table2[[#This Row],[Customer_Age]]&lt;50,"40-49", IF(Table2[[#This Row],[Customer_Age]]&lt;60,"50-59", IF(Table2[[#This Row],[Customer_Age]]&lt;70,"60-69","70+"))))))</f>
        <v>30-39</v>
      </c>
    </row>
    <row r="275" spans="1:10">
      <c r="A275" s="32" t="s">
        <v>310</v>
      </c>
      <c r="B275" s="39" t="s">
        <v>11</v>
      </c>
      <c r="C275" s="39" t="s">
        <v>12</v>
      </c>
      <c r="D275" s="18">
        <v>2381.66</v>
      </c>
      <c r="E275" s="23">
        <v>67</v>
      </c>
      <c r="F275" s="27">
        <v>45517</v>
      </c>
      <c r="G275" s="39" t="s">
        <v>22</v>
      </c>
      <c r="H275" s="39" t="s">
        <v>18</v>
      </c>
      <c r="I275" s="2" t="str">
        <f>TEXT(Table2[[#This Row],[Booking_Date]],"mmmm")</f>
        <v>August</v>
      </c>
      <c r="J275" s="6" t="str">
        <f>IF(Table2[[#This Row],[Customer_Age]]&lt;20,"10-19", IF(Table2[[#This Row],[Customer_Age]]&lt;30,"20-29", IF(Table2[[#This Row],[Customer_Age]]&lt;40,"30-39", IF(Table2[[#This Row],[Customer_Age]]&lt;50,"40-49", IF(Table2[[#This Row],[Customer_Age]]&lt;60,"50-59", IF(Table2[[#This Row],[Customer_Age]]&lt;70,"60-69","70+"))))))</f>
        <v>60-69</v>
      </c>
    </row>
    <row r="276" spans="1:10">
      <c r="A276" s="31" t="s">
        <v>311</v>
      </c>
      <c r="B276" s="38" t="s">
        <v>34</v>
      </c>
      <c r="C276" s="39" t="s">
        <v>49</v>
      </c>
      <c r="D276" s="17">
        <v>1621.65</v>
      </c>
      <c r="E276" s="22">
        <v>19</v>
      </c>
      <c r="F276" s="26">
        <v>45436</v>
      </c>
      <c r="G276" s="38" t="s">
        <v>22</v>
      </c>
      <c r="H276" s="38" t="s">
        <v>26</v>
      </c>
      <c r="I276" s="2" t="str">
        <f>TEXT(Table2[[#This Row],[Booking_Date]],"mmmm")</f>
        <v>May</v>
      </c>
      <c r="J276" s="6" t="str">
        <f>IF(Table2[[#This Row],[Customer_Age]]&lt;20,"10-19", IF(Table2[[#This Row],[Customer_Age]]&lt;30,"20-29", IF(Table2[[#This Row],[Customer_Age]]&lt;40,"30-39", IF(Table2[[#This Row],[Customer_Age]]&lt;50,"40-49", IF(Table2[[#This Row],[Customer_Age]]&lt;60,"50-59", IF(Table2[[#This Row],[Customer_Age]]&lt;70,"60-69","70+"))))))</f>
        <v>10-19</v>
      </c>
    </row>
    <row r="277" spans="1:10">
      <c r="A277" s="32" t="s">
        <v>312</v>
      </c>
      <c r="B277" s="39" t="s">
        <v>24</v>
      </c>
      <c r="C277" s="39" t="s">
        <v>35</v>
      </c>
      <c r="D277" s="18">
        <v>2050.7800000000002</v>
      </c>
      <c r="E277" s="23">
        <v>61</v>
      </c>
      <c r="F277" s="27">
        <v>45342</v>
      </c>
      <c r="G277" s="39" t="s">
        <v>22</v>
      </c>
      <c r="H277" s="39" t="s">
        <v>45</v>
      </c>
      <c r="I277" s="2" t="str">
        <f>TEXT(Table2[[#This Row],[Booking_Date]],"mmmm")</f>
        <v>February</v>
      </c>
      <c r="J277" s="6" t="str">
        <f>IF(Table2[[#This Row],[Customer_Age]]&lt;20,"10-19", IF(Table2[[#This Row],[Customer_Age]]&lt;30,"20-29", IF(Table2[[#This Row],[Customer_Age]]&lt;40,"30-39", IF(Table2[[#This Row],[Customer_Age]]&lt;50,"40-49", IF(Table2[[#This Row],[Customer_Age]]&lt;60,"50-59", IF(Table2[[#This Row],[Customer_Age]]&lt;70,"60-69","70+"))))))</f>
        <v>60-69</v>
      </c>
    </row>
    <row r="278" spans="1:10">
      <c r="A278" s="31" t="s">
        <v>313</v>
      </c>
      <c r="B278" s="38" t="s">
        <v>11</v>
      </c>
      <c r="C278" s="39" t="s">
        <v>41</v>
      </c>
      <c r="D278" s="17">
        <v>337.8</v>
      </c>
      <c r="E278" s="22">
        <v>46</v>
      </c>
      <c r="F278" s="26">
        <v>45352</v>
      </c>
      <c r="G278" s="38" t="s">
        <v>22</v>
      </c>
      <c r="H278" s="38" t="s">
        <v>45</v>
      </c>
      <c r="I278" s="2" t="str">
        <f>TEXT(Table2[[#This Row],[Booking_Date]],"mmmm")</f>
        <v>March</v>
      </c>
      <c r="J278" s="6" t="str">
        <f>IF(Table2[[#This Row],[Customer_Age]]&lt;20,"10-19", IF(Table2[[#This Row],[Customer_Age]]&lt;30,"20-29", IF(Table2[[#This Row],[Customer_Age]]&lt;40,"30-39", IF(Table2[[#This Row],[Customer_Age]]&lt;50,"40-49", IF(Table2[[#This Row],[Customer_Age]]&lt;60,"50-59", IF(Table2[[#This Row],[Customer_Age]]&lt;70,"60-69","70+"))))))</f>
        <v>40-49</v>
      </c>
    </row>
    <row r="279" spans="1:10">
      <c r="A279" s="32" t="s">
        <v>314</v>
      </c>
      <c r="B279" s="39" t="s">
        <v>38</v>
      </c>
      <c r="C279" s="39" t="s">
        <v>39</v>
      </c>
      <c r="D279" s="18">
        <v>1384.45</v>
      </c>
      <c r="E279" s="23">
        <v>24</v>
      </c>
      <c r="F279" s="27">
        <v>45253</v>
      </c>
      <c r="G279" s="39" t="s">
        <v>13</v>
      </c>
      <c r="H279" s="39" t="s">
        <v>45</v>
      </c>
      <c r="I279" s="2" t="str">
        <f>TEXT(Table2[[#This Row],[Booking_Date]],"mmmm")</f>
        <v>November</v>
      </c>
      <c r="J279" s="6" t="str">
        <f>IF(Table2[[#This Row],[Customer_Age]]&lt;20,"10-19", IF(Table2[[#This Row],[Customer_Age]]&lt;30,"20-29", IF(Table2[[#This Row],[Customer_Age]]&lt;40,"30-39", IF(Table2[[#This Row],[Customer_Age]]&lt;50,"40-49", IF(Table2[[#This Row],[Customer_Age]]&lt;60,"50-59", IF(Table2[[#This Row],[Customer_Age]]&lt;70,"60-69","70+"))))))</f>
        <v>20-29</v>
      </c>
    </row>
    <row r="280" spans="1:10">
      <c r="A280" s="31" t="s">
        <v>315</v>
      </c>
      <c r="B280" s="38" t="s">
        <v>11</v>
      </c>
      <c r="C280" s="39" t="s">
        <v>55</v>
      </c>
      <c r="D280" s="17">
        <v>1234.07</v>
      </c>
      <c r="E280" s="22">
        <v>27</v>
      </c>
      <c r="F280" s="26">
        <v>45026</v>
      </c>
      <c r="G280" s="38" t="s">
        <v>13</v>
      </c>
      <c r="H280" s="38" t="s">
        <v>26</v>
      </c>
      <c r="I280" s="2" t="str">
        <f>TEXT(Table2[[#This Row],[Booking_Date]],"mmmm")</f>
        <v>April</v>
      </c>
      <c r="J280" s="6" t="str">
        <f>IF(Table2[[#This Row],[Customer_Age]]&lt;20,"10-19", IF(Table2[[#This Row],[Customer_Age]]&lt;30,"20-29", IF(Table2[[#This Row],[Customer_Age]]&lt;40,"30-39", IF(Table2[[#This Row],[Customer_Age]]&lt;50,"40-49", IF(Table2[[#This Row],[Customer_Age]]&lt;60,"50-59", IF(Table2[[#This Row],[Customer_Age]]&lt;70,"60-69","70+"))))))</f>
        <v>20-29</v>
      </c>
    </row>
    <row r="281" spans="1:10">
      <c r="A281" s="32" t="s">
        <v>316</v>
      </c>
      <c r="B281" s="39" t="s">
        <v>38</v>
      </c>
      <c r="C281" s="39" t="s">
        <v>51</v>
      </c>
      <c r="D281" s="18">
        <v>2490.73</v>
      </c>
      <c r="E281" s="23">
        <v>47</v>
      </c>
      <c r="F281" s="27">
        <v>45437</v>
      </c>
      <c r="G281" s="39" t="s">
        <v>22</v>
      </c>
      <c r="H281" s="39" t="s">
        <v>45</v>
      </c>
      <c r="I281" s="2" t="str">
        <f>TEXT(Table2[[#This Row],[Booking_Date]],"mmmm")</f>
        <v>May</v>
      </c>
      <c r="J281" s="6" t="str">
        <f>IF(Table2[[#This Row],[Customer_Age]]&lt;20,"10-19", IF(Table2[[#This Row],[Customer_Age]]&lt;30,"20-29", IF(Table2[[#This Row],[Customer_Age]]&lt;40,"30-39", IF(Table2[[#This Row],[Customer_Age]]&lt;50,"40-49", IF(Table2[[#This Row],[Customer_Age]]&lt;60,"50-59", IF(Table2[[#This Row],[Customer_Age]]&lt;70,"60-69","70+"))))))</f>
        <v>40-49</v>
      </c>
    </row>
    <row r="282" spans="1:10">
      <c r="A282" s="31" t="s">
        <v>317</v>
      </c>
      <c r="B282" s="38" t="s">
        <v>69</v>
      </c>
      <c r="C282" s="39" t="s">
        <v>17</v>
      </c>
      <c r="D282" s="17">
        <v>2374.04</v>
      </c>
      <c r="E282" s="22">
        <v>50</v>
      </c>
      <c r="F282" s="26">
        <v>45395</v>
      </c>
      <c r="G282" s="38" t="s">
        <v>13</v>
      </c>
      <c r="H282" s="38" t="s">
        <v>18</v>
      </c>
      <c r="I282" s="2" t="str">
        <f>TEXT(Table2[[#This Row],[Booking_Date]],"mmmm")</f>
        <v>April</v>
      </c>
      <c r="J282" s="6" t="str">
        <f>IF(Table2[[#This Row],[Customer_Age]]&lt;20,"10-19", IF(Table2[[#This Row],[Customer_Age]]&lt;30,"20-29", IF(Table2[[#This Row],[Customer_Age]]&lt;40,"30-39", IF(Table2[[#This Row],[Customer_Age]]&lt;50,"40-49", IF(Table2[[#This Row],[Customer_Age]]&lt;60,"50-59", IF(Table2[[#This Row],[Customer_Age]]&lt;70,"60-69","70+"))))))</f>
        <v>50-59</v>
      </c>
    </row>
    <row r="283" spans="1:10">
      <c r="A283" s="32" t="s">
        <v>318</v>
      </c>
      <c r="B283" s="39" t="s">
        <v>34</v>
      </c>
      <c r="C283" s="39" t="s">
        <v>39</v>
      </c>
      <c r="D283" s="18">
        <v>311.91000000000003</v>
      </c>
      <c r="E283" s="23">
        <v>36</v>
      </c>
      <c r="F283" s="27">
        <v>45433</v>
      </c>
      <c r="G283" s="39" t="s">
        <v>22</v>
      </c>
      <c r="H283" s="39" t="s">
        <v>26</v>
      </c>
      <c r="I283" s="2" t="str">
        <f>TEXT(Table2[[#This Row],[Booking_Date]],"mmmm")</f>
        <v>May</v>
      </c>
      <c r="J283" s="6" t="str">
        <f>IF(Table2[[#This Row],[Customer_Age]]&lt;20,"10-19", IF(Table2[[#This Row],[Customer_Age]]&lt;30,"20-29", IF(Table2[[#This Row],[Customer_Age]]&lt;40,"30-39", IF(Table2[[#This Row],[Customer_Age]]&lt;50,"40-49", IF(Table2[[#This Row],[Customer_Age]]&lt;60,"50-59", IF(Table2[[#This Row],[Customer_Age]]&lt;70,"60-69","70+"))))))</f>
        <v>30-39</v>
      </c>
    </row>
    <row r="284" spans="1:10">
      <c r="A284" s="31" t="s">
        <v>319</v>
      </c>
      <c r="B284" s="38" t="s">
        <v>16</v>
      </c>
      <c r="C284" s="39" t="s">
        <v>12</v>
      </c>
      <c r="D284" s="17">
        <v>2148.5</v>
      </c>
      <c r="E284" s="22">
        <v>45</v>
      </c>
      <c r="F284" s="26">
        <v>45064</v>
      </c>
      <c r="G284" s="38" t="s">
        <v>22</v>
      </c>
      <c r="H284" s="38" t="s">
        <v>26</v>
      </c>
      <c r="I284" s="2" t="str">
        <f>TEXT(Table2[[#This Row],[Booking_Date]],"mmmm")</f>
        <v>May</v>
      </c>
      <c r="J284" s="6" t="str">
        <f>IF(Table2[[#This Row],[Customer_Age]]&lt;20,"10-19", IF(Table2[[#This Row],[Customer_Age]]&lt;30,"20-29", IF(Table2[[#This Row],[Customer_Age]]&lt;40,"30-39", IF(Table2[[#This Row],[Customer_Age]]&lt;50,"40-49", IF(Table2[[#This Row],[Customer_Age]]&lt;60,"50-59", IF(Table2[[#This Row],[Customer_Age]]&lt;70,"60-69","70+"))))))</f>
        <v>40-49</v>
      </c>
    </row>
    <row r="285" spans="1:10">
      <c r="A285" s="32" t="s">
        <v>320</v>
      </c>
      <c r="B285" s="39" t="s">
        <v>31</v>
      </c>
      <c r="C285" s="39" t="s">
        <v>39</v>
      </c>
      <c r="D285" s="18">
        <v>304.06</v>
      </c>
      <c r="E285" s="23">
        <v>21</v>
      </c>
      <c r="F285" s="27">
        <v>45510</v>
      </c>
      <c r="G285" s="39" t="s">
        <v>13</v>
      </c>
      <c r="H285" s="39" t="s">
        <v>26</v>
      </c>
      <c r="I285" s="2" t="str">
        <f>TEXT(Table2[[#This Row],[Booking_Date]],"mmmm")</f>
        <v>August</v>
      </c>
      <c r="J285" s="6" t="str">
        <f>IF(Table2[[#This Row],[Customer_Age]]&lt;20,"10-19", IF(Table2[[#This Row],[Customer_Age]]&lt;30,"20-29", IF(Table2[[#This Row],[Customer_Age]]&lt;40,"30-39", IF(Table2[[#This Row],[Customer_Age]]&lt;50,"40-49", IF(Table2[[#This Row],[Customer_Age]]&lt;60,"50-59", IF(Table2[[#This Row],[Customer_Age]]&lt;70,"60-69","70+"))))))</f>
        <v>20-29</v>
      </c>
    </row>
    <row r="286" spans="1:10">
      <c r="A286" s="31" t="s">
        <v>321</v>
      </c>
      <c r="B286" s="38" t="s">
        <v>16</v>
      </c>
      <c r="C286" s="39" t="s">
        <v>55</v>
      </c>
      <c r="D286" s="17">
        <v>369.12</v>
      </c>
      <c r="E286" s="22">
        <v>50</v>
      </c>
      <c r="F286" s="26">
        <v>45388</v>
      </c>
      <c r="G286" s="38" t="s">
        <v>22</v>
      </c>
      <c r="H286" s="38" t="s">
        <v>14</v>
      </c>
      <c r="I286" s="2" t="str">
        <f>TEXT(Table2[[#This Row],[Booking_Date]],"mmmm")</f>
        <v>April</v>
      </c>
      <c r="J286" s="6" t="str">
        <f>IF(Table2[[#This Row],[Customer_Age]]&lt;20,"10-19", IF(Table2[[#This Row],[Customer_Age]]&lt;30,"20-29", IF(Table2[[#This Row],[Customer_Age]]&lt;40,"30-39", IF(Table2[[#This Row],[Customer_Age]]&lt;50,"40-49", IF(Table2[[#This Row],[Customer_Age]]&lt;60,"50-59", IF(Table2[[#This Row],[Customer_Age]]&lt;70,"60-69","70+"))))))</f>
        <v>50-59</v>
      </c>
    </row>
    <row r="287" spans="1:10">
      <c r="A287" s="32" t="s">
        <v>322</v>
      </c>
      <c r="B287" s="39" t="s">
        <v>38</v>
      </c>
      <c r="C287" s="39" t="s">
        <v>17</v>
      </c>
      <c r="D287" s="18">
        <v>1105.98</v>
      </c>
      <c r="E287" s="23">
        <v>68</v>
      </c>
      <c r="F287" s="27">
        <v>45274</v>
      </c>
      <c r="G287" s="39" t="s">
        <v>22</v>
      </c>
      <c r="H287" s="39" t="s">
        <v>18</v>
      </c>
      <c r="I287" s="2" t="str">
        <f>TEXT(Table2[[#This Row],[Booking_Date]],"mmmm")</f>
        <v>December</v>
      </c>
      <c r="J287" s="6" t="str">
        <f>IF(Table2[[#This Row],[Customer_Age]]&lt;20,"10-19", IF(Table2[[#This Row],[Customer_Age]]&lt;30,"20-29", IF(Table2[[#This Row],[Customer_Age]]&lt;40,"30-39", IF(Table2[[#This Row],[Customer_Age]]&lt;50,"40-49", IF(Table2[[#This Row],[Customer_Age]]&lt;60,"50-59", IF(Table2[[#This Row],[Customer_Age]]&lt;70,"60-69","70+"))))))</f>
        <v>60-69</v>
      </c>
    </row>
    <row r="288" spans="1:10">
      <c r="A288" s="31" t="s">
        <v>323</v>
      </c>
      <c r="B288" s="38" t="s">
        <v>20</v>
      </c>
      <c r="C288" s="39" t="s">
        <v>25</v>
      </c>
      <c r="D288" s="17">
        <v>1370.98</v>
      </c>
      <c r="E288" s="22">
        <v>50</v>
      </c>
      <c r="F288" s="26">
        <v>44968</v>
      </c>
      <c r="G288" s="38" t="s">
        <v>13</v>
      </c>
      <c r="H288" s="38" t="s">
        <v>14</v>
      </c>
      <c r="I288" s="2" t="str">
        <f>TEXT(Table2[[#This Row],[Booking_Date]],"mmmm")</f>
        <v>February</v>
      </c>
      <c r="J288" s="6" t="str">
        <f>IF(Table2[[#This Row],[Customer_Age]]&lt;20,"10-19", IF(Table2[[#This Row],[Customer_Age]]&lt;30,"20-29", IF(Table2[[#This Row],[Customer_Age]]&lt;40,"30-39", IF(Table2[[#This Row],[Customer_Age]]&lt;50,"40-49", IF(Table2[[#This Row],[Customer_Age]]&lt;60,"50-59", IF(Table2[[#This Row],[Customer_Age]]&lt;70,"60-69","70+"))))))</f>
        <v>50-59</v>
      </c>
    </row>
    <row r="289" spans="1:10">
      <c r="A289" s="32" t="s">
        <v>324</v>
      </c>
      <c r="B289" s="39" t="s">
        <v>38</v>
      </c>
      <c r="C289" s="39" t="s">
        <v>41</v>
      </c>
      <c r="D289" s="18">
        <v>965.99</v>
      </c>
      <c r="E289" s="23">
        <v>48</v>
      </c>
      <c r="F289" s="27">
        <v>45458</v>
      </c>
      <c r="G289" s="39" t="s">
        <v>22</v>
      </c>
      <c r="H289" s="39" t="s">
        <v>18</v>
      </c>
      <c r="I289" s="2" t="str">
        <f>TEXT(Table2[[#This Row],[Booking_Date]],"mmmm")</f>
        <v>June</v>
      </c>
      <c r="J289" s="6" t="str">
        <f>IF(Table2[[#This Row],[Customer_Age]]&lt;20,"10-19", IF(Table2[[#This Row],[Customer_Age]]&lt;30,"20-29", IF(Table2[[#This Row],[Customer_Age]]&lt;40,"30-39", IF(Table2[[#This Row],[Customer_Age]]&lt;50,"40-49", IF(Table2[[#This Row],[Customer_Age]]&lt;60,"50-59", IF(Table2[[#This Row],[Customer_Age]]&lt;70,"60-69","70+"))))))</f>
        <v>40-49</v>
      </c>
    </row>
    <row r="290" spans="1:10">
      <c r="A290" s="31" t="s">
        <v>325</v>
      </c>
      <c r="B290" s="38" t="s">
        <v>34</v>
      </c>
      <c r="C290" s="39" t="s">
        <v>21</v>
      </c>
      <c r="D290" s="17">
        <v>521.5</v>
      </c>
      <c r="E290" s="22">
        <v>57</v>
      </c>
      <c r="F290" s="26">
        <v>45253</v>
      </c>
      <c r="G290" s="38" t="s">
        <v>13</v>
      </c>
      <c r="H290" s="38" t="s">
        <v>45</v>
      </c>
      <c r="I290" s="2" t="str">
        <f>TEXT(Table2[[#This Row],[Booking_Date]],"mmmm")</f>
        <v>November</v>
      </c>
      <c r="J290" s="6" t="str">
        <f>IF(Table2[[#This Row],[Customer_Age]]&lt;20,"10-19", IF(Table2[[#This Row],[Customer_Age]]&lt;30,"20-29", IF(Table2[[#This Row],[Customer_Age]]&lt;40,"30-39", IF(Table2[[#This Row],[Customer_Age]]&lt;50,"40-49", IF(Table2[[#This Row],[Customer_Age]]&lt;60,"50-59", IF(Table2[[#This Row],[Customer_Age]]&lt;70,"60-69","70+"))))))</f>
        <v>50-59</v>
      </c>
    </row>
    <row r="291" spans="1:10">
      <c r="A291" s="32" t="s">
        <v>326</v>
      </c>
      <c r="B291" s="39" t="s">
        <v>34</v>
      </c>
      <c r="C291" s="39" t="s">
        <v>41</v>
      </c>
      <c r="D291" s="18">
        <v>2137.98</v>
      </c>
      <c r="E291" s="23">
        <v>55</v>
      </c>
      <c r="F291" s="27">
        <v>45271</v>
      </c>
      <c r="G291" s="39" t="s">
        <v>22</v>
      </c>
      <c r="H291" s="39" t="s">
        <v>26</v>
      </c>
      <c r="I291" s="2" t="str">
        <f>TEXT(Table2[[#This Row],[Booking_Date]],"mmmm")</f>
        <v>December</v>
      </c>
      <c r="J291" s="6" t="str">
        <f>IF(Table2[[#This Row],[Customer_Age]]&lt;20,"10-19", IF(Table2[[#This Row],[Customer_Age]]&lt;30,"20-29", IF(Table2[[#This Row],[Customer_Age]]&lt;40,"30-39", IF(Table2[[#This Row],[Customer_Age]]&lt;50,"40-49", IF(Table2[[#This Row],[Customer_Age]]&lt;60,"50-59", IF(Table2[[#This Row],[Customer_Age]]&lt;70,"60-69","70+"))))))</f>
        <v>50-59</v>
      </c>
    </row>
    <row r="292" spans="1:10">
      <c r="A292" s="31" t="s">
        <v>327</v>
      </c>
      <c r="B292" s="38" t="s">
        <v>24</v>
      </c>
      <c r="C292" s="39" t="s">
        <v>12</v>
      </c>
      <c r="D292" s="17">
        <v>1047.22</v>
      </c>
      <c r="E292" s="22">
        <v>61</v>
      </c>
      <c r="F292" s="26">
        <v>45039</v>
      </c>
      <c r="G292" s="38" t="s">
        <v>22</v>
      </c>
      <c r="H292" s="38" t="s">
        <v>26</v>
      </c>
      <c r="I292" s="2" t="str">
        <f>TEXT(Table2[[#This Row],[Booking_Date]],"mmmm")</f>
        <v>April</v>
      </c>
      <c r="J292" s="6" t="str">
        <f>IF(Table2[[#This Row],[Customer_Age]]&lt;20,"10-19", IF(Table2[[#This Row],[Customer_Age]]&lt;30,"20-29", IF(Table2[[#This Row],[Customer_Age]]&lt;40,"30-39", IF(Table2[[#This Row],[Customer_Age]]&lt;50,"40-49", IF(Table2[[#This Row],[Customer_Age]]&lt;60,"50-59", IF(Table2[[#This Row],[Customer_Age]]&lt;70,"60-69","70+"))))))</f>
        <v>60-69</v>
      </c>
    </row>
    <row r="293" spans="1:10">
      <c r="A293" s="32" t="s">
        <v>328</v>
      </c>
      <c r="B293" s="39" t="s">
        <v>69</v>
      </c>
      <c r="C293" s="39" t="s">
        <v>25</v>
      </c>
      <c r="D293" s="18">
        <v>1291.56</v>
      </c>
      <c r="E293" s="23">
        <v>59</v>
      </c>
      <c r="F293" s="27">
        <v>45519</v>
      </c>
      <c r="G293" s="39" t="s">
        <v>13</v>
      </c>
      <c r="H293" s="39" t="s">
        <v>14</v>
      </c>
      <c r="I293" s="2" t="str">
        <f>TEXT(Table2[[#This Row],[Booking_Date]],"mmmm")</f>
        <v>August</v>
      </c>
      <c r="J293" s="6" t="str">
        <f>IF(Table2[[#This Row],[Customer_Age]]&lt;20,"10-19", IF(Table2[[#This Row],[Customer_Age]]&lt;30,"20-29", IF(Table2[[#This Row],[Customer_Age]]&lt;40,"30-39", IF(Table2[[#This Row],[Customer_Age]]&lt;50,"40-49", IF(Table2[[#This Row],[Customer_Age]]&lt;60,"50-59", IF(Table2[[#This Row],[Customer_Age]]&lt;70,"60-69","70+"))))))</f>
        <v>50-59</v>
      </c>
    </row>
    <row r="294" spans="1:10">
      <c r="A294" s="34" t="s">
        <v>329</v>
      </c>
      <c r="B294" s="40" t="s">
        <v>34</v>
      </c>
      <c r="C294" s="41" t="s">
        <v>51</v>
      </c>
      <c r="D294" s="19">
        <v>592.17999999999995</v>
      </c>
      <c r="E294" s="24">
        <v>58</v>
      </c>
      <c r="F294" s="28">
        <v>45561</v>
      </c>
      <c r="G294" s="40" t="s">
        <v>22</v>
      </c>
      <c r="H294" s="40" t="s">
        <v>18</v>
      </c>
      <c r="I294" s="42" t="str">
        <f>TEXT(Table2[[#This Row],[Booking_Date]],"mmmm")</f>
        <v>September</v>
      </c>
      <c r="J294" s="7" t="str">
        <f>IF(Table2[[#This Row],[Customer_Age]]&lt;20,"10-19", IF(Table2[[#This Row],[Customer_Age]]&lt;30,"20-29", IF(Table2[[#This Row],[Customer_Age]]&lt;40,"30-39", IF(Table2[[#This Row],[Customer_Age]]&lt;50,"40-49", IF(Table2[[#This Row],[Customer_Age]]&lt;60,"50-59", IF(Table2[[#This Row],[Customer_Age]]&lt;70,"60-69","70+"))))))</f>
        <v>50-59</v>
      </c>
    </row>
  </sheetData>
  <phoneticPr fontId="5" type="noConversion"/>
  <pageMargins left="0.7" right="0.7" top="0.75" bottom="0.75" header="0.3" footer="0.3"/>
  <pageSetup orientation="portrait" r:id="rId1"/>
  <ignoredErrors>
    <ignoredError sqref="J2:J28" twoDigitTextYear="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8FE0-B056-4CFE-95E6-206D918D102A}">
  <sheetPr>
    <tabColor theme="9"/>
  </sheetPr>
  <dimension ref="B1:G16"/>
  <sheetViews>
    <sheetView workbookViewId="0">
      <selection activeCell="H6" sqref="H6"/>
    </sheetView>
  </sheetViews>
  <sheetFormatPr defaultRowHeight="14.45"/>
  <cols>
    <col min="2" max="2" width="16.7109375" bestFit="1" customWidth="1"/>
    <col min="3" max="3" width="12.42578125" bestFit="1" customWidth="1"/>
    <col min="6" max="6" width="16.7109375" bestFit="1" customWidth="1"/>
    <col min="7" max="7" width="12.42578125" bestFit="1" customWidth="1"/>
  </cols>
  <sheetData>
    <row r="1" spans="2:7" ht="22.15" customHeight="1"/>
    <row r="2" spans="2:7">
      <c r="B2" s="53" t="s">
        <v>330</v>
      </c>
      <c r="C2" s="53"/>
      <c r="F2" s="53" t="s">
        <v>331</v>
      </c>
      <c r="G2" s="53"/>
    </row>
    <row r="3" spans="2:7">
      <c r="B3" s="2"/>
      <c r="C3" s="2"/>
      <c r="F3" s="2"/>
      <c r="G3" s="2"/>
    </row>
    <row r="4" spans="2:7">
      <c r="B4" s="2" t="s">
        <v>332</v>
      </c>
      <c r="C4" s="2">
        <v>1326.0798976109197</v>
      </c>
      <c r="F4" s="2" t="s">
        <v>332</v>
      </c>
      <c r="G4" s="2">
        <v>45.327645051194537</v>
      </c>
    </row>
    <row r="5" spans="2:7">
      <c r="B5" s="2" t="s">
        <v>333</v>
      </c>
      <c r="C5" s="2">
        <v>39.772855521132215</v>
      </c>
      <c r="F5" s="2" t="s">
        <v>333</v>
      </c>
      <c r="G5" s="2">
        <v>0.86135347055798717</v>
      </c>
    </row>
    <row r="6" spans="2:7">
      <c r="B6" s="2" t="s">
        <v>334</v>
      </c>
      <c r="C6" s="2">
        <v>1293.1500000000001</v>
      </c>
      <c r="F6" s="2" t="s">
        <v>334</v>
      </c>
      <c r="G6" s="2">
        <v>47</v>
      </c>
    </row>
    <row r="7" spans="2:7">
      <c r="B7" s="2" t="s">
        <v>335</v>
      </c>
      <c r="C7" s="2" t="s">
        <v>336</v>
      </c>
      <c r="F7" s="2" t="s">
        <v>335</v>
      </c>
      <c r="G7" s="2">
        <v>61</v>
      </c>
    </row>
    <row r="8" spans="2:7">
      <c r="B8" s="2" t="s">
        <v>337</v>
      </c>
      <c r="C8" s="2">
        <v>680.80162355661525</v>
      </c>
      <c r="F8" s="2" t="s">
        <v>337</v>
      </c>
      <c r="G8" s="2">
        <v>14.743996465137624</v>
      </c>
    </row>
    <row r="9" spans="2:7">
      <c r="B9" s="2" t="s">
        <v>338</v>
      </c>
      <c r="C9" s="2">
        <v>463490.85063732322</v>
      </c>
      <c r="F9" s="2" t="s">
        <v>338</v>
      </c>
      <c r="G9" s="2">
        <v>217.38543176399074</v>
      </c>
    </row>
    <row r="10" spans="2:7">
      <c r="B10" s="2" t="s">
        <v>339</v>
      </c>
      <c r="C10" s="2">
        <v>-1.1788159381780288</v>
      </c>
      <c r="F10" s="2" t="s">
        <v>339</v>
      </c>
      <c r="G10" s="2">
        <v>-1.0924044039729912</v>
      </c>
    </row>
    <row r="11" spans="2:7">
      <c r="B11" s="2" t="s">
        <v>340</v>
      </c>
      <c r="C11" s="2">
        <v>8.09315353860528E-2</v>
      </c>
      <c r="F11" s="2" t="s">
        <v>340</v>
      </c>
      <c r="G11" s="2">
        <v>-0.21070211284290141</v>
      </c>
    </row>
    <row r="12" spans="2:7">
      <c r="B12" s="2" t="s">
        <v>341</v>
      </c>
      <c r="C12" s="2">
        <v>2286.27</v>
      </c>
      <c r="F12" s="2" t="s">
        <v>341</v>
      </c>
      <c r="G12" s="2">
        <v>52</v>
      </c>
    </row>
    <row r="13" spans="2:7">
      <c r="B13" s="2" t="s">
        <v>342</v>
      </c>
      <c r="C13" s="2">
        <v>212.08</v>
      </c>
      <c r="F13" s="2" t="s">
        <v>342</v>
      </c>
      <c r="G13" s="2">
        <v>18</v>
      </c>
    </row>
    <row r="14" spans="2:7">
      <c r="B14" s="2" t="s">
        <v>343</v>
      </c>
      <c r="C14" s="2">
        <v>2498.35</v>
      </c>
      <c r="F14" s="2" t="s">
        <v>343</v>
      </c>
      <c r="G14" s="2">
        <v>70</v>
      </c>
    </row>
    <row r="15" spans="2:7">
      <c r="B15" s="2" t="s">
        <v>344</v>
      </c>
      <c r="C15" s="2">
        <v>388541.40999999945</v>
      </c>
      <c r="F15" s="2" t="s">
        <v>344</v>
      </c>
      <c r="G15" s="2">
        <v>13281</v>
      </c>
    </row>
    <row r="16" spans="2:7">
      <c r="B16" s="2" t="s">
        <v>345</v>
      </c>
      <c r="C16" s="2">
        <v>293</v>
      </c>
      <c r="F16" s="2" t="s">
        <v>345</v>
      </c>
      <c r="G16" s="2">
        <v>293</v>
      </c>
    </row>
  </sheetData>
  <mergeCells count="2">
    <mergeCell ref="B2:C2"/>
    <mergeCell ref="F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85DE-C9AD-4844-B607-BBF41DB9280C}">
  <sheetPr>
    <tabColor rgb="FF7030A0"/>
  </sheetPr>
  <dimension ref="B1:Q93"/>
  <sheetViews>
    <sheetView workbookViewId="0">
      <selection activeCell="J13" sqref="J13"/>
    </sheetView>
  </sheetViews>
  <sheetFormatPr defaultRowHeight="14.45"/>
  <cols>
    <col min="1" max="1" width="4.7109375" customWidth="1"/>
    <col min="2" max="2" width="12.5703125" bestFit="1" customWidth="1"/>
    <col min="3" max="3" width="19.42578125" bestFit="1" customWidth="1"/>
    <col min="4" max="4" width="18.7109375" bestFit="1" customWidth="1"/>
    <col min="5" max="5" width="10.7109375" bestFit="1" customWidth="1"/>
    <col min="6" max="7" width="12.5703125" bestFit="1" customWidth="1"/>
    <col min="8" max="8" width="16.28515625" bestFit="1" customWidth="1"/>
    <col min="9" max="9" width="6.85546875" bestFit="1" customWidth="1"/>
    <col min="10" max="10" width="10.7109375" bestFit="1" customWidth="1"/>
    <col min="11" max="11" width="11.28515625" bestFit="1" customWidth="1"/>
    <col min="12" max="12" width="18.7109375" bestFit="1" customWidth="1"/>
    <col min="13" max="13" width="15.5703125" bestFit="1" customWidth="1"/>
    <col min="14" max="14" width="6.85546875" bestFit="1" customWidth="1"/>
    <col min="15" max="15" width="10.7109375" bestFit="1" customWidth="1"/>
  </cols>
  <sheetData>
    <row r="1" spans="2:16" ht="33.6" customHeight="1">
      <c r="B1" s="55" t="s">
        <v>346</v>
      </c>
      <c r="C1" s="55"/>
      <c r="D1" s="55"/>
      <c r="E1" s="55"/>
      <c r="F1" s="55"/>
      <c r="G1" s="55"/>
      <c r="H1" s="55"/>
      <c r="I1" s="55"/>
      <c r="J1" s="55"/>
      <c r="K1" s="55"/>
      <c r="L1" s="55"/>
      <c r="M1" s="55"/>
      <c r="N1" s="55"/>
      <c r="O1" s="55"/>
      <c r="P1" s="55"/>
    </row>
    <row r="2" spans="2:16" ht="16.149999999999999" customHeight="1">
      <c r="B2" s="14"/>
      <c r="C2" s="14"/>
      <c r="D2" s="14"/>
      <c r="E2" s="14"/>
      <c r="F2" s="14"/>
      <c r="G2" s="14"/>
      <c r="H2" s="14"/>
      <c r="I2" s="14"/>
      <c r="J2" s="14"/>
      <c r="K2" s="14"/>
      <c r="L2" s="14"/>
      <c r="M2" s="14"/>
      <c r="N2" s="14"/>
      <c r="O2" s="14"/>
      <c r="P2" s="14"/>
    </row>
    <row r="3" spans="2:16">
      <c r="B3" s="49" t="s">
        <v>347</v>
      </c>
      <c r="F3" s="50" t="s">
        <v>348</v>
      </c>
    </row>
    <row r="4" spans="2:16">
      <c r="B4" s="12" t="s">
        <v>349</v>
      </c>
      <c r="C4" t="s">
        <v>350</v>
      </c>
      <c r="F4" s="12" t="s">
        <v>349</v>
      </c>
      <c r="G4" t="s">
        <v>350</v>
      </c>
      <c r="L4" s="12" t="s">
        <v>350</v>
      </c>
      <c r="M4" s="12" t="s">
        <v>351</v>
      </c>
    </row>
    <row r="5" spans="2:16">
      <c r="B5" s="13" t="s">
        <v>12</v>
      </c>
      <c r="C5">
        <v>21</v>
      </c>
      <c r="F5" s="13" t="s">
        <v>12</v>
      </c>
      <c r="G5">
        <v>27</v>
      </c>
      <c r="L5" s="12" t="s">
        <v>349</v>
      </c>
      <c r="M5" t="s">
        <v>13</v>
      </c>
      <c r="N5" t="s">
        <v>22</v>
      </c>
      <c r="O5" t="s">
        <v>352</v>
      </c>
    </row>
    <row r="6" spans="2:16">
      <c r="B6" s="13" t="s">
        <v>17</v>
      </c>
      <c r="C6">
        <v>26</v>
      </c>
      <c r="F6" s="13" t="s">
        <v>17</v>
      </c>
      <c r="G6">
        <v>37</v>
      </c>
      <c r="L6" s="13" t="s">
        <v>12</v>
      </c>
      <c r="M6">
        <v>12</v>
      </c>
      <c r="N6">
        <v>15</v>
      </c>
      <c r="O6">
        <v>27</v>
      </c>
    </row>
    <row r="7" spans="2:16">
      <c r="B7" s="13" t="s">
        <v>29</v>
      </c>
      <c r="C7">
        <v>26</v>
      </c>
      <c r="F7" s="13" t="s">
        <v>29</v>
      </c>
      <c r="G7">
        <v>18</v>
      </c>
      <c r="L7" s="13" t="s">
        <v>17</v>
      </c>
      <c r="M7">
        <v>15</v>
      </c>
      <c r="N7">
        <v>22</v>
      </c>
      <c r="O7">
        <v>37</v>
      </c>
    </row>
    <row r="8" spans="2:16">
      <c r="B8" s="13" t="s">
        <v>35</v>
      </c>
      <c r="C8">
        <v>32</v>
      </c>
      <c r="F8" s="13" t="s">
        <v>35</v>
      </c>
      <c r="G8">
        <v>24</v>
      </c>
      <c r="L8" s="13" t="s">
        <v>29</v>
      </c>
      <c r="M8">
        <v>9</v>
      </c>
      <c r="N8">
        <v>9</v>
      </c>
      <c r="O8">
        <v>18</v>
      </c>
    </row>
    <row r="9" spans="2:16">
      <c r="B9" s="13" t="s">
        <v>55</v>
      </c>
      <c r="C9">
        <v>30</v>
      </c>
      <c r="F9" s="13" t="s">
        <v>55</v>
      </c>
      <c r="G9">
        <v>27</v>
      </c>
      <c r="L9" s="13" t="s">
        <v>35</v>
      </c>
      <c r="M9">
        <v>11</v>
      </c>
      <c r="N9">
        <v>13</v>
      </c>
      <c r="O9">
        <v>24</v>
      </c>
    </row>
    <row r="10" spans="2:16">
      <c r="B10" s="13" t="s">
        <v>39</v>
      </c>
      <c r="C10">
        <v>23</v>
      </c>
      <c r="F10" s="13" t="s">
        <v>39</v>
      </c>
      <c r="G10">
        <v>21</v>
      </c>
      <c r="L10" s="13" t="s">
        <v>55</v>
      </c>
      <c r="M10">
        <v>14</v>
      </c>
      <c r="N10">
        <v>13</v>
      </c>
      <c r="O10">
        <v>27</v>
      </c>
    </row>
    <row r="11" spans="2:16">
      <c r="B11" s="13" t="s">
        <v>49</v>
      </c>
      <c r="C11">
        <v>24</v>
      </c>
      <c r="F11" s="13" t="s">
        <v>49</v>
      </c>
      <c r="G11">
        <v>22</v>
      </c>
      <c r="L11" s="13" t="s">
        <v>39</v>
      </c>
      <c r="M11">
        <v>13</v>
      </c>
      <c r="N11">
        <v>8</v>
      </c>
      <c r="O11">
        <v>21</v>
      </c>
    </row>
    <row r="12" spans="2:16">
      <c r="B12" s="13" t="s">
        <v>51</v>
      </c>
      <c r="C12">
        <v>16</v>
      </c>
      <c r="F12" s="13" t="s">
        <v>51</v>
      </c>
      <c r="G12">
        <v>24</v>
      </c>
      <c r="L12" s="13" t="s">
        <v>49</v>
      </c>
      <c r="M12">
        <v>8</v>
      </c>
      <c r="N12">
        <v>14</v>
      </c>
      <c r="O12">
        <v>22</v>
      </c>
    </row>
    <row r="13" spans="2:16">
      <c r="B13" s="13" t="s">
        <v>21</v>
      </c>
      <c r="C13">
        <v>24</v>
      </c>
      <c r="F13" s="13" t="s">
        <v>21</v>
      </c>
      <c r="G13">
        <v>23</v>
      </c>
      <c r="L13" s="13" t="s">
        <v>51</v>
      </c>
      <c r="M13">
        <v>11</v>
      </c>
      <c r="N13">
        <v>13</v>
      </c>
      <c r="O13">
        <v>24</v>
      </c>
    </row>
    <row r="14" spans="2:16">
      <c r="B14" s="13" t="s">
        <v>25</v>
      </c>
      <c r="C14">
        <v>22</v>
      </c>
      <c r="F14" s="13" t="s">
        <v>25</v>
      </c>
      <c r="G14">
        <v>20</v>
      </c>
      <c r="L14" s="13" t="s">
        <v>21</v>
      </c>
      <c r="M14">
        <v>7</v>
      </c>
      <c r="N14">
        <v>16</v>
      </c>
      <c r="O14">
        <v>23</v>
      </c>
    </row>
    <row r="15" spans="2:16">
      <c r="B15" s="13" t="s">
        <v>47</v>
      </c>
      <c r="C15">
        <v>26</v>
      </c>
      <c r="F15" s="13" t="s">
        <v>47</v>
      </c>
      <c r="G15">
        <v>26</v>
      </c>
      <c r="L15" s="13" t="s">
        <v>25</v>
      </c>
      <c r="M15">
        <v>9</v>
      </c>
      <c r="N15">
        <v>11</v>
      </c>
      <c r="O15">
        <v>20</v>
      </c>
    </row>
    <row r="16" spans="2:16">
      <c r="B16" s="13" t="s">
        <v>41</v>
      </c>
      <c r="C16">
        <v>23</v>
      </c>
      <c r="F16" s="13" t="s">
        <v>41</v>
      </c>
      <c r="G16">
        <v>24</v>
      </c>
      <c r="L16" s="13" t="s">
        <v>47</v>
      </c>
      <c r="M16">
        <v>13</v>
      </c>
      <c r="N16">
        <v>13</v>
      </c>
      <c r="O16">
        <v>26</v>
      </c>
    </row>
    <row r="17" spans="2:17">
      <c r="B17" s="13" t="s">
        <v>352</v>
      </c>
      <c r="C17">
        <v>293</v>
      </c>
      <c r="F17" s="13" t="s">
        <v>352</v>
      </c>
      <c r="G17">
        <v>293</v>
      </c>
      <c r="L17" s="13" t="s">
        <v>41</v>
      </c>
      <c r="M17">
        <v>14</v>
      </c>
      <c r="N17">
        <v>10</v>
      </c>
      <c r="O17">
        <v>24</v>
      </c>
    </row>
    <row r="18" spans="2:17">
      <c r="L18" s="13" t="s">
        <v>352</v>
      </c>
      <c r="M18">
        <v>136</v>
      </c>
      <c r="N18">
        <v>157</v>
      </c>
      <c r="O18">
        <v>293</v>
      </c>
    </row>
    <row r="20" spans="2:17">
      <c r="B20" s="54" t="s">
        <v>353</v>
      </c>
      <c r="C20" s="54"/>
      <c r="D20" s="54"/>
      <c r="E20" s="54"/>
      <c r="F20" s="54"/>
      <c r="G20" s="54"/>
      <c r="H20" s="54"/>
      <c r="I20" s="54"/>
      <c r="J20" s="54"/>
      <c r="K20" s="54"/>
      <c r="L20" s="54"/>
      <c r="M20" s="54"/>
      <c r="N20" s="54"/>
      <c r="O20" s="54"/>
      <c r="P20" s="54"/>
      <c r="Q20" s="54"/>
    </row>
    <row r="21" spans="2:17">
      <c r="E21" s="54"/>
      <c r="F21" s="54"/>
      <c r="G21" s="54"/>
      <c r="H21" s="54"/>
      <c r="I21" s="54"/>
      <c r="J21" s="54"/>
      <c r="K21" s="54"/>
      <c r="L21" s="54"/>
      <c r="M21" s="54"/>
    </row>
    <row r="23" spans="2:17">
      <c r="B23" s="46" t="s">
        <v>354</v>
      </c>
      <c r="C23" s="47"/>
      <c r="G23" s="49" t="s">
        <v>355</v>
      </c>
      <c r="L23" s="48" t="s">
        <v>356</v>
      </c>
    </row>
    <row r="24" spans="2:17">
      <c r="B24" s="12" t="s">
        <v>350</v>
      </c>
      <c r="C24" s="12" t="s">
        <v>351</v>
      </c>
      <c r="G24" s="12" t="s">
        <v>350</v>
      </c>
      <c r="H24" s="12" t="s">
        <v>351</v>
      </c>
      <c r="L24" s="12" t="s">
        <v>350</v>
      </c>
      <c r="M24" s="12" t="s">
        <v>351</v>
      </c>
    </row>
    <row r="25" spans="2:17">
      <c r="B25" s="12" t="s">
        <v>349</v>
      </c>
      <c r="C25" t="s">
        <v>13</v>
      </c>
      <c r="D25" t="s">
        <v>22</v>
      </c>
      <c r="E25" t="s">
        <v>352</v>
      </c>
      <c r="G25" s="12" t="s">
        <v>349</v>
      </c>
      <c r="H25" t="s">
        <v>13</v>
      </c>
      <c r="I25" t="s">
        <v>22</v>
      </c>
      <c r="J25" t="s">
        <v>352</v>
      </c>
      <c r="L25" s="12" t="s">
        <v>349</v>
      </c>
      <c r="M25" t="s">
        <v>13</v>
      </c>
      <c r="N25" t="s">
        <v>22</v>
      </c>
      <c r="O25" t="s">
        <v>352</v>
      </c>
    </row>
    <row r="26" spans="2:17">
      <c r="B26" s="13" t="s">
        <v>26</v>
      </c>
      <c r="C26">
        <v>40</v>
      </c>
      <c r="D26">
        <v>47</v>
      </c>
      <c r="E26">
        <v>87</v>
      </c>
      <c r="G26" s="13" t="s">
        <v>12</v>
      </c>
      <c r="H26">
        <v>12</v>
      </c>
      <c r="I26">
        <v>15</v>
      </c>
      <c r="J26">
        <v>27</v>
      </c>
      <c r="L26" s="13" t="s">
        <v>24</v>
      </c>
      <c r="M26">
        <v>13</v>
      </c>
      <c r="N26">
        <v>22</v>
      </c>
      <c r="O26">
        <v>35</v>
      </c>
    </row>
    <row r="27" spans="2:17">
      <c r="B27" s="13" t="s">
        <v>14</v>
      </c>
      <c r="C27">
        <v>21</v>
      </c>
      <c r="D27">
        <v>40</v>
      </c>
      <c r="E27">
        <v>61</v>
      </c>
      <c r="G27" s="13" t="s">
        <v>17</v>
      </c>
      <c r="H27">
        <v>15</v>
      </c>
      <c r="I27">
        <v>22</v>
      </c>
      <c r="J27">
        <v>37</v>
      </c>
      <c r="L27" s="13" t="s">
        <v>20</v>
      </c>
      <c r="M27">
        <v>9</v>
      </c>
      <c r="N27">
        <v>14</v>
      </c>
      <c r="O27">
        <v>23</v>
      </c>
    </row>
    <row r="28" spans="2:17">
      <c r="B28" s="13" t="s">
        <v>45</v>
      </c>
      <c r="C28">
        <v>36</v>
      </c>
      <c r="D28">
        <v>37</v>
      </c>
      <c r="E28">
        <v>73</v>
      </c>
      <c r="G28" s="13" t="s">
        <v>29</v>
      </c>
      <c r="H28">
        <v>9</v>
      </c>
      <c r="I28">
        <v>9</v>
      </c>
      <c r="J28">
        <v>18</v>
      </c>
      <c r="L28" s="13" t="s">
        <v>34</v>
      </c>
      <c r="M28">
        <v>18</v>
      </c>
      <c r="N28">
        <v>22</v>
      </c>
      <c r="O28">
        <v>40</v>
      </c>
    </row>
    <row r="29" spans="2:17">
      <c r="B29" s="13" t="s">
        <v>18</v>
      </c>
      <c r="C29">
        <v>39</v>
      </c>
      <c r="D29">
        <v>33</v>
      </c>
      <c r="E29">
        <v>72</v>
      </c>
      <c r="G29" s="13" t="s">
        <v>35</v>
      </c>
      <c r="H29">
        <v>11</v>
      </c>
      <c r="I29">
        <v>13</v>
      </c>
      <c r="J29">
        <v>24</v>
      </c>
      <c r="L29" s="13" t="s">
        <v>43</v>
      </c>
      <c r="M29">
        <v>10</v>
      </c>
      <c r="N29">
        <v>12</v>
      </c>
      <c r="O29">
        <v>22</v>
      </c>
    </row>
    <row r="30" spans="2:17">
      <c r="B30" s="13" t="s">
        <v>352</v>
      </c>
      <c r="C30">
        <v>136</v>
      </c>
      <c r="D30">
        <v>157</v>
      </c>
      <c r="E30">
        <v>293</v>
      </c>
      <c r="G30" s="13" t="s">
        <v>55</v>
      </c>
      <c r="H30">
        <v>14</v>
      </c>
      <c r="I30">
        <v>13</v>
      </c>
      <c r="J30">
        <v>27</v>
      </c>
      <c r="L30" s="13" t="s">
        <v>69</v>
      </c>
      <c r="M30">
        <v>15</v>
      </c>
      <c r="N30">
        <v>5</v>
      </c>
      <c r="O30">
        <v>20</v>
      </c>
    </row>
    <row r="31" spans="2:17">
      <c r="G31" s="13" t="s">
        <v>39</v>
      </c>
      <c r="H31">
        <v>13</v>
      </c>
      <c r="I31">
        <v>8</v>
      </c>
      <c r="J31">
        <v>21</v>
      </c>
      <c r="L31" s="13" t="s">
        <v>38</v>
      </c>
      <c r="M31">
        <v>14</v>
      </c>
      <c r="N31">
        <v>20</v>
      </c>
      <c r="O31">
        <v>34</v>
      </c>
    </row>
    <row r="32" spans="2:17">
      <c r="G32" s="13" t="s">
        <v>49</v>
      </c>
      <c r="H32">
        <v>8</v>
      </c>
      <c r="I32">
        <v>14</v>
      </c>
      <c r="J32">
        <v>22</v>
      </c>
      <c r="L32" s="13" t="s">
        <v>11</v>
      </c>
      <c r="M32">
        <v>22</v>
      </c>
      <c r="N32">
        <v>19</v>
      </c>
      <c r="O32">
        <v>41</v>
      </c>
    </row>
    <row r="33" spans="2:15">
      <c r="B33" s="52" t="s">
        <v>349</v>
      </c>
      <c r="C33" s="52" t="s">
        <v>352</v>
      </c>
      <c r="G33" s="13" t="s">
        <v>51</v>
      </c>
      <c r="H33">
        <v>11</v>
      </c>
      <c r="I33">
        <v>13</v>
      </c>
      <c r="J33">
        <v>24</v>
      </c>
      <c r="L33" s="13" t="s">
        <v>28</v>
      </c>
      <c r="M33">
        <v>8</v>
      </c>
      <c r="N33">
        <v>12</v>
      </c>
      <c r="O33">
        <v>20</v>
      </c>
    </row>
    <row r="34" spans="2:15">
      <c r="B34" s="51" t="s">
        <v>26</v>
      </c>
      <c r="C34" s="2">
        <v>87</v>
      </c>
      <c r="G34" s="13" t="s">
        <v>21</v>
      </c>
      <c r="H34">
        <v>7</v>
      </c>
      <c r="I34">
        <v>16</v>
      </c>
      <c r="J34">
        <v>23</v>
      </c>
      <c r="L34" s="13" t="s">
        <v>31</v>
      </c>
      <c r="M34">
        <v>12</v>
      </c>
      <c r="N34">
        <v>15</v>
      </c>
      <c r="O34">
        <v>27</v>
      </c>
    </row>
    <row r="35" spans="2:15">
      <c r="B35" s="51" t="s">
        <v>14</v>
      </c>
      <c r="C35" s="2">
        <v>61</v>
      </c>
      <c r="G35" s="13" t="s">
        <v>25</v>
      </c>
      <c r="H35">
        <v>9</v>
      </c>
      <c r="I35">
        <v>11</v>
      </c>
      <c r="J35">
        <v>20</v>
      </c>
      <c r="L35" s="13" t="s">
        <v>16</v>
      </c>
      <c r="M35">
        <v>15</v>
      </c>
      <c r="N35">
        <v>16</v>
      </c>
      <c r="O35">
        <v>31</v>
      </c>
    </row>
    <row r="36" spans="2:15">
      <c r="B36" s="51" t="s">
        <v>45</v>
      </c>
      <c r="C36" s="2">
        <v>73</v>
      </c>
      <c r="G36" s="13" t="s">
        <v>47</v>
      </c>
      <c r="H36">
        <v>13</v>
      </c>
      <c r="I36">
        <v>13</v>
      </c>
      <c r="J36">
        <v>26</v>
      </c>
      <c r="L36" s="13" t="s">
        <v>352</v>
      </c>
      <c r="M36">
        <v>136</v>
      </c>
      <c r="N36">
        <v>157</v>
      </c>
      <c r="O36">
        <v>293</v>
      </c>
    </row>
    <row r="37" spans="2:15">
      <c r="B37" s="51" t="s">
        <v>18</v>
      </c>
      <c r="C37" s="2">
        <v>72</v>
      </c>
      <c r="G37" s="13" t="s">
        <v>41</v>
      </c>
      <c r="H37">
        <v>14</v>
      </c>
      <c r="I37">
        <v>10</v>
      </c>
      <c r="J37">
        <v>24</v>
      </c>
    </row>
    <row r="38" spans="2:15">
      <c r="G38" s="13" t="s">
        <v>352</v>
      </c>
      <c r="H38">
        <v>136</v>
      </c>
      <c r="I38">
        <v>157</v>
      </c>
      <c r="J38">
        <v>293</v>
      </c>
    </row>
    <row r="43" spans="2:15" ht="19.899999999999999">
      <c r="E43" s="56" t="s">
        <v>357</v>
      </c>
      <c r="F43" s="56"/>
      <c r="G43" s="56"/>
      <c r="H43" s="56"/>
      <c r="I43" s="56"/>
      <c r="J43" s="56"/>
      <c r="K43" s="56"/>
      <c r="L43" s="56"/>
    </row>
    <row r="46" spans="2:15">
      <c r="B46" s="48" t="s">
        <v>358</v>
      </c>
      <c r="G46" s="49" t="s">
        <v>359</v>
      </c>
      <c r="L46" s="46" t="s">
        <v>360</v>
      </c>
    </row>
    <row r="47" spans="2:15">
      <c r="B47" s="12" t="s">
        <v>349</v>
      </c>
      <c r="C47" t="s">
        <v>350</v>
      </c>
      <c r="G47" s="12" t="s">
        <v>349</v>
      </c>
      <c r="H47" t="s">
        <v>361</v>
      </c>
      <c r="L47" s="12" t="s">
        <v>349</v>
      </c>
      <c r="M47" t="s">
        <v>362</v>
      </c>
    </row>
    <row r="48" spans="2:15">
      <c r="B48" s="13" t="s">
        <v>11</v>
      </c>
      <c r="C48">
        <v>41</v>
      </c>
      <c r="G48" s="13" t="s">
        <v>11</v>
      </c>
      <c r="H48" s="1">
        <v>56780.490000000013</v>
      </c>
      <c r="L48" s="13" t="s">
        <v>43</v>
      </c>
      <c r="M48" s="1">
        <v>1110.2272727272727</v>
      </c>
    </row>
    <row r="49" spans="2:13">
      <c r="B49" s="13" t="s">
        <v>34</v>
      </c>
      <c r="C49">
        <v>40</v>
      </c>
      <c r="G49" s="13" t="s">
        <v>38</v>
      </c>
      <c r="H49" s="1">
        <v>48776.950000000004</v>
      </c>
      <c r="L49" s="13" t="s">
        <v>31</v>
      </c>
      <c r="M49" s="1">
        <v>1174.4144444444446</v>
      </c>
    </row>
    <row r="50" spans="2:13">
      <c r="B50" s="13" t="s">
        <v>24</v>
      </c>
      <c r="C50">
        <v>35</v>
      </c>
      <c r="G50" s="13" t="s">
        <v>34</v>
      </c>
      <c r="H50" s="1">
        <v>48036.830000000009</v>
      </c>
      <c r="L50" s="13" t="s">
        <v>24</v>
      </c>
      <c r="M50" s="1">
        <v>1189.9528571428571</v>
      </c>
    </row>
    <row r="51" spans="2:13">
      <c r="B51" s="13" t="s">
        <v>38</v>
      </c>
      <c r="C51">
        <v>34</v>
      </c>
      <c r="G51" s="13" t="s">
        <v>16</v>
      </c>
      <c r="H51" s="1">
        <v>44304.080000000009</v>
      </c>
      <c r="L51" s="13" t="s">
        <v>34</v>
      </c>
      <c r="M51" s="1">
        <v>1200.9207500000002</v>
      </c>
    </row>
    <row r="52" spans="2:13">
      <c r="B52" s="13" t="s">
        <v>16</v>
      </c>
      <c r="C52">
        <v>31</v>
      </c>
      <c r="G52" s="13" t="s">
        <v>24</v>
      </c>
      <c r="H52" s="1">
        <v>41648.35</v>
      </c>
      <c r="L52" s="13" t="s">
        <v>28</v>
      </c>
      <c r="M52" s="1">
        <v>1274.3054999999999</v>
      </c>
    </row>
    <row r="53" spans="2:13">
      <c r="B53" s="13" t="s">
        <v>31</v>
      </c>
      <c r="C53">
        <v>27</v>
      </c>
      <c r="G53" s="13" t="s">
        <v>20</v>
      </c>
      <c r="H53" s="1">
        <v>35155.29</v>
      </c>
      <c r="L53" s="13" t="s">
        <v>11</v>
      </c>
      <c r="M53" s="1">
        <v>1384.8900000000003</v>
      </c>
    </row>
    <row r="54" spans="2:13">
      <c r="B54" s="13" t="s">
        <v>20</v>
      </c>
      <c r="C54">
        <v>23</v>
      </c>
      <c r="G54" s="13" t="s">
        <v>69</v>
      </c>
      <c r="H54" s="1">
        <v>32219.120000000006</v>
      </c>
      <c r="L54" s="13" t="s">
        <v>16</v>
      </c>
      <c r="M54" s="1">
        <v>1429.1638709677422</v>
      </c>
    </row>
    <row r="55" spans="2:13">
      <c r="B55" s="13" t="s">
        <v>43</v>
      </c>
      <c r="C55">
        <v>22</v>
      </c>
      <c r="G55" s="13" t="s">
        <v>31</v>
      </c>
      <c r="H55" s="1">
        <v>31709.190000000002</v>
      </c>
      <c r="L55" s="13" t="s">
        <v>38</v>
      </c>
      <c r="M55" s="1">
        <v>1434.6161764705885</v>
      </c>
    </row>
    <row r="56" spans="2:13">
      <c r="B56" s="13" t="s">
        <v>28</v>
      </c>
      <c r="C56">
        <v>20</v>
      </c>
      <c r="G56" s="13" t="s">
        <v>28</v>
      </c>
      <c r="H56" s="1">
        <v>25486.11</v>
      </c>
      <c r="L56" s="13" t="s">
        <v>20</v>
      </c>
      <c r="M56" s="1">
        <v>1528.4908695652175</v>
      </c>
    </row>
    <row r="57" spans="2:13">
      <c r="B57" s="13" t="s">
        <v>69</v>
      </c>
      <c r="C57">
        <v>20</v>
      </c>
      <c r="G57" s="13" t="s">
        <v>43</v>
      </c>
      <c r="H57" s="1">
        <v>24425</v>
      </c>
      <c r="L57" s="13" t="s">
        <v>69</v>
      </c>
      <c r="M57" s="1">
        <v>1610.9560000000004</v>
      </c>
    </row>
    <row r="58" spans="2:13">
      <c r="B58" s="13" t="s">
        <v>352</v>
      </c>
      <c r="C58">
        <v>293</v>
      </c>
      <c r="G58" s="13" t="s">
        <v>352</v>
      </c>
      <c r="H58" s="1">
        <v>388541.41000000003</v>
      </c>
      <c r="L58" s="13" t="s">
        <v>352</v>
      </c>
      <c r="M58" s="1">
        <v>1326.0798976109213</v>
      </c>
    </row>
    <row r="63" spans="2:13">
      <c r="B63" s="49" t="s">
        <v>363</v>
      </c>
      <c r="G63" s="49" t="s">
        <v>364</v>
      </c>
    </row>
    <row r="64" spans="2:13">
      <c r="B64" s="12" t="s">
        <v>349</v>
      </c>
      <c r="C64" t="s">
        <v>362</v>
      </c>
      <c r="D64" t="s">
        <v>350</v>
      </c>
      <c r="G64" s="12" t="s">
        <v>349</v>
      </c>
      <c r="H64" t="s">
        <v>350</v>
      </c>
      <c r="K64" s="57" t="s">
        <v>365</v>
      </c>
      <c r="L64" s="57"/>
      <c r="M64" s="57"/>
    </row>
    <row r="65" spans="2:13">
      <c r="B65" s="13" t="s">
        <v>13</v>
      </c>
      <c r="C65" s="1">
        <v>1365.6566911764712</v>
      </c>
      <c r="D65">
        <v>136</v>
      </c>
      <c r="G65" s="13" t="s">
        <v>12</v>
      </c>
      <c r="H65">
        <v>27</v>
      </c>
      <c r="K65" s="3" t="s">
        <v>366</v>
      </c>
      <c r="L65" s="4" t="s">
        <v>9</v>
      </c>
      <c r="M65" s="5" t="s">
        <v>367</v>
      </c>
    </row>
    <row r="66" spans="2:13">
      <c r="B66" s="13" t="s">
        <v>22</v>
      </c>
      <c r="C66" s="1">
        <v>1291.7968152866242</v>
      </c>
      <c r="D66">
        <v>157</v>
      </c>
      <c r="G66" s="13" t="s">
        <v>17</v>
      </c>
      <c r="H66">
        <v>37</v>
      </c>
      <c r="K66" s="8">
        <v>0</v>
      </c>
      <c r="L66" s="10" t="s">
        <v>368</v>
      </c>
      <c r="M66" s="6">
        <f>COUNTIFS(Table2[Customer_Age],"&gt;="&amp;Table1[[#This Row],[Bin Range]],Table2[Customer_Age],"&lt;="&amp;IF('Pivot Tables'!K67="",100,'Pivot Tables'!K67-1))</f>
        <v>12</v>
      </c>
    </row>
    <row r="67" spans="2:13">
      <c r="B67" s="13" t="s">
        <v>352</v>
      </c>
      <c r="C67" s="1">
        <v>1326.0798976109211</v>
      </c>
      <c r="D67">
        <v>293</v>
      </c>
      <c r="G67" s="13" t="s">
        <v>29</v>
      </c>
      <c r="H67">
        <v>18</v>
      </c>
      <c r="K67" s="8">
        <v>20</v>
      </c>
      <c r="L67" s="10" t="s">
        <v>369</v>
      </c>
      <c r="M67" s="6">
        <f>COUNTIFS(Table2[Customer_Age],"&gt;="&amp;Table1[[#This Row],[Bin Range]],Table2[Customer_Age],"&lt;="&amp;IF('Pivot Tables'!K68="",100,'Pivot Tables'!K68-1))</f>
        <v>43</v>
      </c>
    </row>
    <row r="68" spans="2:13">
      <c r="G68" s="13" t="s">
        <v>35</v>
      </c>
      <c r="H68">
        <v>24</v>
      </c>
      <c r="K68" s="8">
        <v>30</v>
      </c>
      <c r="L68" s="10" t="s">
        <v>370</v>
      </c>
      <c r="M68" s="6">
        <f>COUNTIFS(Table2[Customer_Age],"&gt;="&amp;Table1[[#This Row],[Bin Range]],Table2[Customer_Age],"&lt;="&amp;IF('Pivot Tables'!K69="",100,'Pivot Tables'!K69-1))</f>
        <v>51</v>
      </c>
    </row>
    <row r="69" spans="2:13">
      <c r="G69" s="13" t="s">
        <v>55</v>
      </c>
      <c r="H69">
        <v>27</v>
      </c>
      <c r="K69" s="8">
        <v>40</v>
      </c>
      <c r="L69" s="10" t="s">
        <v>371</v>
      </c>
      <c r="M69" s="6">
        <f>COUNTIFS(Table2[Customer_Age],"&gt;="&amp;Table1[[#This Row],[Bin Range]],Table2[Customer_Age],"&lt;="&amp;IF('Pivot Tables'!K70="",100,'Pivot Tables'!K70-1))</f>
        <v>58</v>
      </c>
    </row>
    <row r="70" spans="2:13">
      <c r="G70" s="13" t="s">
        <v>39</v>
      </c>
      <c r="H70">
        <v>21</v>
      </c>
      <c r="K70" s="8">
        <v>50</v>
      </c>
      <c r="L70" s="10" t="s">
        <v>372</v>
      </c>
      <c r="M70" s="6">
        <f>COUNTIFS(Table2[Customer_Age],"&gt;="&amp;Table1[[#This Row],[Bin Range]],Table2[Customer_Age],"&lt;="&amp;IF('Pivot Tables'!K71="",100,'Pivot Tables'!K71-1))</f>
        <v>67</v>
      </c>
    </row>
    <row r="71" spans="2:13">
      <c r="B71" s="45" t="s">
        <v>373</v>
      </c>
      <c r="G71" s="13" t="s">
        <v>49</v>
      </c>
      <c r="H71">
        <v>22</v>
      </c>
      <c r="K71" s="8">
        <v>60</v>
      </c>
      <c r="L71" s="10" t="s">
        <v>374</v>
      </c>
      <c r="M71" s="6">
        <f>COUNTIFS(Table2[Customer_Age],"&gt;="&amp;Table1[[#This Row],[Bin Range]],Table2[Customer_Age],"&lt;="&amp;IF('Pivot Tables'!K72="",100,'Pivot Tables'!K72-1))</f>
        <v>57</v>
      </c>
    </row>
    <row r="72" spans="2:13">
      <c r="B72" s="12" t="s">
        <v>349</v>
      </c>
      <c r="C72" t="s">
        <v>350</v>
      </c>
      <c r="G72" s="13" t="s">
        <v>51</v>
      </c>
      <c r="H72">
        <v>24</v>
      </c>
      <c r="K72" s="9">
        <v>70</v>
      </c>
      <c r="L72" s="11" t="s">
        <v>375</v>
      </c>
      <c r="M72" s="7">
        <f>COUNTIFS(Table2[Customer_Age],"&gt;="&amp;Table1[[#This Row],[Bin Range]],Table2[Customer_Age],"&lt;="&amp;IF('Pivot Tables'!K73="",100,'Pivot Tables'!K73-1))</f>
        <v>5</v>
      </c>
    </row>
    <row r="73" spans="2:13">
      <c r="B73" s="13" t="s">
        <v>13</v>
      </c>
      <c r="C73">
        <v>136</v>
      </c>
      <c r="G73" s="13" t="s">
        <v>21</v>
      </c>
      <c r="H73">
        <v>23</v>
      </c>
    </row>
    <row r="74" spans="2:13">
      <c r="B74" s="13" t="s">
        <v>22</v>
      </c>
      <c r="C74">
        <v>157</v>
      </c>
      <c r="G74" s="13" t="s">
        <v>25</v>
      </c>
      <c r="H74">
        <v>20</v>
      </c>
    </row>
    <row r="75" spans="2:13">
      <c r="B75" s="13" t="s">
        <v>352</v>
      </c>
      <c r="C75">
        <v>293</v>
      </c>
      <c r="G75" s="13" t="s">
        <v>47</v>
      </c>
      <c r="H75">
        <v>26</v>
      </c>
    </row>
    <row r="76" spans="2:13">
      <c r="G76" s="13" t="s">
        <v>41</v>
      </c>
      <c r="H76">
        <v>24</v>
      </c>
    </row>
    <row r="77" spans="2:13">
      <c r="G77" s="13" t="s">
        <v>352</v>
      </c>
      <c r="H77">
        <v>293</v>
      </c>
    </row>
    <row r="83" spans="2:3">
      <c r="B83" s="12" t="s">
        <v>6</v>
      </c>
      <c r="C83" t="s">
        <v>376</v>
      </c>
    </row>
    <row r="85" spans="2:3">
      <c r="B85" s="12" t="s">
        <v>349</v>
      </c>
      <c r="C85" t="s">
        <v>350</v>
      </c>
    </row>
    <row r="86" spans="2:3">
      <c r="B86" s="13" t="s">
        <v>377</v>
      </c>
      <c r="C86">
        <v>12</v>
      </c>
    </row>
    <row r="87" spans="2:3">
      <c r="B87" s="13" t="s">
        <v>369</v>
      </c>
      <c r="C87">
        <v>43</v>
      </c>
    </row>
    <row r="88" spans="2:3">
      <c r="B88" s="13" t="s">
        <v>370</v>
      </c>
      <c r="C88">
        <v>51</v>
      </c>
    </row>
    <row r="89" spans="2:3">
      <c r="B89" s="13" t="s">
        <v>371</v>
      </c>
      <c r="C89">
        <v>58</v>
      </c>
    </row>
    <row r="90" spans="2:3">
      <c r="B90" s="13" t="s">
        <v>372</v>
      </c>
      <c r="C90">
        <v>67</v>
      </c>
    </row>
    <row r="91" spans="2:3">
      <c r="B91" s="13" t="s">
        <v>374</v>
      </c>
      <c r="C91">
        <v>57</v>
      </c>
    </row>
    <row r="92" spans="2:3">
      <c r="B92" s="13" t="s">
        <v>375</v>
      </c>
      <c r="C92">
        <v>5</v>
      </c>
    </row>
    <row r="93" spans="2:3">
      <c r="B93" s="13" t="s">
        <v>352</v>
      </c>
      <c r="C93">
        <v>293</v>
      </c>
    </row>
  </sheetData>
  <mergeCells count="5">
    <mergeCell ref="B20:Q20"/>
    <mergeCell ref="B1:P1"/>
    <mergeCell ref="E43:L43"/>
    <mergeCell ref="K64:M64"/>
    <mergeCell ref="E21:M21"/>
  </mergeCells>
  <pageMargins left="0.7" right="0.7" top="0.75" bottom="0.75" header="0.3" footer="0.3"/>
  <pageSetup paperSize="9" orientation="portrait"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F394-AEE1-4A1A-8AC1-EFB33674A624}">
  <sheetPr>
    <tabColor rgb="FFFFC000"/>
  </sheetPr>
  <dimension ref="A1:X2"/>
  <sheetViews>
    <sheetView showGridLines="0" tabSelected="1" zoomScale="80" zoomScaleNormal="80" workbookViewId="0">
      <selection activeCell="AC6" sqref="AC6"/>
    </sheetView>
  </sheetViews>
  <sheetFormatPr defaultRowHeight="14.45"/>
  <sheetData>
    <row r="1" spans="1:24" ht="51" customHeight="1">
      <c r="A1" s="58" t="s">
        <v>378</v>
      </c>
      <c r="B1" s="58"/>
      <c r="C1" s="58"/>
      <c r="D1" s="58"/>
      <c r="E1" s="58"/>
      <c r="F1" s="58"/>
      <c r="G1" s="58"/>
      <c r="H1" s="58"/>
      <c r="I1" s="58"/>
      <c r="J1" s="58"/>
      <c r="K1" s="58"/>
      <c r="L1" s="58"/>
      <c r="M1" s="58"/>
      <c r="N1" s="58"/>
      <c r="O1" s="58"/>
      <c r="P1" s="58"/>
      <c r="Q1" s="58"/>
      <c r="R1" s="58"/>
      <c r="S1" s="58"/>
      <c r="T1" s="58"/>
      <c r="U1" s="58"/>
      <c r="V1" s="58"/>
      <c r="W1" s="58"/>
      <c r="X1" s="58"/>
    </row>
    <row r="2" spans="1:24" ht="40.15" customHeight="1">
      <c r="A2" s="44"/>
      <c r="B2" s="44"/>
      <c r="C2" s="44"/>
      <c r="D2" s="44"/>
      <c r="E2" s="44"/>
      <c r="F2" s="44"/>
      <c r="G2" s="44"/>
      <c r="H2" s="44"/>
      <c r="I2" s="44"/>
      <c r="J2" s="44"/>
      <c r="K2" s="44"/>
      <c r="L2" s="44"/>
      <c r="M2" s="44"/>
      <c r="N2" s="44"/>
      <c r="O2" s="44"/>
      <c r="P2" s="44"/>
      <c r="Q2" s="44"/>
      <c r="R2" s="44"/>
      <c r="S2" s="44"/>
      <c r="T2" s="44"/>
      <c r="U2" s="44"/>
      <c r="V2" s="44"/>
      <c r="W2" s="44"/>
      <c r="X2" s="44"/>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2025-11-14T19:31:29Z</dcterms:created>
  <dcterms:modified xsi:type="dcterms:W3CDTF">2025-11-22T03:30:47Z</dcterms:modified>
  <cp:category/>
  <cp:contentStatus/>
</cp:coreProperties>
</file>