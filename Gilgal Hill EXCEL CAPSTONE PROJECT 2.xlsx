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
    </mc:Choice>
  </mc:AlternateContent>
  <bookViews>
    <workbookView xWindow="0" yWindow="0" windowWidth="16815" windowHeight="7635"/>
  </bookViews>
  <sheets>
    <sheet name="Sheet2" sheetId="4" r:id="rId1"/>
    <sheet name="Sheet1" sheetId="1" r:id="rId2"/>
    <sheet name="Questions 1" sheetId="2" r:id="rId3"/>
    <sheet name="Question 2" sheetId="3" r:id="rId4"/>
  </sheets>
  <definedNames>
    <definedName name="_xlnm._FilterDatabase" localSheetId="1" hidden="1">Sheet1!$E$1:$E$1001</definedName>
    <definedName name="DEPT">Sheet1!$E$2:$E$1001</definedName>
    <definedName name="SALARY">Sheet1!$H$2:$H$1001</definedName>
    <definedName name="Z_7440B8F7_235D_484B_8357_03CDA96EAE71_.wvu.FilterData" localSheetId="1" hidden="1">Sheet1!$E$1:$E$1001</definedName>
  </definedNames>
  <calcPr calcId="152511"/>
  <customWorkbookViews>
    <customWorkbookView name="Filter 1" guid="{7440B8F7-235D-484B-8357-03CDA96EAE71}" maximized="1" windowWidth="0" windowHeight="0" activeSheetId="0"/>
  </customWorkbookViews>
  <pivotCaches>
    <pivotCache cacheId="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6" roundtripDataSignature="AMtx7mgappva/Qhv02vMSpgahJ8Q3GAaDg=="/>
    </ext>
  </extLst>
</workbook>
</file>

<file path=xl/calcChain.xml><?xml version="1.0" encoding="utf-8"?>
<calcChain xmlns="http://schemas.openxmlformats.org/spreadsheetml/2006/main">
  <c r="N2" i="1" l="1"/>
  <c r="K2" i="1"/>
  <c r="L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I2" i="1" l="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J457" i="1" s="1"/>
  <c r="I458" i="1"/>
  <c r="J458" i="1" s="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497" i="1"/>
  <c r="J497" i="1" s="1"/>
  <c r="I498" i="1"/>
  <c r="J498" i="1" s="1"/>
  <c r="I499" i="1"/>
  <c r="J499" i="1" s="1"/>
  <c r="I500" i="1"/>
  <c r="J500" i="1" s="1"/>
  <c r="I501" i="1"/>
  <c r="J501" i="1" s="1"/>
  <c r="I502" i="1"/>
  <c r="J502" i="1" s="1"/>
  <c r="I503" i="1"/>
  <c r="J503" i="1" s="1"/>
  <c r="I504" i="1"/>
  <c r="J504" i="1" s="1"/>
  <c r="I505" i="1"/>
  <c r="J505" i="1" s="1"/>
  <c r="I506" i="1"/>
  <c r="J506" i="1" s="1"/>
  <c r="I507" i="1"/>
  <c r="J507" i="1" s="1"/>
  <c r="I508" i="1"/>
  <c r="J508" i="1" s="1"/>
  <c r="I509" i="1"/>
  <c r="J509" i="1" s="1"/>
  <c r="I510" i="1"/>
  <c r="J510" i="1" s="1"/>
  <c r="I511" i="1"/>
  <c r="J511" i="1" s="1"/>
  <c r="I512" i="1"/>
  <c r="J512" i="1" s="1"/>
  <c r="I513" i="1"/>
  <c r="J513" i="1" s="1"/>
  <c r="I514" i="1"/>
  <c r="J514" i="1" s="1"/>
  <c r="I515" i="1"/>
  <c r="J515" i="1" s="1"/>
  <c r="I516" i="1"/>
  <c r="J516" i="1" s="1"/>
  <c r="I517" i="1"/>
  <c r="J517" i="1" s="1"/>
  <c r="I518" i="1"/>
  <c r="J518" i="1" s="1"/>
  <c r="I519" i="1"/>
  <c r="J519" i="1" s="1"/>
  <c r="I520" i="1"/>
  <c r="J520" i="1" s="1"/>
  <c r="I521" i="1"/>
  <c r="J521" i="1" s="1"/>
  <c r="I522" i="1"/>
  <c r="J522" i="1" s="1"/>
  <c r="I523" i="1"/>
  <c r="J523" i="1" s="1"/>
  <c r="I524" i="1"/>
  <c r="J524" i="1" s="1"/>
  <c r="I525" i="1"/>
  <c r="J525" i="1" s="1"/>
  <c r="I526" i="1"/>
  <c r="J526" i="1" s="1"/>
  <c r="I527" i="1"/>
  <c r="J527" i="1" s="1"/>
  <c r="I528" i="1"/>
  <c r="J528" i="1" s="1"/>
  <c r="I529" i="1"/>
  <c r="J529" i="1" s="1"/>
  <c r="I530" i="1"/>
  <c r="J530" i="1" s="1"/>
  <c r="I531" i="1"/>
  <c r="J531" i="1" s="1"/>
  <c r="I532" i="1"/>
  <c r="J532" i="1" s="1"/>
  <c r="I533" i="1"/>
  <c r="J533" i="1" s="1"/>
  <c r="I534" i="1"/>
  <c r="J534" i="1" s="1"/>
  <c r="I535" i="1"/>
  <c r="J535" i="1" s="1"/>
  <c r="I536" i="1"/>
  <c r="J536" i="1" s="1"/>
  <c r="I537" i="1"/>
  <c r="J537" i="1" s="1"/>
  <c r="I538" i="1"/>
  <c r="J538" i="1" s="1"/>
  <c r="I539" i="1"/>
  <c r="J539" i="1" s="1"/>
  <c r="I540" i="1"/>
  <c r="J540" i="1" s="1"/>
  <c r="I541" i="1"/>
  <c r="J541" i="1" s="1"/>
  <c r="I542" i="1"/>
  <c r="J542" i="1" s="1"/>
  <c r="I543" i="1"/>
  <c r="J543" i="1" s="1"/>
  <c r="I544" i="1"/>
  <c r="J544" i="1" s="1"/>
  <c r="I545" i="1"/>
  <c r="J545" i="1" s="1"/>
  <c r="I546" i="1"/>
  <c r="J546" i="1" s="1"/>
  <c r="I547" i="1"/>
  <c r="J547" i="1" s="1"/>
  <c r="I548" i="1"/>
  <c r="J548" i="1" s="1"/>
  <c r="I549" i="1"/>
  <c r="J549" i="1" s="1"/>
  <c r="I550" i="1"/>
  <c r="J550" i="1" s="1"/>
  <c r="I551" i="1"/>
  <c r="J551" i="1" s="1"/>
  <c r="I552" i="1"/>
  <c r="J552" i="1" s="1"/>
  <c r="I553" i="1"/>
  <c r="J553" i="1" s="1"/>
  <c r="I554" i="1"/>
  <c r="J554" i="1" s="1"/>
  <c r="I555" i="1"/>
  <c r="J555" i="1" s="1"/>
  <c r="I556" i="1"/>
  <c r="J556" i="1" s="1"/>
  <c r="I557" i="1"/>
  <c r="J557" i="1" s="1"/>
  <c r="I558" i="1"/>
  <c r="J558" i="1" s="1"/>
  <c r="I559" i="1"/>
  <c r="J559" i="1" s="1"/>
  <c r="I560" i="1"/>
  <c r="J560" i="1" s="1"/>
  <c r="I561" i="1"/>
  <c r="J561" i="1" s="1"/>
  <c r="I562" i="1"/>
  <c r="J562" i="1" s="1"/>
  <c r="I563" i="1"/>
  <c r="J563" i="1" s="1"/>
  <c r="I564" i="1"/>
  <c r="J564" i="1" s="1"/>
  <c r="I565" i="1"/>
  <c r="J565" i="1" s="1"/>
  <c r="I566" i="1"/>
  <c r="J566" i="1" s="1"/>
  <c r="I567" i="1"/>
  <c r="J567" i="1" s="1"/>
  <c r="I568" i="1"/>
  <c r="J568" i="1" s="1"/>
  <c r="I569" i="1"/>
  <c r="J569" i="1" s="1"/>
  <c r="I570" i="1"/>
  <c r="J570" i="1" s="1"/>
  <c r="I571" i="1"/>
  <c r="J571" i="1" s="1"/>
  <c r="I572" i="1"/>
  <c r="J572" i="1" s="1"/>
  <c r="I573" i="1"/>
  <c r="J573" i="1" s="1"/>
  <c r="I574" i="1"/>
  <c r="J574" i="1" s="1"/>
  <c r="I575" i="1"/>
  <c r="J575" i="1" s="1"/>
  <c r="I576" i="1"/>
  <c r="J576" i="1" s="1"/>
  <c r="I577" i="1"/>
  <c r="J577" i="1" s="1"/>
  <c r="I578" i="1"/>
  <c r="J578" i="1" s="1"/>
  <c r="I579" i="1"/>
  <c r="J579" i="1" s="1"/>
  <c r="I580" i="1"/>
  <c r="J580" i="1" s="1"/>
  <c r="I581" i="1"/>
  <c r="J581" i="1" s="1"/>
  <c r="I582" i="1"/>
  <c r="J582" i="1" s="1"/>
  <c r="I583" i="1"/>
  <c r="J583" i="1" s="1"/>
  <c r="I584" i="1"/>
  <c r="J584" i="1" s="1"/>
  <c r="I585" i="1"/>
  <c r="J585" i="1" s="1"/>
  <c r="I586" i="1"/>
  <c r="J586" i="1" s="1"/>
  <c r="I587" i="1"/>
  <c r="J587" i="1" s="1"/>
  <c r="I588" i="1"/>
  <c r="J588" i="1" s="1"/>
  <c r="I589" i="1"/>
  <c r="J589" i="1" s="1"/>
  <c r="I590" i="1"/>
  <c r="J590" i="1" s="1"/>
  <c r="I591" i="1"/>
  <c r="J591" i="1" s="1"/>
  <c r="I592" i="1"/>
  <c r="J592" i="1" s="1"/>
  <c r="I593" i="1"/>
  <c r="J593" i="1" s="1"/>
  <c r="I594" i="1"/>
  <c r="J594" i="1" s="1"/>
  <c r="I595" i="1"/>
  <c r="J595" i="1" s="1"/>
  <c r="I596" i="1"/>
  <c r="J596" i="1" s="1"/>
  <c r="I597" i="1"/>
  <c r="J597" i="1" s="1"/>
  <c r="I598" i="1"/>
  <c r="J598" i="1" s="1"/>
  <c r="I599" i="1"/>
  <c r="J599" i="1" s="1"/>
  <c r="I600" i="1"/>
  <c r="J600" i="1" s="1"/>
  <c r="I601" i="1"/>
  <c r="J601" i="1" s="1"/>
  <c r="I602" i="1"/>
  <c r="J602" i="1" s="1"/>
  <c r="I603" i="1"/>
  <c r="J603" i="1" s="1"/>
  <c r="I604" i="1"/>
  <c r="J604" i="1" s="1"/>
  <c r="I605" i="1"/>
  <c r="J605" i="1" s="1"/>
  <c r="I606" i="1"/>
  <c r="J606" i="1" s="1"/>
  <c r="I607" i="1"/>
  <c r="J607" i="1" s="1"/>
  <c r="I608" i="1"/>
  <c r="J608" i="1" s="1"/>
  <c r="I609" i="1"/>
  <c r="J609" i="1" s="1"/>
  <c r="I610" i="1"/>
  <c r="J610" i="1" s="1"/>
  <c r="I611" i="1"/>
  <c r="J611" i="1" s="1"/>
  <c r="I612" i="1"/>
  <c r="J612" i="1" s="1"/>
  <c r="I613" i="1"/>
  <c r="J613" i="1" s="1"/>
  <c r="I614" i="1"/>
  <c r="J614" i="1" s="1"/>
  <c r="I615" i="1"/>
  <c r="J615" i="1" s="1"/>
  <c r="I616" i="1"/>
  <c r="J616" i="1" s="1"/>
  <c r="I617" i="1"/>
  <c r="J617" i="1" s="1"/>
  <c r="I618" i="1"/>
  <c r="J618" i="1" s="1"/>
  <c r="I619" i="1"/>
  <c r="J619" i="1" s="1"/>
  <c r="I620" i="1"/>
  <c r="J620" i="1" s="1"/>
  <c r="I621" i="1"/>
  <c r="J621" i="1" s="1"/>
  <c r="I622" i="1"/>
  <c r="J622" i="1" s="1"/>
  <c r="I623" i="1"/>
  <c r="J623" i="1" s="1"/>
  <c r="I624" i="1"/>
  <c r="J624" i="1" s="1"/>
  <c r="I625" i="1"/>
  <c r="J625" i="1" s="1"/>
  <c r="I626" i="1"/>
  <c r="J626" i="1" s="1"/>
  <c r="I627" i="1"/>
  <c r="J627" i="1" s="1"/>
  <c r="I628" i="1"/>
  <c r="J628" i="1" s="1"/>
  <c r="I629" i="1"/>
  <c r="J629" i="1" s="1"/>
  <c r="I630" i="1"/>
  <c r="J630" i="1" s="1"/>
  <c r="I631" i="1"/>
  <c r="J631" i="1" s="1"/>
  <c r="I632" i="1"/>
  <c r="J632" i="1" s="1"/>
  <c r="I633" i="1"/>
  <c r="J633" i="1" s="1"/>
  <c r="I634" i="1"/>
  <c r="J634" i="1" s="1"/>
  <c r="I635" i="1"/>
  <c r="J635" i="1" s="1"/>
  <c r="I636" i="1"/>
  <c r="J636" i="1" s="1"/>
  <c r="I637" i="1"/>
  <c r="J637" i="1" s="1"/>
  <c r="I638" i="1"/>
  <c r="J638" i="1" s="1"/>
  <c r="I639" i="1"/>
  <c r="J639" i="1" s="1"/>
  <c r="I640" i="1"/>
  <c r="J640" i="1" s="1"/>
  <c r="I641" i="1"/>
  <c r="J641" i="1" s="1"/>
  <c r="I642" i="1"/>
  <c r="J642" i="1" s="1"/>
  <c r="I643" i="1"/>
  <c r="J643" i="1" s="1"/>
  <c r="I644" i="1"/>
  <c r="J644" i="1" s="1"/>
  <c r="I645" i="1"/>
  <c r="J645" i="1" s="1"/>
  <c r="I646" i="1"/>
  <c r="J646" i="1" s="1"/>
  <c r="I647" i="1"/>
  <c r="J647" i="1" s="1"/>
  <c r="I648" i="1"/>
  <c r="J648" i="1" s="1"/>
  <c r="I649" i="1"/>
  <c r="J649" i="1" s="1"/>
  <c r="I650" i="1"/>
  <c r="J650" i="1" s="1"/>
  <c r="I651" i="1"/>
  <c r="J651" i="1" s="1"/>
  <c r="I652" i="1"/>
  <c r="J652" i="1" s="1"/>
  <c r="I653" i="1"/>
  <c r="J653" i="1" s="1"/>
  <c r="I654" i="1"/>
  <c r="J654" i="1" s="1"/>
  <c r="I655" i="1"/>
  <c r="J655" i="1" s="1"/>
  <c r="I656" i="1"/>
  <c r="J656" i="1" s="1"/>
  <c r="I657" i="1"/>
  <c r="J657" i="1" s="1"/>
  <c r="I658" i="1"/>
  <c r="J658" i="1" s="1"/>
  <c r="I659" i="1"/>
  <c r="J659" i="1" s="1"/>
  <c r="I660" i="1"/>
  <c r="J660" i="1" s="1"/>
  <c r="I661" i="1"/>
  <c r="J661" i="1" s="1"/>
  <c r="I662" i="1"/>
  <c r="J662" i="1" s="1"/>
  <c r="I663" i="1"/>
  <c r="J663" i="1" s="1"/>
  <c r="I664" i="1"/>
  <c r="J664" i="1" s="1"/>
  <c r="I665" i="1"/>
  <c r="J665" i="1" s="1"/>
  <c r="I666" i="1"/>
  <c r="J666" i="1" s="1"/>
  <c r="I667" i="1"/>
  <c r="J667" i="1" s="1"/>
  <c r="I668" i="1"/>
  <c r="J668" i="1" s="1"/>
  <c r="I669" i="1"/>
  <c r="J669" i="1" s="1"/>
  <c r="I670" i="1"/>
  <c r="J670" i="1" s="1"/>
  <c r="I671" i="1"/>
  <c r="J671" i="1" s="1"/>
  <c r="I672" i="1"/>
  <c r="J672" i="1" s="1"/>
  <c r="I673" i="1"/>
  <c r="J673" i="1" s="1"/>
  <c r="I674" i="1"/>
  <c r="J674" i="1" s="1"/>
  <c r="I675" i="1"/>
  <c r="J675" i="1" s="1"/>
  <c r="I676" i="1"/>
  <c r="J676" i="1" s="1"/>
  <c r="I677" i="1"/>
  <c r="J677" i="1" s="1"/>
  <c r="I678" i="1"/>
  <c r="J678" i="1" s="1"/>
  <c r="I679" i="1"/>
  <c r="J679" i="1" s="1"/>
  <c r="I680" i="1"/>
  <c r="J680" i="1" s="1"/>
  <c r="I681" i="1"/>
  <c r="J681" i="1" s="1"/>
  <c r="I682" i="1"/>
  <c r="J682" i="1" s="1"/>
  <c r="I683" i="1"/>
  <c r="J683" i="1" s="1"/>
  <c r="I684" i="1"/>
  <c r="J684" i="1" s="1"/>
  <c r="I685" i="1"/>
  <c r="J685" i="1" s="1"/>
  <c r="I686" i="1"/>
  <c r="J686" i="1" s="1"/>
  <c r="I687" i="1"/>
  <c r="J687" i="1" s="1"/>
  <c r="I688" i="1"/>
  <c r="J688" i="1" s="1"/>
  <c r="I689" i="1"/>
  <c r="J689" i="1" s="1"/>
  <c r="I690" i="1"/>
  <c r="J690" i="1" s="1"/>
  <c r="I691" i="1"/>
  <c r="J691" i="1" s="1"/>
  <c r="I692" i="1"/>
  <c r="J692" i="1" s="1"/>
  <c r="I693" i="1"/>
  <c r="J693" i="1" s="1"/>
  <c r="I694" i="1"/>
  <c r="J694" i="1" s="1"/>
  <c r="I695" i="1"/>
  <c r="J695" i="1" s="1"/>
  <c r="I696" i="1"/>
  <c r="J696" i="1" s="1"/>
  <c r="I697" i="1"/>
  <c r="J697" i="1" s="1"/>
  <c r="I698" i="1"/>
  <c r="J698" i="1" s="1"/>
  <c r="I699" i="1"/>
  <c r="J699" i="1" s="1"/>
  <c r="I700" i="1"/>
  <c r="J700" i="1" s="1"/>
  <c r="I701" i="1"/>
  <c r="J701" i="1" s="1"/>
  <c r="I702" i="1"/>
  <c r="J702" i="1" s="1"/>
  <c r="I703" i="1"/>
  <c r="J703" i="1" s="1"/>
  <c r="I704" i="1"/>
  <c r="J704" i="1" s="1"/>
  <c r="I705" i="1"/>
  <c r="J705" i="1" s="1"/>
  <c r="I706" i="1"/>
  <c r="J706" i="1" s="1"/>
  <c r="I707" i="1"/>
  <c r="J707" i="1" s="1"/>
  <c r="I708" i="1"/>
  <c r="J708" i="1" s="1"/>
  <c r="I709" i="1"/>
  <c r="J709" i="1" s="1"/>
  <c r="I710" i="1"/>
  <c r="J710" i="1" s="1"/>
  <c r="I711" i="1"/>
  <c r="J711" i="1" s="1"/>
  <c r="I712" i="1"/>
  <c r="J712" i="1" s="1"/>
  <c r="I713" i="1"/>
  <c r="J713" i="1" s="1"/>
  <c r="I714" i="1"/>
  <c r="J714" i="1" s="1"/>
  <c r="I715" i="1"/>
  <c r="J715" i="1" s="1"/>
  <c r="I716" i="1"/>
  <c r="J716" i="1" s="1"/>
  <c r="I717" i="1"/>
  <c r="J717" i="1" s="1"/>
  <c r="I718" i="1"/>
  <c r="J718" i="1" s="1"/>
  <c r="I719" i="1"/>
  <c r="J719" i="1" s="1"/>
  <c r="I720" i="1"/>
  <c r="J720" i="1" s="1"/>
  <c r="I721" i="1"/>
  <c r="J721" i="1" s="1"/>
  <c r="I722" i="1"/>
  <c r="J722" i="1" s="1"/>
  <c r="I723" i="1"/>
  <c r="J723" i="1" s="1"/>
  <c r="I724" i="1"/>
  <c r="J724" i="1" s="1"/>
  <c r="I725" i="1"/>
  <c r="J725" i="1" s="1"/>
  <c r="I726" i="1"/>
  <c r="J726" i="1" s="1"/>
  <c r="I727" i="1"/>
  <c r="J727" i="1" s="1"/>
  <c r="I728" i="1"/>
  <c r="J728" i="1" s="1"/>
  <c r="I729" i="1"/>
  <c r="J729" i="1" s="1"/>
  <c r="I730" i="1"/>
  <c r="J730" i="1" s="1"/>
  <c r="I731" i="1"/>
  <c r="J731" i="1" s="1"/>
  <c r="I732" i="1"/>
  <c r="J732" i="1" s="1"/>
  <c r="I733" i="1"/>
  <c r="J733" i="1" s="1"/>
  <c r="I734" i="1"/>
  <c r="J734" i="1" s="1"/>
  <c r="I735" i="1"/>
  <c r="J735" i="1" s="1"/>
  <c r="I736" i="1"/>
  <c r="J736" i="1" s="1"/>
  <c r="I737" i="1"/>
  <c r="J737" i="1" s="1"/>
  <c r="I738" i="1"/>
  <c r="J738" i="1" s="1"/>
  <c r="I739" i="1"/>
  <c r="J739" i="1" s="1"/>
  <c r="I740" i="1"/>
  <c r="J740" i="1" s="1"/>
  <c r="I741" i="1"/>
  <c r="J741" i="1" s="1"/>
  <c r="I742" i="1"/>
  <c r="J742" i="1" s="1"/>
  <c r="I743" i="1"/>
  <c r="J743" i="1" s="1"/>
  <c r="I744" i="1"/>
  <c r="J744" i="1" s="1"/>
  <c r="I745" i="1"/>
  <c r="J745" i="1" s="1"/>
  <c r="I746" i="1"/>
  <c r="J746" i="1" s="1"/>
  <c r="I747" i="1"/>
  <c r="J747" i="1" s="1"/>
  <c r="I748" i="1"/>
  <c r="J748" i="1" s="1"/>
  <c r="I749" i="1"/>
  <c r="J749" i="1" s="1"/>
  <c r="I750" i="1"/>
  <c r="J750" i="1" s="1"/>
  <c r="I751" i="1"/>
  <c r="J751" i="1" s="1"/>
  <c r="I752" i="1"/>
  <c r="J752" i="1" s="1"/>
  <c r="I753" i="1"/>
  <c r="J753" i="1" s="1"/>
  <c r="I754" i="1"/>
  <c r="J754" i="1" s="1"/>
  <c r="I755" i="1"/>
  <c r="J755" i="1" s="1"/>
  <c r="I756" i="1"/>
  <c r="J756" i="1" s="1"/>
  <c r="I757" i="1"/>
  <c r="J757" i="1" s="1"/>
  <c r="I758" i="1"/>
  <c r="J758" i="1" s="1"/>
  <c r="I759" i="1"/>
  <c r="J759" i="1" s="1"/>
  <c r="I760" i="1"/>
  <c r="J760" i="1" s="1"/>
  <c r="I761" i="1"/>
  <c r="J761" i="1" s="1"/>
  <c r="I762" i="1"/>
  <c r="J762" i="1" s="1"/>
  <c r="I763" i="1"/>
  <c r="J763" i="1" s="1"/>
  <c r="I764" i="1"/>
  <c r="J764" i="1" s="1"/>
  <c r="I765" i="1"/>
  <c r="J765" i="1" s="1"/>
  <c r="I766" i="1"/>
  <c r="J766" i="1" s="1"/>
  <c r="I767" i="1"/>
  <c r="J767" i="1" s="1"/>
  <c r="I768" i="1"/>
  <c r="J768" i="1" s="1"/>
  <c r="I769" i="1"/>
  <c r="J769" i="1" s="1"/>
  <c r="I770" i="1"/>
  <c r="J770" i="1" s="1"/>
  <c r="I771" i="1"/>
  <c r="J771" i="1" s="1"/>
  <c r="I772" i="1"/>
  <c r="J772" i="1" s="1"/>
  <c r="I773" i="1"/>
  <c r="J773" i="1" s="1"/>
  <c r="I774" i="1"/>
  <c r="J774" i="1" s="1"/>
  <c r="I775" i="1"/>
  <c r="J775" i="1" s="1"/>
  <c r="I776" i="1"/>
  <c r="J776" i="1" s="1"/>
  <c r="I777" i="1"/>
  <c r="J777" i="1" s="1"/>
  <c r="I778" i="1"/>
  <c r="J778" i="1" s="1"/>
  <c r="I779" i="1"/>
  <c r="J779" i="1" s="1"/>
  <c r="I780" i="1"/>
  <c r="J780" i="1" s="1"/>
  <c r="I781" i="1"/>
  <c r="J781" i="1" s="1"/>
  <c r="I782" i="1"/>
  <c r="J782" i="1" s="1"/>
  <c r="I783" i="1"/>
  <c r="J783" i="1" s="1"/>
  <c r="I784" i="1"/>
  <c r="J784" i="1" s="1"/>
  <c r="I785" i="1"/>
  <c r="J785" i="1" s="1"/>
  <c r="I786" i="1"/>
  <c r="J786" i="1" s="1"/>
  <c r="I787" i="1"/>
  <c r="J787" i="1" s="1"/>
  <c r="I788" i="1"/>
  <c r="J788" i="1" s="1"/>
  <c r="I789" i="1"/>
  <c r="J789" i="1" s="1"/>
  <c r="I790" i="1"/>
  <c r="J790" i="1" s="1"/>
  <c r="I791" i="1"/>
  <c r="J791" i="1" s="1"/>
  <c r="I792" i="1"/>
  <c r="J792" i="1" s="1"/>
  <c r="I793" i="1"/>
  <c r="J793" i="1" s="1"/>
  <c r="I794" i="1"/>
  <c r="J794" i="1" s="1"/>
  <c r="I795" i="1"/>
  <c r="J795" i="1" s="1"/>
  <c r="I796" i="1"/>
  <c r="J796" i="1" s="1"/>
  <c r="I797" i="1"/>
  <c r="J797" i="1" s="1"/>
  <c r="I798" i="1"/>
  <c r="J798" i="1" s="1"/>
  <c r="I799" i="1"/>
  <c r="J799" i="1" s="1"/>
  <c r="I800" i="1"/>
  <c r="J800" i="1" s="1"/>
  <c r="I801" i="1"/>
  <c r="J801" i="1" s="1"/>
  <c r="I802" i="1"/>
  <c r="J802" i="1" s="1"/>
  <c r="I803" i="1"/>
  <c r="J803" i="1" s="1"/>
  <c r="I804" i="1"/>
  <c r="J804" i="1" s="1"/>
  <c r="I805" i="1"/>
  <c r="J805" i="1" s="1"/>
  <c r="I806" i="1"/>
  <c r="J806" i="1" s="1"/>
  <c r="I807" i="1"/>
  <c r="J807" i="1" s="1"/>
  <c r="I808" i="1"/>
  <c r="J808" i="1" s="1"/>
  <c r="I809" i="1"/>
  <c r="J809" i="1" s="1"/>
  <c r="I810" i="1"/>
  <c r="J810" i="1" s="1"/>
  <c r="I811" i="1"/>
  <c r="J811" i="1" s="1"/>
  <c r="I812" i="1"/>
  <c r="J812" i="1" s="1"/>
  <c r="I813" i="1"/>
  <c r="J813" i="1" s="1"/>
  <c r="I814" i="1"/>
  <c r="J814" i="1" s="1"/>
  <c r="I815" i="1"/>
  <c r="J815" i="1" s="1"/>
  <c r="I816" i="1"/>
  <c r="J816" i="1" s="1"/>
  <c r="I817" i="1"/>
  <c r="J817" i="1" s="1"/>
  <c r="I818" i="1"/>
  <c r="J818" i="1" s="1"/>
  <c r="I819" i="1"/>
  <c r="J819" i="1" s="1"/>
  <c r="I820" i="1"/>
  <c r="J820" i="1" s="1"/>
  <c r="I821" i="1"/>
  <c r="J821" i="1" s="1"/>
  <c r="I822" i="1"/>
  <c r="J822" i="1" s="1"/>
  <c r="I823" i="1"/>
  <c r="J823" i="1" s="1"/>
  <c r="I824" i="1"/>
  <c r="J824" i="1" s="1"/>
  <c r="I825" i="1"/>
  <c r="J825" i="1" s="1"/>
  <c r="I826" i="1"/>
  <c r="J826" i="1" s="1"/>
  <c r="I827" i="1"/>
  <c r="J827" i="1" s="1"/>
  <c r="I828" i="1"/>
  <c r="J828" i="1" s="1"/>
  <c r="I829" i="1"/>
  <c r="J829" i="1" s="1"/>
  <c r="I830" i="1"/>
  <c r="J830" i="1" s="1"/>
  <c r="I831" i="1"/>
  <c r="J831" i="1" s="1"/>
  <c r="I832" i="1"/>
  <c r="J832" i="1" s="1"/>
  <c r="I833" i="1"/>
  <c r="J833" i="1" s="1"/>
  <c r="I834" i="1"/>
  <c r="J834" i="1" s="1"/>
  <c r="I835" i="1"/>
  <c r="J835" i="1" s="1"/>
  <c r="I836" i="1"/>
  <c r="J836" i="1" s="1"/>
  <c r="I837" i="1"/>
  <c r="J837" i="1" s="1"/>
  <c r="I838" i="1"/>
  <c r="J838" i="1" s="1"/>
  <c r="I839" i="1"/>
  <c r="J839" i="1" s="1"/>
  <c r="I840" i="1"/>
  <c r="J840" i="1" s="1"/>
  <c r="I841" i="1"/>
  <c r="J841" i="1" s="1"/>
  <c r="I842" i="1"/>
  <c r="J842" i="1" s="1"/>
  <c r="I843" i="1"/>
  <c r="J843" i="1" s="1"/>
  <c r="I844" i="1"/>
  <c r="J844" i="1" s="1"/>
  <c r="I845" i="1"/>
  <c r="J845" i="1" s="1"/>
  <c r="I846" i="1"/>
  <c r="J846" i="1" s="1"/>
  <c r="I847" i="1"/>
  <c r="J847" i="1" s="1"/>
  <c r="I848" i="1"/>
  <c r="J848" i="1" s="1"/>
  <c r="I849" i="1"/>
  <c r="J849" i="1" s="1"/>
  <c r="I850" i="1"/>
  <c r="J850" i="1" s="1"/>
  <c r="I851" i="1"/>
  <c r="J851" i="1" s="1"/>
  <c r="I852" i="1"/>
  <c r="J852" i="1" s="1"/>
  <c r="I853" i="1"/>
  <c r="J853" i="1" s="1"/>
  <c r="I854" i="1"/>
  <c r="J854" i="1" s="1"/>
  <c r="I855" i="1"/>
  <c r="J855" i="1" s="1"/>
  <c r="I856" i="1"/>
  <c r="J856" i="1" s="1"/>
  <c r="I857" i="1"/>
  <c r="J857" i="1" s="1"/>
  <c r="I858" i="1"/>
  <c r="J858" i="1" s="1"/>
  <c r="I859" i="1"/>
  <c r="J859" i="1" s="1"/>
  <c r="I860" i="1"/>
  <c r="J860" i="1" s="1"/>
  <c r="I861" i="1"/>
  <c r="J861" i="1" s="1"/>
  <c r="I862" i="1"/>
  <c r="J862" i="1" s="1"/>
  <c r="I863" i="1"/>
  <c r="J863" i="1" s="1"/>
  <c r="I864" i="1"/>
  <c r="J864" i="1" s="1"/>
  <c r="I865" i="1"/>
  <c r="J865" i="1" s="1"/>
  <c r="I866" i="1"/>
  <c r="J866" i="1" s="1"/>
  <c r="I867" i="1"/>
  <c r="J867" i="1" s="1"/>
  <c r="I868" i="1"/>
  <c r="J868" i="1" s="1"/>
  <c r="I869" i="1"/>
  <c r="J869" i="1" s="1"/>
  <c r="I870" i="1"/>
  <c r="J870" i="1" s="1"/>
  <c r="I871" i="1"/>
  <c r="J871" i="1" s="1"/>
  <c r="I872" i="1"/>
  <c r="J872" i="1" s="1"/>
  <c r="I873" i="1"/>
  <c r="J873" i="1" s="1"/>
  <c r="I874" i="1"/>
  <c r="J874" i="1" s="1"/>
  <c r="I875" i="1"/>
  <c r="J875" i="1" s="1"/>
  <c r="I876" i="1"/>
  <c r="J876" i="1" s="1"/>
  <c r="I877" i="1"/>
  <c r="J877" i="1" s="1"/>
  <c r="I878" i="1"/>
  <c r="J878" i="1" s="1"/>
  <c r="I879" i="1"/>
  <c r="J879" i="1" s="1"/>
  <c r="I880" i="1"/>
  <c r="J880" i="1" s="1"/>
  <c r="I881" i="1"/>
  <c r="J881" i="1" s="1"/>
  <c r="I882" i="1"/>
  <c r="J882" i="1" s="1"/>
  <c r="I883" i="1"/>
  <c r="J883" i="1" s="1"/>
  <c r="I884" i="1"/>
  <c r="J884" i="1" s="1"/>
  <c r="I885" i="1"/>
  <c r="J885" i="1" s="1"/>
  <c r="I886" i="1"/>
  <c r="J886" i="1" s="1"/>
  <c r="I887" i="1"/>
  <c r="J887" i="1" s="1"/>
  <c r="I888" i="1"/>
  <c r="J888" i="1" s="1"/>
  <c r="I889" i="1"/>
  <c r="J889" i="1" s="1"/>
  <c r="I890" i="1"/>
  <c r="J890" i="1" s="1"/>
  <c r="I891" i="1"/>
  <c r="J891" i="1" s="1"/>
  <c r="I892" i="1"/>
  <c r="J892" i="1" s="1"/>
  <c r="I893" i="1"/>
  <c r="J893" i="1" s="1"/>
  <c r="I894" i="1"/>
  <c r="J894" i="1" s="1"/>
  <c r="I895" i="1"/>
  <c r="J895" i="1" s="1"/>
  <c r="I896" i="1"/>
  <c r="J896" i="1" s="1"/>
  <c r="I897" i="1"/>
  <c r="J897" i="1" s="1"/>
  <c r="I898" i="1"/>
  <c r="J898" i="1" s="1"/>
  <c r="I899" i="1"/>
  <c r="J899" i="1" s="1"/>
  <c r="I900" i="1"/>
  <c r="J900" i="1" s="1"/>
  <c r="I901" i="1"/>
  <c r="J901" i="1" s="1"/>
  <c r="I902" i="1"/>
  <c r="J902" i="1" s="1"/>
  <c r="I903" i="1"/>
  <c r="J903" i="1" s="1"/>
  <c r="I904" i="1"/>
  <c r="J904" i="1" s="1"/>
  <c r="I905" i="1"/>
  <c r="J905" i="1" s="1"/>
  <c r="I906" i="1"/>
  <c r="J906" i="1" s="1"/>
  <c r="I907" i="1"/>
  <c r="J907" i="1" s="1"/>
  <c r="I908" i="1"/>
  <c r="J908" i="1" s="1"/>
  <c r="I909" i="1"/>
  <c r="J909" i="1" s="1"/>
  <c r="I910" i="1"/>
  <c r="J910" i="1" s="1"/>
  <c r="I911" i="1"/>
  <c r="J911" i="1" s="1"/>
  <c r="I912" i="1"/>
  <c r="J912" i="1" s="1"/>
  <c r="I913" i="1"/>
  <c r="J913" i="1" s="1"/>
  <c r="I914" i="1"/>
  <c r="J914" i="1" s="1"/>
  <c r="I915" i="1"/>
  <c r="J915" i="1" s="1"/>
  <c r="I916" i="1"/>
  <c r="J916" i="1" s="1"/>
  <c r="I917" i="1"/>
  <c r="J917" i="1" s="1"/>
  <c r="I918" i="1"/>
  <c r="J918" i="1" s="1"/>
  <c r="I919" i="1"/>
  <c r="J919" i="1" s="1"/>
  <c r="I920" i="1"/>
  <c r="J920" i="1" s="1"/>
  <c r="I921" i="1"/>
  <c r="J921" i="1" s="1"/>
  <c r="I922" i="1"/>
  <c r="J922" i="1" s="1"/>
  <c r="I923" i="1"/>
  <c r="J923" i="1" s="1"/>
  <c r="I924" i="1"/>
  <c r="J924" i="1" s="1"/>
  <c r="I925" i="1"/>
  <c r="J925" i="1" s="1"/>
  <c r="I926" i="1"/>
  <c r="J926" i="1" s="1"/>
  <c r="I927" i="1"/>
  <c r="J927" i="1" s="1"/>
  <c r="I928" i="1"/>
  <c r="J928" i="1" s="1"/>
  <c r="I929" i="1"/>
  <c r="J929" i="1" s="1"/>
  <c r="I930" i="1"/>
  <c r="J930" i="1" s="1"/>
  <c r="I931" i="1"/>
  <c r="J931" i="1" s="1"/>
  <c r="I932" i="1"/>
  <c r="J932" i="1" s="1"/>
  <c r="I933" i="1"/>
  <c r="J933" i="1" s="1"/>
  <c r="I934" i="1"/>
  <c r="J934" i="1" s="1"/>
  <c r="I935" i="1"/>
  <c r="J935" i="1" s="1"/>
  <c r="I936" i="1"/>
  <c r="J936" i="1" s="1"/>
  <c r="I937" i="1"/>
  <c r="J937" i="1" s="1"/>
  <c r="I938" i="1"/>
  <c r="J938" i="1" s="1"/>
  <c r="I939" i="1"/>
  <c r="J939" i="1" s="1"/>
  <c r="I940" i="1"/>
  <c r="J940" i="1" s="1"/>
  <c r="I941" i="1"/>
  <c r="J941" i="1" s="1"/>
  <c r="I942" i="1"/>
  <c r="J942" i="1" s="1"/>
  <c r="I943" i="1"/>
  <c r="J943" i="1" s="1"/>
  <c r="I944" i="1"/>
  <c r="J944" i="1" s="1"/>
  <c r="I945" i="1"/>
  <c r="J945" i="1" s="1"/>
  <c r="I946" i="1"/>
  <c r="J946" i="1" s="1"/>
  <c r="I947" i="1"/>
  <c r="J947" i="1" s="1"/>
  <c r="I948" i="1"/>
  <c r="J948" i="1" s="1"/>
  <c r="I949" i="1"/>
  <c r="J949" i="1" s="1"/>
  <c r="I950" i="1"/>
  <c r="J950" i="1" s="1"/>
  <c r="I951" i="1"/>
  <c r="J951" i="1" s="1"/>
  <c r="I952" i="1"/>
  <c r="J952" i="1" s="1"/>
  <c r="I953" i="1"/>
  <c r="J953" i="1" s="1"/>
  <c r="I954" i="1"/>
  <c r="J954" i="1" s="1"/>
  <c r="I955" i="1"/>
  <c r="J955" i="1" s="1"/>
  <c r="I956" i="1"/>
  <c r="J956" i="1" s="1"/>
  <c r="I957" i="1"/>
  <c r="J957" i="1" s="1"/>
  <c r="I958" i="1"/>
  <c r="J958" i="1" s="1"/>
  <c r="I959" i="1"/>
  <c r="J959" i="1" s="1"/>
  <c r="I960" i="1"/>
  <c r="J960" i="1" s="1"/>
  <c r="I961" i="1"/>
  <c r="J961" i="1" s="1"/>
  <c r="I962" i="1"/>
  <c r="J962" i="1" s="1"/>
  <c r="I963" i="1"/>
  <c r="J963" i="1" s="1"/>
  <c r="I964" i="1"/>
  <c r="J964" i="1" s="1"/>
  <c r="I965" i="1"/>
  <c r="J965" i="1" s="1"/>
  <c r="I966" i="1"/>
  <c r="J966" i="1" s="1"/>
  <c r="I967" i="1"/>
  <c r="J967" i="1" s="1"/>
  <c r="I968" i="1"/>
  <c r="J968" i="1" s="1"/>
  <c r="I969" i="1"/>
  <c r="J969" i="1" s="1"/>
  <c r="I970" i="1"/>
  <c r="J970" i="1" s="1"/>
  <c r="I971" i="1"/>
  <c r="J971" i="1" s="1"/>
  <c r="I972" i="1"/>
  <c r="J972" i="1" s="1"/>
  <c r="I973" i="1"/>
  <c r="J973" i="1" s="1"/>
  <c r="I974" i="1"/>
  <c r="J974" i="1" s="1"/>
  <c r="I975" i="1"/>
  <c r="J975" i="1" s="1"/>
  <c r="I976" i="1"/>
  <c r="J976" i="1" s="1"/>
  <c r="I977" i="1"/>
  <c r="J977" i="1" s="1"/>
  <c r="I978" i="1"/>
  <c r="J978" i="1" s="1"/>
  <c r="I979" i="1"/>
  <c r="J979" i="1" s="1"/>
  <c r="I980" i="1"/>
  <c r="J980" i="1" s="1"/>
  <c r="I981" i="1"/>
  <c r="J981" i="1" s="1"/>
  <c r="I982" i="1"/>
  <c r="J982" i="1" s="1"/>
  <c r="I983" i="1"/>
  <c r="J983" i="1" s="1"/>
  <c r="I984" i="1"/>
  <c r="J984" i="1" s="1"/>
  <c r="I985" i="1"/>
  <c r="J985" i="1" s="1"/>
  <c r="I986" i="1"/>
  <c r="J986" i="1" s="1"/>
  <c r="I987" i="1"/>
  <c r="J987" i="1" s="1"/>
  <c r="I988" i="1"/>
  <c r="J988" i="1" s="1"/>
  <c r="I989" i="1"/>
  <c r="J989" i="1" s="1"/>
  <c r="I990" i="1"/>
  <c r="J990" i="1" s="1"/>
  <c r="I991" i="1"/>
  <c r="J991" i="1" s="1"/>
  <c r="I992" i="1"/>
  <c r="J992" i="1" s="1"/>
  <c r="I993" i="1"/>
  <c r="J993" i="1" s="1"/>
  <c r="I994" i="1"/>
  <c r="J994" i="1" s="1"/>
  <c r="I995" i="1"/>
  <c r="J995" i="1" s="1"/>
  <c r="I996" i="1"/>
  <c r="J996" i="1" s="1"/>
  <c r="I997" i="1"/>
  <c r="J997" i="1" s="1"/>
  <c r="I998" i="1"/>
  <c r="J998" i="1" s="1"/>
  <c r="I999" i="1"/>
  <c r="J999" i="1" s="1"/>
  <c r="I1000" i="1"/>
  <c r="J1000" i="1" s="1"/>
  <c r="I1001" i="1"/>
  <c r="J1001" i="1" s="1"/>
</calcChain>
</file>

<file path=xl/sharedStrings.xml><?xml version="1.0" encoding="utf-8"?>
<sst xmlns="http://schemas.openxmlformats.org/spreadsheetml/2006/main" count="6168" uniqueCount="1484">
  <si>
    <t>Finance</t>
  </si>
  <si>
    <t>Admin</t>
  </si>
  <si>
    <t>Dispatch</t>
  </si>
  <si>
    <t>finance</t>
  </si>
  <si>
    <t>Production</t>
  </si>
  <si>
    <t>human resources</t>
  </si>
  <si>
    <t>Customer Service</t>
  </si>
  <si>
    <t>&lt;1000000</t>
  </si>
  <si>
    <t>5% OF SALARY</t>
  </si>
  <si>
    <t>internal control</t>
  </si>
  <si>
    <t>Quality Control</t>
  </si>
  <si>
    <t>&gt;1000000</t>
  </si>
  <si>
    <t>10% OF SALARY</t>
  </si>
  <si>
    <t>IT</t>
  </si>
  <si>
    <t>R&amp;D</t>
  </si>
  <si>
    <t>Department</t>
  </si>
  <si>
    <t>Unit</t>
  </si>
  <si>
    <t>Bank</t>
  </si>
  <si>
    <t>Salary</t>
  </si>
  <si>
    <t>Olubunmi</t>
  </si>
  <si>
    <t>Adeyemi</t>
  </si>
  <si>
    <t>Bauchi</t>
  </si>
  <si>
    <t>Account Receivables</t>
  </si>
  <si>
    <t>Sub-Standard Bank</t>
  </si>
  <si>
    <t>Albert</t>
  </si>
  <si>
    <t>Ornams</t>
  </si>
  <si>
    <t>Borno</t>
  </si>
  <si>
    <t>Human Resources</t>
  </si>
  <si>
    <t>Training &amp; Development</t>
  </si>
  <si>
    <t>Distressed Bank</t>
  </si>
  <si>
    <t>Ibi-Kunle</t>
  </si>
  <si>
    <t>Ayodeji</t>
  </si>
  <si>
    <t>Rivers</t>
  </si>
  <si>
    <t>Admin.</t>
  </si>
  <si>
    <t>MD's Office</t>
  </si>
  <si>
    <t>Oasis Bank</t>
  </si>
  <si>
    <t>Alihu</t>
  </si>
  <si>
    <t>Sarkin</t>
  </si>
  <si>
    <t>Benue</t>
  </si>
  <si>
    <t>Internal Control</t>
  </si>
  <si>
    <t>Risk Management</t>
  </si>
  <si>
    <t>Offiong</t>
  </si>
  <si>
    <t>Bassey</t>
  </si>
  <si>
    <t>Desktop Support</t>
  </si>
  <si>
    <t>Janet</t>
  </si>
  <si>
    <t>Dunu</t>
  </si>
  <si>
    <t>Cross-River</t>
  </si>
  <si>
    <t>Expenditure</t>
  </si>
  <si>
    <t>Money Doublers' Bank</t>
  </si>
  <si>
    <t>Tunde</t>
  </si>
  <si>
    <t>Salami</t>
  </si>
  <si>
    <t>Planning &amp; Development</t>
  </si>
  <si>
    <t>Ibrahim</t>
  </si>
  <si>
    <t>Bako</t>
  </si>
  <si>
    <t>Lagos</t>
  </si>
  <si>
    <t>Supplies</t>
  </si>
  <si>
    <t>Atlantic Bank</t>
  </si>
  <si>
    <t>Kunle</t>
  </si>
  <si>
    <t>Isiukwu</t>
  </si>
  <si>
    <t>Ekiti</t>
  </si>
  <si>
    <t>Logistics</t>
  </si>
  <si>
    <t>Farouk</t>
  </si>
  <si>
    <t>Jato</t>
  </si>
  <si>
    <t xml:space="preserve">Production </t>
  </si>
  <si>
    <t>Planning</t>
  </si>
  <si>
    <t>Uzoma</t>
  </si>
  <si>
    <t>Obi</t>
  </si>
  <si>
    <t>Connectivity</t>
  </si>
  <si>
    <t>James</t>
  </si>
  <si>
    <t>Ubong</t>
  </si>
  <si>
    <t>Budgeting</t>
  </si>
  <si>
    <t>Last Bank Of Nigeria</t>
  </si>
  <si>
    <t>Ernest</t>
  </si>
  <si>
    <t>Ike</t>
  </si>
  <si>
    <t>Call Center</t>
  </si>
  <si>
    <t>Nosa</t>
  </si>
  <si>
    <t>Edebor</t>
  </si>
  <si>
    <t>Gombe</t>
  </si>
  <si>
    <t>Research</t>
  </si>
  <si>
    <t>Uche</t>
  </si>
  <si>
    <t>Iweka</t>
  </si>
  <si>
    <t>Ikechukwu</t>
  </si>
  <si>
    <t>Nwigwe</t>
  </si>
  <si>
    <t>Joyce</t>
  </si>
  <si>
    <t>Shittigona</t>
  </si>
  <si>
    <t>Benefits Admin.</t>
  </si>
  <si>
    <t>Humphrey</t>
  </si>
  <si>
    <t>Idachaba</t>
  </si>
  <si>
    <t>Delta</t>
  </si>
  <si>
    <t>Account Payables</t>
  </si>
  <si>
    <t>Ade</t>
  </si>
  <si>
    <t>Adefarasin</t>
  </si>
  <si>
    <t>Furo</t>
  </si>
  <si>
    <t>Diete-Spiff</t>
  </si>
  <si>
    <t>Chidi</t>
  </si>
  <si>
    <t>Nwosisi</t>
  </si>
  <si>
    <t>Katsina</t>
  </si>
  <si>
    <t>Segun</t>
  </si>
  <si>
    <t>Okoh</t>
  </si>
  <si>
    <t>Zamfara</t>
  </si>
  <si>
    <t>Ngozi</t>
  </si>
  <si>
    <t>Ojo</t>
  </si>
  <si>
    <t>Courier</t>
  </si>
  <si>
    <t>Ibironke</t>
  </si>
  <si>
    <t>Eweka</t>
  </si>
  <si>
    <t>Plateau</t>
  </si>
  <si>
    <t>Payroll</t>
  </si>
  <si>
    <t>Olubukonla</t>
  </si>
  <si>
    <t>Ene</t>
  </si>
  <si>
    <t>Training</t>
  </si>
  <si>
    <t>Olugbenga</t>
  </si>
  <si>
    <t>Otike-Odibi</t>
  </si>
  <si>
    <t>Imo</t>
  </si>
  <si>
    <t>Technical Design</t>
  </si>
  <si>
    <t>Abdul-Rasaq</t>
  </si>
  <si>
    <t>Izevbigie</t>
  </si>
  <si>
    <t>Ugo</t>
  </si>
  <si>
    <t>Aruede</t>
  </si>
  <si>
    <t>Ebonyi</t>
  </si>
  <si>
    <t>Uwachukwu</t>
  </si>
  <si>
    <t>Business Application Support</t>
  </si>
  <si>
    <t>Uzezi</t>
  </si>
  <si>
    <t>Chiwonyi</t>
  </si>
  <si>
    <t>Social Media</t>
  </si>
  <si>
    <t>Akpata</t>
  </si>
  <si>
    <t>Kwara</t>
  </si>
  <si>
    <t>Ifeoma</t>
  </si>
  <si>
    <t>Agu</t>
  </si>
  <si>
    <t>Jigawa</t>
  </si>
  <si>
    <t>Abiodun</t>
  </si>
  <si>
    <t>Popoola</t>
  </si>
  <si>
    <t>Maintenance</t>
  </si>
  <si>
    <t>Bolanle</t>
  </si>
  <si>
    <t>Itayemi</t>
  </si>
  <si>
    <t>Bayelsa</t>
  </si>
  <si>
    <t>Gloria</t>
  </si>
  <si>
    <t>Agoro</t>
  </si>
  <si>
    <t>Akwa-Ibom</t>
  </si>
  <si>
    <t>Oluwatoyin</t>
  </si>
  <si>
    <t>Obhizolle</t>
  </si>
  <si>
    <t>Adamawa</t>
  </si>
  <si>
    <t>Queenmary</t>
  </si>
  <si>
    <t>Akinbodunse</t>
  </si>
  <si>
    <t>Abia</t>
  </si>
  <si>
    <t>Help Desk</t>
  </si>
  <si>
    <t>Ikpoba</t>
  </si>
  <si>
    <t>Edo</t>
  </si>
  <si>
    <t>Anthony</t>
  </si>
  <si>
    <t>Fadahunsi</t>
  </si>
  <si>
    <t>Kaduna</t>
  </si>
  <si>
    <t>Lara</t>
  </si>
  <si>
    <t>Busari</t>
  </si>
  <si>
    <t>Wuraola</t>
  </si>
  <si>
    <t>Mayuku</t>
  </si>
  <si>
    <t>Abiola</t>
  </si>
  <si>
    <t>Ogunlabi</t>
  </si>
  <si>
    <t>Anambra</t>
  </si>
  <si>
    <t>Rudayat</t>
  </si>
  <si>
    <t>Ugwumadu</t>
  </si>
  <si>
    <t>Sokoto</t>
  </si>
  <si>
    <t>Onyemaechi</t>
  </si>
  <si>
    <t>Onabanjo</t>
  </si>
  <si>
    <t>Yobe</t>
  </si>
  <si>
    <t>Olusola</t>
  </si>
  <si>
    <t>Oguntuase</t>
  </si>
  <si>
    <t>Osun</t>
  </si>
  <si>
    <t>Adebukola</t>
  </si>
  <si>
    <t>Utoh</t>
  </si>
  <si>
    <t>Amena</t>
  </si>
  <si>
    <t>Disu</t>
  </si>
  <si>
    <t>Busola</t>
  </si>
  <si>
    <t>Bamigboye</t>
  </si>
  <si>
    <t>Onyeabo</t>
  </si>
  <si>
    <t>Akinola</t>
  </si>
  <si>
    <t>Taraba</t>
  </si>
  <si>
    <t>Victoria</t>
  </si>
  <si>
    <t>Eyitayo</t>
  </si>
  <si>
    <t>Ondo</t>
  </si>
  <si>
    <t>Emmanuel</t>
  </si>
  <si>
    <t>Ajobena</t>
  </si>
  <si>
    <t>Niger</t>
  </si>
  <si>
    <t>Joseph</t>
  </si>
  <si>
    <t>Areo</t>
  </si>
  <si>
    <t>Kogi</t>
  </si>
  <si>
    <t>Joel</t>
  </si>
  <si>
    <t>Ogunranti</t>
  </si>
  <si>
    <t>Compliance</t>
  </si>
  <si>
    <t>Ime</t>
  </si>
  <si>
    <t>Ifashe</t>
  </si>
  <si>
    <t>Fraud Control</t>
  </si>
  <si>
    <t>Iyiola</t>
  </si>
  <si>
    <t>Abereoje</t>
  </si>
  <si>
    <t>Opeyemi</t>
  </si>
  <si>
    <t>Osawata</t>
  </si>
  <si>
    <t>Olumide</t>
  </si>
  <si>
    <t>Samuel</t>
  </si>
  <si>
    <t>Akinyemi</t>
  </si>
  <si>
    <t>Adobanyi</t>
  </si>
  <si>
    <t>Sulaiman</t>
  </si>
  <si>
    <t>Nasiru</t>
  </si>
  <si>
    <t>Williams</t>
  </si>
  <si>
    <t>Ozieh</t>
  </si>
  <si>
    <t>Jane</t>
  </si>
  <si>
    <t>Umunakwe</t>
  </si>
  <si>
    <t>Titilola</t>
  </si>
  <si>
    <t>Akeem</t>
  </si>
  <si>
    <t>Adetunji</t>
  </si>
  <si>
    <t>Asaju</t>
  </si>
  <si>
    <t>Omolade</t>
  </si>
  <si>
    <t>Adesina</t>
  </si>
  <si>
    <t>Genevieve</t>
  </si>
  <si>
    <t>Winjobi</t>
  </si>
  <si>
    <t>Olasunkanmi</t>
  </si>
  <si>
    <t>Sodipe</t>
  </si>
  <si>
    <t>Omobolanle</t>
  </si>
  <si>
    <t>Hinmikaiye</t>
  </si>
  <si>
    <t>Augustine</t>
  </si>
  <si>
    <t>Agbaja</t>
  </si>
  <si>
    <t>Modupe</t>
  </si>
  <si>
    <t>Ajene</t>
  </si>
  <si>
    <t>Oyetunde</t>
  </si>
  <si>
    <t>Ojukaiye</t>
  </si>
  <si>
    <t>Analysis</t>
  </si>
  <si>
    <t>Ochoga</t>
  </si>
  <si>
    <t>Godfrey</t>
  </si>
  <si>
    <t>Okunfeyijimi</t>
  </si>
  <si>
    <t>Babatope</t>
  </si>
  <si>
    <t>Uzoigwe</t>
  </si>
  <si>
    <t>Yetunde</t>
  </si>
  <si>
    <t>Obodoekea</t>
  </si>
  <si>
    <t>Ajibabi</t>
  </si>
  <si>
    <t>Eneanya</t>
  </si>
  <si>
    <t>Stella</t>
  </si>
  <si>
    <t>Oyafunke</t>
  </si>
  <si>
    <t>Design</t>
  </si>
  <si>
    <t>Ibhade</t>
  </si>
  <si>
    <t>Omoyeni</t>
  </si>
  <si>
    <t>Jacklyne</t>
  </si>
  <si>
    <t>Seton</t>
  </si>
  <si>
    <t>John</t>
  </si>
  <si>
    <t>Fatoki</t>
  </si>
  <si>
    <t>Mope</t>
  </si>
  <si>
    <t>Odufalu</t>
  </si>
  <si>
    <t>Olukayode</t>
  </si>
  <si>
    <t>Obeya</t>
  </si>
  <si>
    <t>Ayoola</t>
  </si>
  <si>
    <t>Dabo</t>
  </si>
  <si>
    <t>Bababunmi</t>
  </si>
  <si>
    <t>Ijisesan</t>
  </si>
  <si>
    <t>Olusegun</t>
  </si>
  <si>
    <t>Adebowale</t>
  </si>
  <si>
    <t>Adewale</t>
  </si>
  <si>
    <t>Ifezulike</t>
  </si>
  <si>
    <t>Adejumoke</t>
  </si>
  <si>
    <t>Olise</t>
  </si>
  <si>
    <t>Ayodele</t>
  </si>
  <si>
    <t>Nwelih</t>
  </si>
  <si>
    <t>Ruth</t>
  </si>
  <si>
    <t>Shyllon</t>
  </si>
  <si>
    <t>Juliana</t>
  </si>
  <si>
    <t>Finnih</t>
  </si>
  <si>
    <t>Victor</t>
  </si>
  <si>
    <t>Okobi</t>
  </si>
  <si>
    <t>Michael</t>
  </si>
  <si>
    <t>Akinsowon</t>
  </si>
  <si>
    <t>Eseohe</t>
  </si>
  <si>
    <t>Alagbe</t>
  </si>
  <si>
    <t>Joy</t>
  </si>
  <si>
    <t>Onyeuko</t>
  </si>
  <si>
    <t>Uloma</t>
  </si>
  <si>
    <t>Musa</t>
  </si>
  <si>
    <t>Paul</t>
  </si>
  <si>
    <t>Olajumoke</t>
  </si>
  <si>
    <t>Uwaoma</t>
  </si>
  <si>
    <t>Obinna</t>
  </si>
  <si>
    <t>Makun</t>
  </si>
  <si>
    <t>Jennifer</t>
  </si>
  <si>
    <t>Gwandiku</t>
  </si>
  <si>
    <t>Awolana</t>
  </si>
  <si>
    <t>Eniola</t>
  </si>
  <si>
    <t>Achem</t>
  </si>
  <si>
    <t>Ibiyemi</t>
  </si>
  <si>
    <t>Abegunde</t>
  </si>
  <si>
    <t>Kelvin</t>
  </si>
  <si>
    <t>Garuba</t>
  </si>
  <si>
    <t>Erica</t>
  </si>
  <si>
    <t>Nweje</t>
  </si>
  <si>
    <t>Abolo</t>
  </si>
  <si>
    <t>Omolara</t>
  </si>
  <si>
    <t>Udom</t>
  </si>
  <si>
    <t>Gideon</t>
  </si>
  <si>
    <t>Emodi</t>
  </si>
  <si>
    <t>Abdullai</t>
  </si>
  <si>
    <t>Nwaonu</t>
  </si>
  <si>
    <t>Olubusola</t>
  </si>
  <si>
    <t>Onianwah</t>
  </si>
  <si>
    <t>Amadin</t>
  </si>
  <si>
    <t>Chuks</t>
  </si>
  <si>
    <t>Kajero</t>
  </si>
  <si>
    <t>Celina</t>
  </si>
  <si>
    <t>Okeke</t>
  </si>
  <si>
    <t>Omosehinde</t>
  </si>
  <si>
    <t>Igunma</t>
  </si>
  <si>
    <t>Kebbi</t>
  </si>
  <si>
    <t>Tajudeen</t>
  </si>
  <si>
    <t>Okoro</t>
  </si>
  <si>
    <t>Philomena</t>
  </si>
  <si>
    <t>Ajiboye</t>
  </si>
  <si>
    <t>Wellington</t>
  </si>
  <si>
    <t>Duduyemi</t>
  </si>
  <si>
    <t>Mmaette</t>
  </si>
  <si>
    <t>Edomobi</t>
  </si>
  <si>
    <t>Ogunsakin</t>
  </si>
  <si>
    <t>Enugu</t>
  </si>
  <si>
    <t>Simon</t>
  </si>
  <si>
    <t>Olomu</t>
  </si>
  <si>
    <t>FCT</t>
  </si>
  <si>
    <t>Jumoke</t>
  </si>
  <si>
    <t>Ubah</t>
  </si>
  <si>
    <t>Folami</t>
  </si>
  <si>
    <t>Henry</t>
  </si>
  <si>
    <t>Ejelonu</t>
  </si>
  <si>
    <t>Olubukola</t>
  </si>
  <si>
    <t>Hassan</t>
  </si>
  <si>
    <t>Nassarawa</t>
  </si>
  <si>
    <t>Taiwo</t>
  </si>
  <si>
    <t>Fasasi</t>
  </si>
  <si>
    <t>Emeka</t>
  </si>
  <si>
    <t>Atah</t>
  </si>
  <si>
    <t>Olaitan</t>
  </si>
  <si>
    <t>Asiegbu</t>
  </si>
  <si>
    <t>Joshua</t>
  </si>
  <si>
    <t>Badia</t>
  </si>
  <si>
    <t>Tosin</t>
  </si>
  <si>
    <t>Osula</t>
  </si>
  <si>
    <t>Ife</t>
  </si>
  <si>
    <t>Dung</t>
  </si>
  <si>
    <t>Dele</t>
  </si>
  <si>
    <t>Oyewale</t>
  </si>
  <si>
    <t>Fatoye</t>
  </si>
  <si>
    <t>Ona</t>
  </si>
  <si>
    <t>Ebun</t>
  </si>
  <si>
    <t>Oyibo</t>
  </si>
  <si>
    <t>Bola</t>
  </si>
  <si>
    <t>Ovie</t>
  </si>
  <si>
    <t>Charles</t>
  </si>
  <si>
    <t>Fashina</t>
  </si>
  <si>
    <t>Alex</t>
  </si>
  <si>
    <t>Ogundahunsi</t>
  </si>
  <si>
    <t>Ajan</t>
  </si>
  <si>
    <t>Halima</t>
  </si>
  <si>
    <t>Medafe</t>
  </si>
  <si>
    <t>Abdul</t>
  </si>
  <si>
    <t>Gafaar</t>
  </si>
  <si>
    <t>Oyem</t>
  </si>
  <si>
    <t>Abu</t>
  </si>
  <si>
    <t>Kamson</t>
  </si>
  <si>
    <t>Wunmi</t>
  </si>
  <si>
    <t>Maibe</t>
  </si>
  <si>
    <t>Ezekiel</t>
  </si>
  <si>
    <t>Balogun</t>
  </si>
  <si>
    <t>Akinloye</t>
  </si>
  <si>
    <t>Alao</t>
  </si>
  <si>
    <t>Oyo</t>
  </si>
  <si>
    <t>Yusuf</t>
  </si>
  <si>
    <t>Ziem</t>
  </si>
  <si>
    <t>Tella</t>
  </si>
  <si>
    <t>Folahan</t>
  </si>
  <si>
    <t>Ehi</t>
  </si>
  <si>
    <t>Hamza</t>
  </si>
  <si>
    <t>Aiyegbusi</t>
  </si>
  <si>
    <t>Peter</t>
  </si>
  <si>
    <t>Ephraim</t>
  </si>
  <si>
    <t>Woko</t>
  </si>
  <si>
    <t>Nwaze</t>
  </si>
  <si>
    <t>Uchenna</t>
  </si>
  <si>
    <t>Nwa</t>
  </si>
  <si>
    <t>Kano</t>
  </si>
  <si>
    <t>Efe</t>
  </si>
  <si>
    <t>Yugu</t>
  </si>
  <si>
    <t>Onwu</t>
  </si>
  <si>
    <t>Ibikunle</t>
  </si>
  <si>
    <t>Mohammed</t>
  </si>
  <si>
    <t>Linus</t>
  </si>
  <si>
    <t>Ezeani</t>
  </si>
  <si>
    <t>Olaniyi</t>
  </si>
  <si>
    <t>Obasuyi</t>
  </si>
  <si>
    <t>Kayode</t>
  </si>
  <si>
    <t>Ezugo</t>
  </si>
  <si>
    <t>Mutallib</t>
  </si>
  <si>
    <t>Damilola</t>
  </si>
  <si>
    <t>Oyebamiji</t>
  </si>
  <si>
    <t>Sanni</t>
  </si>
  <si>
    <t>Olade</t>
  </si>
  <si>
    <t>Zainab</t>
  </si>
  <si>
    <t>Akintoye</t>
  </si>
  <si>
    <t>Asha</t>
  </si>
  <si>
    <t>Nugba</t>
  </si>
  <si>
    <t>Isi</t>
  </si>
  <si>
    <t>Banwo</t>
  </si>
  <si>
    <t>Idowu</t>
  </si>
  <si>
    <t>Waheed</t>
  </si>
  <si>
    <t>kemi</t>
  </si>
  <si>
    <t>Tolulope</t>
  </si>
  <si>
    <t>Robinson</t>
  </si>
  <si>
    <t>Abimbola</t>
  </si>
  <si>
    <t>Azeez</t>
  </si>
  <si>
    <t>Adebusola</t>
  </si>
  <si>
    <t>Dominic</t>
  </si>
  <si>
    <t>Bello</t>
  </si>
  <si>
    <t>Fade</t>
  </si>
  <si>
    <t>Kolajo</t>
  </si>
  <si>
    <t>David</t>
  </si>
  <si>
    <t>Odiah</t>
  </si>
  <si>
    <t>Ukwa</t>
  </si>
  <si>
    <t>Obidare</t>
  </si>
  <si>
    <t>Grace</t>
  </si>
  <si>
    <t>Seun</t>
  </si>
  <si>
    <t>Ajedi</t>
  </si>
  <si>
    <t>Laide</t>
  </si>
  <si>
    <t>Azu</t>
  </si>
  <si>
    <t>Uwe</t>
  </si>
  <si>
    <t>Oladimeji</t>
  </si>
  <si>
    <t>Fatoyinbo</t>
  </si>
  <si>
    <t>Olawunmi</t>
  </si>
  <si>
    <t>Temitayo</t>
  </si>
  <si>
    <t>Ogunremi</t>
  </si>
  <si>
    <t>Tina</t>
  </si>
  <si>
    <t>Theresa</t>
  </si>
  <si>
    <t>Badiru</t>
  </si>
  <si>
    <t>Foluso</t>
  </si>
  <si>
    <t>Olajide</t>
  </si>
  <si>
    <t>Adijat</t>
  </si>
  <si>
    <t>Omosebi</t>
  </si>
  <si>
    <t>Blank</t>
  </si>
  <si>
    <t>Okereke</t>
  </si>
  <si>
    <t>Funmi</t>
  </si>
  <si>
    <t>Igboni</t>
  </si>
  <si>
    <t>Cyril</t>
  </si>
  <si>
    <t>Obajimi</t>
  </si>
  <si>
    <t>Hafsah</t>
  </si>
  <si>
    <t>Left</t>
  </si>
  <si>
    <t>Martins</t>
  </si>
  <si>
    <t>Ani</t>
  </si>
  <si>
    <t>Tope</t>
  </si>
  <si>
    <t>Utoro</t>
  </si>
  <si>
    <t>Wright</t>
  </si>
  <si>
    <t>Edna</t>
  </si>
  <si>
    <t>Abdullahi</t>
  </si>
  <si>
    <t>Sunday</t>
  </si>
  <si>
    <t>Ayo</t>
  </si>
  <si>
    <t>Afo</t>
  </si>
  <si>
    <t>Talabi</t>
  </si>
  <si>
    <t>Saheed</t>
  </si>
  <si>
    <t>Dairo</t>
  </si>
  <si>
    <t>Vivian</t>
  </si>
  <si>
    <t>Olatunji</t>
  </si>
  <si>
    <t>Philip</t>
  </si>
  <si>
    <t>Ajadi</t>
  </si>
  <si>
    <t>Izuchukwu</t>
  </si>
  <si>
    <t>Okun</t>
  </si>
  <si>
    <t>Austine</t>
  </si>
  <si>
    <t>Oye</t>
  </si>
  <si>
    <t>Akinwale</t>
  </si>
  <si>
    <t>Monoh</t>
  </si>
  <si>
    <t>Shola</t>
  </si>
  <si>
    <t>Owolabi</t>
  </si>
  <si>
    <t>Awachie</t>
  </si>
  <si>
    <t>Fisayo</t>
  </si>
  <si>
    <t>Onyekwere</t>
  </si>
  <si>
    <t>Oladotun</t>
  </si>
  <si>
    <t>Araoye</t>
  </si>
  <si>
    <t>Ugbona</t>
  </si>
  <si>
    <t>Oshilaja</t>
  </si>
  <si>
    <t>Awosile</t>
  </si>
  <si>
    <t>Iyin</t>
  </si>
  <si>
    <t>Falade</t>
  </si>
  <si>
    <t>Benjamin</t>
  </si>
  <si>
    <t>Soneye</t>
  </si>
  <si>
    <t>Roland</t>
  </si>
  <si>
    <t>Olutobi</t>
  </si>
  <si>
    <t>Atoyebi</t>
  </si>
  <si>
    <t>Bankole</t>
  </si>
  <si>
    <t>Jesumuyiwa</t>
  </si>
  <si>
    <t>Temitope</t>
  </si>
  <si>
    <t>Oluyinka</t>
  </si>
  <si>
    <t>Abioye</t>
  </si>
  <si>
    <t>Faderemi</t>
  </si>
  <si>
    <t>Ogun</t>
  </si>
  <si>
    <t>Clara</t>
  </si>
  <si>
    <t>Ganiu</t>
  </si>
  <si>
    <t>Oluwoye</t>
  </si>
  <si>
    <t>Precious</t>
  </si>
  <si>
    <t>Oyewole</t>
  </si>
  <si>
    <t>Latifat</t>
  </si>
  <si>
    <t>Lateef</t>
  </si>
  <si>
    <t>Alegbe</t>
  </si>
  <si>
    <t>Abdulrasheed</t>
  </si>
  <si>
    <t>Onwuzurike</t>
  </si>
  <si>
    <t>Oloko</t>
  </si>
  <si>
    <t>Vickie</t>
  </si>
  <si>
    <t>Asonu</t>
  </si>
  <si>
    <t>Eghosa</t>
  </si>
  <si>
    <t>Nkiru</t>
  </si>
  <si>
    <t>Tene</t>
  </si>
  <si>
    <t>Sogbetun</t>
  </si>
  <si>
    <t>Dayo</t>
  </si>
  <si>
    <t>Adebayo</t>
  </si>
  <si>
    <t>Shaibu</t>
  </si>
  <si>
    <t>Aigbekaen</t>
  </si>
  <si>
    <t>Walter</t>
  </si>
  <si>
    <t>Mark</t>
  </si>
  <si>
    <t>Ben</t>
  </si>
  <si>
    <t>Ogwuma</t>
  </si>
  <si>
    <t>Sokunbi</t>
  </si>
  <si>
    <t>Usman</t>
  </si>
  <si>
    <t>Moyo</t>
  </si>
  <si>
    <t>Chendo</t>
  </si>
  <si>
    <t>Luke</t>
  </si>
  <si>
    <t>Yinka</t>
  </si>
  <si>
    <t>Akib</t>
  </si>
  <si>
    <t>Hansa</t>
  </si>
  <si>
    <t>Dupe</t>
  </si>
  <si>
    <t>Clement</t>
  </si>
  <si>
    <t>Folashade</t>
  </si>
  <si>
    <t>Samson</t>
  </si>
  <si>
    <t>Ada</t>
  </si>
  <si>
    <t>Nabil</t>
  </si>
  <si>
    <t>Edem</t>
  </si>
  <si>
    <t>Adi</t>
  </si>
  <si>
    <t>Olalekan</t>
  </si>
  <si>
    <t>Uba</t>
  </si>
  <si>
    <t>Maria</t>
  </si>
  <si>
    <t>Osho</t>
  </si>
  <si>
    <t>Oludayo</t>
  </si>
  <si>
    <t>Udoh</t>
  </si>
  <si>
    <t>Moradeke</t>
  </si>
  <si>
    <t>Akindele</t>
  </si>
  <si>
    <t>Oluwagbenga</t>
  </si>
  <si>
    <t>Olarenwaju</t>
  </si>
  <si>
    <t>Amodu</t>
  </si>
  <si>
    <t>Solo</t>
  </si>
  <si>
    <t>Ajao</t>
  </si>
  <si>
    <t>Uyi</t>
  </si>
  <si>
    <t>Adewolu</t>
  </si>
  <si>
    <t>Oyin</t>
  </si>
  <si>
    <t>Alli</t>
  </si>
  <si>
    <t>Yaya</t>
  </si>
  <si>
    <t>Femi</t>
  </si>
  <si>
    <t>Praise</t>
  </si>
  <si>
    <t>Adegbite</t>
  </si>
  <si>
    <t>Lucky</t>
  </si>
  <si>
    <t>Olukoga</t>
  </si>
  <si>
    <t>Oluseyi</t>
  </si>
  <si>
    <t>Ogundele</t>
  </si>
  <si>
    <t>Akinlade</t>
  </si>
  <si>
    <t>Macauley</t>
  </si>
  <si>
    <t>Ume</t>
  </si>
  <si>
    <t>Ago</t>
  </si>
  <si>
    <t>Phillip</t>
  </si>
  <si>
    <t>Fasoro</t>
  </si>
  <si>
    <t>Stephanie</t>
  </si>
  <si>
    <t>Akinsanya</t>
  </si>
  <si>
    <t>Oghogho</t>
  </si>
  <si>
    <t>Bukola</t>
  </si>
  <si>
    <t>Ugbu</t>
  </si>
  <si>
    <t>Ebele</t>
  </si>
  <si>
    <t>Umoh</t>
  </si>
  <si>
    <t>Akande</t>
  </si>
  <si>
    <t>Oki</t>
  </si>
  <si>
    <t>Olorunnisola</t>
  </si>
  <si>
    <t>Nuru</t>
  </si>
  <si>
    <t>Oji</t>
  </si>
  <si>
    <t>Ladeinde</t>
  </si>
  <si>
    <t>Ewere</t>
  </si>
  <si>
    <t>Jimber</t>
  </si>
  <si>
    <t>Olodu</t>
  </si>
  <si>
    <t>Mirian</t>
  </si>
  <si>
    <t>Okunubi</t>
  </si>
  <si>
    <t>Seni</t>
  </si>
  <si>
    <t>Moji</t>
  </si>
  <si>
    <t>Mgbeke</t>
  </si>
  <si>
    <t>Henrietta</t>
  </si>
  <si>
    <t>Apena</t>
  </si>
  <si>
    <t>Isabu</t>
  </si>
  <si>
    <t>Egwin</t>
  </si>
  <si>
    <t>Preye</t>
  </si>
  <si>
    <t>Jeremiah</t>
  </si>
  <si>
    <t>Jimoh</t>
  </si>
  <si>
    <t>Eva</t>
  </si>
  <si>
    <t>Adepoju</t>
  </si>
  <si>
    <t>Arefo</t>
  </si>
  <si>
    <t>Soyibo</t>
  </si>
  <si>
    <t>Ugbo</t>
  </si>
  <si>
    <t>Awofeso</t>
  </si>
  <si>
    <t>Ogunleye</t>
  </si>
  <si>
    <t>Oluwasola</t>
  </si>
  <si>
    <t>Oladipo</t>
  </si>
  <si>
    <t>Adekunle</t>
  </si>
  <si>
    <t>Chukwu</t>
  </si>
  <si>
    <t>Sunny</t>
  </si>
  <si>
    <t>Olayeni</t>
  </si>
  <si>
    <t>Bimpe</t>
  </si>
  <si>
    <t>Awosanya</t>
  </si>
  <si>
    <t>Adetuyi</t>
  </si>
  <si>
    <t>Fagbemi</t>
  </si>
  <si>
    <t>Komolafe</t>
  </si>
  <si>
    <t>Oiza</t>
  </si>
  <si>
    <t>Adenagbe</t>
  </si>
  <si>
    <t>Nwogwugwu</t>
  </si>
  <si>
    <t>Adekanmbi</t>
  </si>
  <si>
    <t>Gbadegesin</t>
  </si>
  <si>
    <t>Sola</t>
  </si>
  <si>
    <t>Olorunwa</t>
  </si>
  <si>
    <t>Missa</t>
  </si>
  <si>
    <t>Isaac</t>
  </si>
  <si>
    <t>Ajijola</t>
  </si>
  <si>
    <t>Tochukwu</t>
  </si>
  <si>
    <t>Bamishigbin</t>
  </si>
  <si>
    <t>Ogunye</t>
  </si>
  <si>
    <t>Yemi</t>
  </si>
  <si>
    <t>Olamide</t>
  </si>
  <si>
    <t>Jude</t>
  </si>
  <si>
    <t>Oyeka</t>
  </si>
  <si>
    <t>Oguen</t>
  </si>
  <si>
    <t>Aduku</t>
  </si>
  <si>
    <t>Onesi</t>
  </si>
  <si>
    <t>Latona</t>
  </si>
  <si>
    <t>Omotola</t>
  </si>
  <si>
    <t>Jere</t>
  </si>
  <si>
    <t>Ibi</t>
  </si>
  <si>
    <t>Ezeh</t>
  </si>
  <si>
    <t>Lola</t>
  </si>
  <si>
    <t>Enemaku</t>
  </si>
  <si>
    <t>Olakunle</t>
  </si>
  <si>
    <t>Omeiza</t>
  </si>
  <si>
    <t>Bimbo</t>
  </si>
  <si>
    <t>Adeoluwa</t>
  </si>
  <si>
    <t>Apampa</t>
  </si>
  <si>
    <t>Odu</t>
  </si>
  <si>
    <t>Ted</t>
  </si>
  <si>
    <t>Aromire</t>
  </si>
  <si>
    <t>Oduwole</t>
  </si>
  <si>
    <t>Onyeka</t>
  </si>
  <si>
    <t>Niyi</t>
  </si>
  <si>
    <t>Inyang</t>
  </si>
  <si>
    <t>Terry</t>
  </si>
  <si>
    <t>Sade</t>
  </si>
  <si>
    <t>Nwaigbo</t>
  </si>
  <si>
    <t>Odekunle</t>
  </si>
  <si>
    <t>Duace</t>
  </si>
  <si>
    <t>Titilope</t>
  </si>
  <si>
    <t>Mazino</t>
  </si>
  <si>
    <t>Olowe</t>
  </si>
  <si>
    <t>Kadiri</t>
  </si>
  <si>
    <t>komi</t>
  </si>
  <si>
    <t>Daniel</t>
  </si>
  <si>
    <t>Adeyemo</t>
  </si>
  <si>
    <t>Chiga</t>
  </si>
  <si>
    <t>Olusanya</t>
  </si>
  <si>
    <t>Chinyere</t>
  </si>
  <si>
    <t>Adesanya</t>
  </si>
  <si>
    <t>Asamah</t>
  </si>
  <si>
    <t>Mojisola</t>
  </si>
  <si>
    <t>Odiete</t>
  </si>
  <si>
    <t>Erege</t>
  </si>
  <si>
    <t>Eseosa</t>
  </si>
  <si>
    <t>Okorocha</t>
  </si>
  <si>
    <t>Ejehiwease</t>
  </si>
  <si>
    <t>Abayomi</t>
  </si>
  <si>
    <t>Dolapo</t>
  </si>
  <si>
    <t>Oluwole</t>
  </si>
  <si>
    <t>Ambrose</t>
  </si>
  <si>
    <t>Ekhaguere</t>
  </si>
  <si>
    <t>Oluwatosin</t>
  </si>
  <si>
    <t>Effiong</t>
  </si>
  <si>
    <t>Owokoniran</t>
  </si>
  <si>
    <t>Gbenga</t>
  </si>
  <si>
    <t>sokunbi</t>
  </si>
  <si>
    <t>Okolio</t>
  </si>
  <si>
    <t>Asabor</t>
  </si>
  <si>
    <t>Tomide</t>
  </si>
  <si>
    <t>Odeyemi</t>
  </si>
  <si>
    <t>Aderinsola</t>
  </si>
  <si>
    <t>Kingsley</t>
  </si>
  <si>
    <t>Alabi</t>
  </si>
  <si>
    <t>Ekpn</t>
  </si>
  <si>
    <t>Akingbade</t>
  </si>
  <si>
    <t>Adetosoye</t>
  </si>
  <si>
    <t>Olufemi</t>
  </si>
  <si>
    <t>Adunoja</t>
  </si>
  <si>
    <t>Mbah</t>
  </si>
  <si>
    <t>Edikan</t>
  </si>
  <si>
    <t>Lee</t>
  </si>
  <si>
    <t>Chris</t>
  </si>
  <si>
    <t>Adewunmi</t>
  </si>
  <si>
    <t>Blessing</t>
  </si>
  <si>
    <t>Uju</t>
  </si>
  <si>
    <t>Akuro</t>
  </si>
  <si>
    <t>Ahenjir</t>
  </si>
  <si>
    <t>Dan</t>
  </si>
  <si>
    <t>Nwajei</t>
  </si>
  <si>
    <t>Ogbuka</t>
  </si>
  <si>
    <t>Kolawole</t>
  </si>
  <si>
    <t>Nwosa</t>
  </si>
  <si>
    <t>Jibril</t>
  </si>
  <si>
    <t>Megedu</t>
  </si>
  <si>
    <t>charles</t>
  </si>
  <si>
    <t>Uzu</t>
  </si>
  <si>
    <t>Nkechi</t>
  </si>
  <si>
    <t>Okwu</t>
  </si>
  <si>
    <t>Abisoye</t>
  </si>
  <si>
    <t>Kate</t>
  </si>
  <si>
    <t>Adigwe</t>
  </si>
  <si>
    <t>Stephen</t>
  </si>
  <si>
    <t>Amobi</t>
  </si>
  <si>
    <t>Ifeanyi</t>
  </si>
  <si>
    <t>Maiye</t>
  </si>
  <si>
    <t>Vincent</t>
  </si>
  <si>
    <t>Hadiza</t>
  </si>
  <si>
    <t>Olopo</t>
  </si>
  <si>
    <t>Nana</t>
  </si>
  <si>
    <t>Mbanefo</t>
  </si>
  <si>
    <t>Zachariah</t>
  </si>
  <si>
    <t>Tochu</t>
  </si>
  <si>
    <t>Suleimon</t>
  </si>
  <si>
    <t>Lawrence</t>
  </si>
  <si>
    <t>Yesu</t>
  </si>
  <si>
    <t>Olusesan</t>
  </si>
  <si>
    <t>Akwe</t>
  </si>
  <si>
    <t>Bosun</t>
  </si>
  <si>
    <t>Jete</t>
  </si>
  <si>
    <t>Sam</t>
  </si>
  <si>
    <t>Ramalan</t>
  </si>
  <si>
    <t>Akinruli</t>
  </si>
  <si>
    <t>Aminu</t>
  </si>
  <si>
    <t>Mulua</t>
  </si>
  <si>
    <t>Oluwabusola</t>
  </si>
  <si>
    <t>Ogunmola</t>
  </si>
  <si>
    <t>Abraham</t>
  </si>
  <si>
    <t>Aba</t>
  </si>
  <si>
    <t>Hamzat</t>
  </si>
  <si>
    <t>Lawal</t>
  </si>
  <si>
    <t>Bernard</t>
  </si>
  <si>
    <t>Abubakar</t>
  </si>
  <si>
    <t>Ahmed</t>
  </si>
  <si>
    <t>Abe</t>
  </si>
  <si>
    <t>Olufunke</t>
  </si>
  <si>
    <t>Mikhail</t>
  </si>
  <si>
    <t>Nwobo</t>
  </si>
  <si>
    <t>Adeniyi</t>
  </si>
  <si>
    <t>Sulu</t>
  </si>
  <si>
    <t>Toyin</t>
  </si>
  <si>
    <t>Dere</t>
  </si>
  <si>
    <t>Chimezie</t>
  </si>
  <si>
    <t>Kuma</t>
  </si>
  <si>
    <t>Akintayo</t>
  </si>
  <si>
    <t>Atekoja</t>
  </si>
  <si>
    <t>Adebola</t>
  </si>
  <si>
    <t>Omikunle</t>
  </si>
  <si>
    <t>Sekeenat</t>
  </si>
  <si>
    <t>Nwabueze</t>
  </si>
  <si>
    <t>Omole</t>
  </si>
  <si>
    <t>Mbagwu</t>
  </si>
  <si>
    <t>Ademola</t>
  </si>
  <si>
    <t>Adegbayi</t>
  </si>
  <si>
    <t>Lasisi</t>
  </si>
  <si>
    <t>Bakare</t>
  </si>
  <si>
    <t>Aderonke</t>
  </si>
  <si>
    <t>Ajayi</t>
  </si>
  <si>
    <t>Shodipe</t>
  </si>
  <si>
    <t>funmi</t>
  </si>
  <si>
    <t>Giwa</t>
  </si>
  <si>
    <t>Oluranti</t>
  </si>
  <si>
    <t>Musibau</t>
  </si>
  <si>
    <t>Adedokun</t>
  </si>
  <si>
    <t>Lumme</t>
  </si>
  <si>
    <t>Ummis</t>
  </si>
  <si>
    <t>Oluyao</t>
  </si>
  <si>
    <t>Babayo</t>
  </si>
  <si>
    <t>feyisayo</t>
  </si>
  <si>
    <t>Adedeji</t>
  </si>
  <si>
    <t>Osasere</t>
  </si>
  <si>
    <t>Ekene</t>
  </si>
  <si>
    <t>adewunmi</t>
  </si>
  <si>
    <t>Ilu</t>
  </si>
  <si>
    <t>Moses</t>
  </si>
  <si>
    <t>Umar</t>
  </si>
  <si>
    <t>Ozofu</t>
  </si>
  <si>
    <t>Oladunjoye</t>
  </si>
  <si>
    <t>Emuhare</t>
  </si>
  <si>
    <t>Solanke</t>
  </si>
  <si>
    <t>Olusoji</t>
  </si>
  <si>
    <t>Uzoegbie</t>
  </si>
  <si>
    <t>Omoike</t>
  </si>
  <si>
    <t>Christian</t>
  </si>
  <si>
    <t>Awolowo</t>
  </si>
  <si>
    <t>Onaghise</t>
  </si>
  <si>
    <t>Obasanya</t>
  </si>
  <si>
    <t>Ehimare</t>
  </si>
  <si>
    <t>Mbomo</t>
  </si>
  <si>
    <t>Ogundipe</t>
  </si>
  <si>
    <t>Monday</t>
  </si>
  <si>
    <t>Uwaifo</t>
  </si>
  <si>
    <t>Abdulwahab</t>
  </si>
  <si>
    <t>Mordi</t>
  </si>
  <si>
    <t>omotola</t>
  </si>
  <si>
    <t>Imoh-tibito</t>
  </si>
  <si>
    <t>Obumneme</t>
  </si>
  <si>
    <t>Ogboalo</t>
  </si>
  <si>
    <t>Fagbo</t>
  </si>
  <si>
    <t>Akinmolu</t>
  </si>
  <si>
    <t>Sosanya</t>
  </si>
  <si>
    <t>Ajibola</t>
  </si>
  <si>
    <t>Ikwumelu</t>
  </si>
  <si>
    <t>Chioma</t>
  </si>
  <si>
    <t>Olowu</t>
  </si>
  <si>
    <t>Godson</t>
  </si>
  <si>
    <t>Saliu</t>
  </si>
  <si>
    <t>Pius</t>
  </si>
  <si>
    <t>Mudu</t>
  </si>
  <si>
    <t>Adebiyi</t>
  </si>
  <si>
    <t>Nnenna</t>
  </si>
  <si>
    <t>Miri</t>
  </si>
  <si>
    <t>Abumwenre</t>
  </si>
  <si>
    <t>Francis</t>
  </si>
  <si>
    <t>Ibitola</t>
  </si>
  <si>
    <t>Bamidele</t>
  </si>
  <si>
    <t>Ukandu</t>
  </si>
  <si>
    <t>Chigozie</t>
  </si>
  <si>
    <t>Lemmy-Johnson</t>
  </si>
  <si>
    <t>Ibiam</t>
  </si>
  <si>
    <t>Ohazulike</t>
  </si>
  <si>
    <t>Emeledoh</t>
  </si>
  <si>
    <t>Danladi</t>
  </si>
  <si>
    <t>Okoye</t>
  </si>
  <si>
    <t>Akenobo</t>
  </si>
  <si>
    <t>Egelube</t>
  </si>
  <si>
    <t>Akachukwu</t>
  </si>
  <si>
    <t>Teinilajela</t>
  </si>
  <si>
    <t>Ifeakachukwu</t>
  </si>
  <si>
    <t>Nnanna</t>
  </si>
  <si>
    <t>Onyia</t>
  </si>
  <si>
    <t>Cynthia</t>
  </si>
  <si>
    <t>Achigbue</t>
  </si>
  <si>
    <t>Kelechi</t>
  </si>
  <si>
    <t>Cookey</t>
  </si>
  <si>
    <t>Igwe</t>
  </si>
  <si>
    <t>Sefi</t>
  </si>
  <si>
    <t>A</t>
  </si>
  <si>
    <t>Kurah</t>
  </si>
  <si>
    <t>Ugwuowo</t>
  </si>
  <si>
    <t>Adoibi</t>
  </si>
  <si>
    <t>Audu</t>
  </si>
  <si>
    <t>Ojika</t>
  </si>
  <si>
    <t>Friday</t>
  </si>
  <si>
    <t>Eronmene</t>
  </si>
  <si>
    <t>Unity</t>
  </si>
  <si>
    <t>Chidozie</t>
  </si>
  <si>
    <t>Bob-Manuel</t>
  </si>
  <si>
    <t>Shedrach</t>
  </si>
  <si>
    <t>Oreoluwa</t>
  </si>
  <si>
    <t>Ivongbe</t>
  </si>
  <si>
    <t>Egwuibe</t>
  </si>
  <si>
    <t>Ibunge</t>
  </si>
  <si>
    <t>Ogbodu</t>
  </si>
  <si>
    <t>Garba</t>
  </si>
  <si>
    <t>Akerele</t>
  </si>
  <si>
    <t>Alfred</t>
  </si>
  <si>
    <t>Nwachukwu</t>
  </si>
  <si>
    <t>Oghenetesiri</t>
  </si>
  <si>
    <t>Awanife</t>
  </si>
  <si>
    <t>Obichukwu</t>
  </si>
  <si>
    <t>Johnson</t>
  </si>
  <si>
    <t>Bridget</t>
  </si>
  <si>
    <t>Ann</t>
  </si>
  <si>
    <t>Libaratu</t>
  </si>
  <si>
    <t>Ikpa</t>
  </si>
  <si>
    <t>Morphy</t>
  </si>
  <si>
    <t>Ochonma</t>
  </si>
  <si>
    <t>Isa</t>
  </si>
  <si>
    <t>Adelaja</t>
  </si>
  <si>
    <t>Mamman</t>
  </si>
  <si>
    <t>Rosemary</t>
  </si>
  <si>
    <t>Prince</t>
  </si>
  <si>
    <t>Oghenetejiri</t>
  </si>
  <si>
    <t>Ohagulike</t>
  </si>
  <si>
    <t>Omonsegho</t>
  </si>
  <si>
    <t>Iyabode</t>
  </si>
  <si>
    <t>Okpechi</t>
  </si>
  <si>
    <t>Nimyel</t>
  </si>
  <si>
    <t>Orosunejebi</t>
  </si>
  <si>
    <t>Oluwakemi</t>
  </si>
  <si>
    <t>Ugochukwu</t>
  </si>
  <si>
    <t>Nzemeke</t>
  </si>
  <si>
    <t>Folari-Babatunde</t>
  </si>
  <si>
    <t>Kalu</t>
  </si>
  <si>
    <t>Ogunrotimi</t>
  </si>
  <si>
    <t>Phillips</t>
  </si>
  <si>
    <t>Okafor</t>
  </si>
  <si>
    <t>Uwanaka</t>
  </si>
  <si>
    <t>Ajukwura</t>
  </si>
  <si>
    <t>Keziah</t>
  </si>
  <si>
    <t>Isabelle</t>
  </si>
  <si>
    <t>Oluwasegun</t>
  </si>
  <si>
    <t>Tobias</t>
  </si>
  <si>
    <t>Funto</t>
  </si>
  <si>
    <t>Dika</t>
  </si>
  <si>
    <t>Lasserre</t>
  </si>
  <si>
    <t>Onohnosen</t>
  </si>
  <si>
    <t>Aborisade</t>
  </si>
  <si>
    <t>Luis</t>
  </si>
  <si>
    <t>Oyefodun</t>
  </si>
  <si>
    <t>Collins</t>
  </si>
  <si>
    <t>Sikiru</t>
  </si>
  <si>
    <t>Oshare</t>
  </si>
  <si>
    <t>Ebore</t>
  </si>
  <si>
    <t>Ewuola</t>
  </si>
  <si>
    <t>Martinez</t>
  </si>
  <si>
    <t>Fabiyi</t>
  </si>
  <si>
    <t>Uchegbu</t>
  </si>
  <si>
    <t>Ajibayo</t>
  </si>
  <si>
    <t>Uwagbae</t>
  </si>
  <si>
    <t>Chinedu</t>
  </si>
  <si>
    <t>Nneoma</t>
  </si>
  <si>
    <t>Bovi</t>
  </si>
  <si>
    <t>Ozoemena</t>
  </si>
  <si>
    <t>Christopher</t>
  </si>
  <si>
    <t>Utulor</t>
  </si>
  <si>
    <t>Olufunmilayo</t>
  </si>
  <si>
    <t>Doris</t>
  </si>
  <si>
    <t>Udebuwu</t>
  </si>
  <si>
    <t>Ujire</t>
  </si>
  <si>
    <t>Margaret</t>
  </si>
  <si>
    <t>Grateful</t>
  </si>
  <si>
    <t>Olomolatan</t>
  </si>
  <si>
    <t>Angela</t>
  </si>
  <si>
    <t>Azeke</t>
  </si>
  <si>
    <t>Lawson</t>
  </si>
  <si>
    <t>Ajewole</t>
  </si>
  <si>
    <t>Okoyomo</t>
  </si>
  <si>
    <t>Oghenejode</t>
  </si>
  <si>
    <t>Matthew</t>
  </si>
  <si>
    <t>Obasi</t>
  </si>
  <si>
    <t>Funmilola</t>
  </si>
  <si>
    <t>Dents</t>
  </si>
  <si>
    <t>Matilda</t>
  </si>
  <si>
    <t>Ilorah</t>
  </si>
  <si>
    <t>Ekelemu</t>
  </si>
  <si>
    <t>Bufazi</t>
  </si>
  <si>
    <t>Ibinabo</t>
  </si>
  <si>
    <t>Shobowale</t>
  </si>
  <si>
    <t>Memberrs</t>
  </si>
  <si>
    <t>Oribaabor</t>
  </si>
  <si>
    <t>Ono</t>
  </si>
  <si>
    <t>Muhammed</t>
  </si>
  <si>
    <t>Pauline</t>
  </si>
  <si>
    <t>Aniagboro</t>
  </si>
  <si>
    <t>Etudaiye</t>
  </si>
  <si>
    <t>Olanrewaju</t>
  </si>
  <si>
    <t>Pepple</t>
  </si>
  <si>
    <t>Udenyi</t>
  </si>
  <si>
    <t>Cecilia</t>
  </si>
  <si>
    <t>Xia</t>
  </si>
  <si>
    <t>Patrick</t>
  </si>
  <si>
    <t>Wilson</t>
  </si>
  <si>
    <t>Ukazim</t>
  </si>
  <si>
    <t>Adetiloye</t>
  </si>
  <si>
    <t>Keno</t>
  </si>
  <si>
    <t>Godwin</t>
  </si>
  <si>
    <t>Ugbaja</t>
  </si>
  <si>
    <t>Bonaventure</t>
  </si>
  <si>
    <t>Osemeka</t>
  </si>
  <si>
    <t>Nnamdi</t>
  </si>
  <si>
    <t>Alabere</t>
  </si>
  <si>
    <t>Nanya</t>
  </si>
  <si>
    <t>Bami</t>
  </si>
  <si>
    <t>Thompson</t>
  </si>
  <si>
    <t>Woha</t>
  </si>
  <si>
    <t>Ikeanyi</t>
  </si>
  <si>
    <t>Oyeyemi</t>
  </si>
  <si>
    <t>Iyi</t>
  </si>
  <si>
    <t>Nwajinba</t>
  </si>
  <si>
    <t>Akintola</t>
  </si>
  <si>
    <t>Anozie</t>
  </si>
  <si>
    <t>Orifowomo</t>
  </si>
  <si>
    <t>Adefesobi</t>
  </si>
  <si>
    <t>Runsewe</t>
  </si>
  <si>
    <t>Abdulsalami</t>
  </si>
  <si>
    <t>Olatunde</t>
  </si>
  <si>
    <t>Tayo</t>
  </si>
  <si>
    <t>Oladapo</t>
  </si>
  <si>
    <t>Allu</t>
  </si>
  <si>
    <t>Peters</t>
  </si>
  <si>
    <t>Faniro-Dada</t>
  </si>
  <si>
    <t>Rilwan</t>
  </si>
  <si>
    <t>Cheta</t>
  </si>
  <si>
    <t>Makanjuola</t>
  </si>
  <si>
    <t>Abosede</t>
  </si>
  <si>
    <t>Erikitola</t>
  </si>
  <si>
    <t>Oluwaseun</t>
  </si>
  <si>
    <t>Maureen</t>
  </si>
  <si>
    <t>Olagbami</t>
  </si>
  <si>
    <t>Elleh</t>
  </si>
  <si>
    <t>Osagie</t>
  </si>
  <si>
    <t>Isokpehi</t>
  </si>
  <si>
    <t>Alimi</t>
  </si>
  <si>
    <t>Okubo</t>
  </si>
  <si>
    <t>Bolawole</t>
  </si>
  <si>
    <t>Okonkwo</t>
  </si>
  <si>
    <t>Chibueze</t>
  </si>
  <si>
    <t>Adanna</t>
  </si>
  <si>
    <t>Ikhihe</t>
  </si>
  <si>
    <t>Biola</t>
  </si>
  <si>
    <t>Omotoye</t>
  </si>
  <si>
    <t>Erondu</t>
  </si>
  <si>
    <t>Njoku</t>
  </si>
  <si>
    <t>Hafeez</t>
  </si>
  <si>
    <t>Odedokun</t>
  </si>
  <si>
    <t>Oghumo</t>
  </si>
  <si>
    <t>Akinboboye</t>
  </si>
  <si>
    <t>Chijioke</t>
  </si>
  <si>
    <t>Adeboye</t>
  </si>
  <si>
    <t>Nelson</t>
  </si>
  <si>
    <t>Bamgbade</t>
  </si>
  <si>
    <t>Oluwafolakemi</t>
  </si>
  <si>
    <t>Udokporo</t>
  </si>
  <si>
    <t>Olubode</t>
  </si>
  <si>
    <t>Olabode</t>
  </si>
  <si>
    <t>Michelle</t>
  </si>
  <si>
    <t>Ugbede</t>
  </si>
  <si>
    <t>Fola</t>
  </si>
  <si>
    <t>Fajemirokan</t>
  </si>
  <si>
    <t>Ujene</t>
  </si>
  <si>
    <t>Oladele</t>
  </si>
  <si>
    <t>Nwokocha</t>
  </si>
  <si>
    <t>Adiya</t>
  </si>
  <si>
    <t>Faith</t>
  </si>
  <si>
    <t>Adesuwa</t>
  </si>
  <si>
    <t>Igbokwe</t>
  </si>
  <si>
    <t>Oxteen</t>
  </si>
  <si>
    <t>Atulu</t>
  </si>
  <si>
    <t>Ore</t>
  </si>
  <si>
    <t>Olotu</t>
  </si>
  <si>
    <t>Dennis</t>
  </si>
  <si>
    <t>Ile</t>
  </si>
  <si>
    <t>Faro</t>
  </si>
  <si>
    <t>Idumwonyi</t>
  </si>
  <si>
    <t>Agoba</t>
  </si>
  <si>
    <t>Dalmeida</t>
  </si>
  <si>
    <t>Irene</t>
  </si>
  <si>
    <t>Echeng</t>
  </si>
  <si>
    <t>oluwasanmi</t>
  </si>
  <si>
    <t>Dito</t>
  </si>
  <si>
    <t>Chinenye</t>
  </si>
  <si>
    <t>Afolayan</t>
  </si>
  <si>
    <t>Adarighofua</t>
  </si>
  <si>
    <t>Ugiagbe</t>
  </si>
  <si>
    <t>Jean-christophe</t>
  </si>
  <si>
    <t>Udeh</t>
  </si>
  <si>
    <t>Nwankwo</t>
  </si>
  <si>
    <t>Amina</t>
  </si>
  <si>
    <t>Frederick</t>
  </si>
  <si>
    <t>Martin</t>
  </si>
  <si>
    <t>Clement-Ugiagbe</t>
  </si>
  <si>
    <t>Mary</t>
  </si>
  <si>
    <t>Ado</t>
  </si>
  <si>
    <t>Sidi</t>
  </si>
  <si>
    <t>Akalamudo</t>
  </si>
  <si>
    <t>Comfort</t>
  </si>
  <si>
    <t>Dare</t>
  </si>
  <si>
    <t>Danjuma</t>
  </si>
  <si>
    <t>Adeko</t>
  </si>
  <si>
    <t>Ibraheem</t>
  </si>
  <si>
    <t>Iafidon</t>
  </si>
  <si>
    <t>Omolola</t>
  </si>
  <si>
    <t>Mustafa</t>
  </si>
  <si>
    <t>Oludele</t>
  </si>
  <si>
    <t>Owoeye</t>
  </si>
  <si>
    <t>Babalola</t>
  </si>
  <si>
    <t>Awelewa</t>
  </si>
  <si>
    <t>Chukwuma</t>
  </si>
  <si>
    <t>Akindunni</t>
  </si>
  <si>
    <t>Ibilola</t>
  </si>
  <si>
    <t>Udechukwu</t>
  </si>
  <si>
    <t>Chiamaka</t>
  </si>
  <si>
    <t>Okhiona</t>
  </si>
  <si>
    <t>Jinadu</t>
  </si>
  <si>
    <t>Monilola</t>
  </si>
  <si>
    <t>Okorie</t>
  </si>
  <si>
    <t>Fabunmi</t>
  </si>
  <si>
    <t>Taye</t>
  </si>
  <si>
    <t>Abasilim</t>
  </si>
  <si>
    <t>Itoje</t>
  </si>
  <si>
    <t>Ogbuefi</t>
  </si>
  <si>
    <t>Oluwatobi</t>
  </si>
  <si>
    <t>Nancy</t>
  </si>
  <si>
    <t>Jonathan</t>
  </si>
  <si>
    <t>Jacob</t>
  </si>
  <si>
    <t>Alomoge</t>
  </si>
  <si>
    <t>Banjo</t>
  </si>
  <si>
    <t>Eseoghene</t>
  </si>
  <si>
    <t>Pamilia</t>
  </si>
  <si>
    <t>Shofu</t>
  </si>
  <si>
    <t>Katherine</t>
  </si>
  <si>
    <t>Agbogu</t>
  </si>
  <si>
    <t>Onyedikachi</t>
  </si>
  <si>
    <t>Braide</t>
  </si>
  <si>
    <t>Ejide</t>
  </si>
  <si>
    <t>Chukwuzilere</t>
  </si>
  <si>
    <t>Onwuachuke</t>
  </si>
  <si>
    <t>Ogunkoya</t>
  </si>
  <si>
    <t>Adebimpe</t>
  </si>
  <si>
    <t>Uhegbu</t>
  </si>
  <si>
    <t>Yewande</t>
  </si>
  <si>
    <t>Oka</t>
  </si>
  <si>
    <t>Anita</t>
  </si>
  <si>
    <t>Alokwe</t>
  </si>
  <si>
    <t>Oderinde</t>
  </si>
  <si>
    <t>Alonge</t>
  </si>
  <si>
    <t>Foluke</t>
  </si>
  <si>
    <t>Anyasi</t>
  </si>
  <si>
    <t>ogunkoya</t>
  </si>
  <si>
    <t>Mustapha</t>
  </si>
  <si>
    <t>Edward</t>
  </si>
  <si>
    <t>itoje</t>
  </si>
  <si>
    <t>babalola</t>
  </si>
  <si>
    <t>Esesosa</t>
  </si>
  <si>
    <t>oludele</t>
  </si>
  <si>
    <t>Awelele</t>
  </si>
  <si>
    <t>Okhions</t>
  </si>
  <si>
    <t>Salim</t>
  </si>
  <si>
    <t>Ayomaya</t>
  </si>
  <si>
    <t>Alicho</t>
  </si>
  <si>
    <t>Kene</t>
  </si>
  <si>
    <t>Agbobu</t>
  </si>
  <si>
    <t>Onyebuchi</t>
  </si>
  <si>
    <t>Jovita</t>
  </si>
  <si>
    <t>Buddy</t>
  </si>
  <si>
    <t>Obianagha</t>
  </si>
  <si>
    <t>Fasemami</t>
  </si>
  <si>
    <t>Amaliri</t>
  </si>
  <si>
    <t>Agatha</t>
  </si>
  <si>
    <t>Alete-Omoni</t>
  </si>
  <si>
    <t>Amenechi</t>
  </si>
  <si>
    <t>Solaru</t>
  </si>
  <si>
    <t>Adesanmi</t>
  </si>
  <si>
    <t>Soile</t>
  </si>
  <si>
    <t>Sakiru</t>
  </si>
  <si>
    <t>Umurieho</t>
  </si>
  <si>
    <t>Osinowo</t>
  </si>
  <si>
    <t>Yakubu</t>
  </si>
  <si>
    <t>Imam</t>
  </si>
  <si>
    <t>Riliwan</t>
  </si>
  <si>
    <t>Adekusibe</t>
  </si>
  <si>
    <t>Adeyanju</t>
  </si>
  <si>
    <t>Bungudu</t>
  </si>
  <si>
    <t>Selema</t>
  </si>
  <si>
    <t>Abdusalami</t>
  </si>
  <si>
    <t>Oladeinde</t>
  </si>
  <si>
    <t>Abutu</t>
  </si>
  <si>
    <t>Anjola</t>
  </si>
  <si>
    <t>Uguru</t>
  </si>
  <si>
    <t>Babatunde</t>
  </si>
  <si>
    <t>Bisah</t>
  </si>
  <si>
    <t>Funso</t>
  </si>
  <si>
    <t>Sobere</t>
  </si>
  <si>
    <t>Valerie</t>
  </si>
  <si>
    <t>Rukaiya</t>
  </si>
  <si>
    <t>Ero</t>
  </si>
  <si>
    <t>Nkemdirim</t>
  </si>
  <si>
    <t>Seyi</t>
  </si>
  <si>
    <t>Nwandu</t>
  </si>
  <si>
    <t>Macaulay</t>
  </si>
  <si>
    <t>Soseleye</t>
  </si>
  <si>
    <t>Ojogbo</t>
  </si>
  <si>
    <t>Adedoyin</t>
  </si>
  <si>
    <t>Akamo</t>
  </si>
  <si>
    <t>Chidiebere</t>
  </si>
  <si>
    <t>onayimi</t>
  </si>
  <si>
    <t>Adejoke</t>
  </si>
  <si>
    <t>Oluwaleye</t>
  </si>
  <si>
    <t>Ideriah</t>
  </si>
  <si>
    <t>Ogunsalu</t>
  </si>
  <si>
    <t>Okocha</t>
  </si>
  <si>
    <t>Akindolie</t>
  </si>
  <si>
    <t>Queenie</t>
  </si>
  <si>
    <t>Yuong</t>
  </si>
  <si>
    <t>Onayimi</t>
  </si>
  <si>
    <t>Kogbe</t>
  </si>
  <si>
    <t>Bisola</t>
  </si>
  <si>
    <t>Imaga</t>
  </si>
  <si>
    <t>Akin</t>
  </si>
  <si>
    <t>Hilary</t>
  </si>
  <si>
    <t>Omolokun</t>
  </si>
  <si>
    <t>Dudu</t>
  </si>
  <si>
    <t>Daudu</t>
  </si>
  <si>
    <t>Ebosetale</t>
  </si>
  <si>
    <t>Olutimayin</t>
  </si>
  <si>
    <t>Odeleye</t>
  </si>
  <si>
    <t>Vitto</t>
  </si>
  <si>
    <t>Rino</t>
  </si>
  <si>
    <t>Diran</t>
  </si>
  <si>
    <t>Osunsade</t>
  </si>
  <si>
    <t>Omijeh</t>
  </si>
  <si>
    <t>Akintunde</t>
  </si>
  <si>
    <t>Warryn</t>
  </si>
  <si>
    <t>Kemisola</t>
  </si>
  <si>
    <t>Adejumo</t>
  </si>
  <si>
    <t>Ukeme</t>
  </si>
  <si>
    <t>Obigne</t>
  </si>
  <si>
    <t>Edomwonyi</t>
  </si>
  <si>
    <t>Akinyele</t>
  </si>
  <si>
    <t>Rivson</t>
  </si>
  <si>
    <t>Eyito</t>
  </si>
  <si>
    <t>Jackson</t>
  </si>
  <si>
    <t>Odetola</t>
  </si>
  <si>
    <t>Omunate</t>
  </si>
  <si>
    <t>Udo</t>
  </si>
  <si>
    <t>Imiekame</t>
  </si>
  <si>
    <t>Omoigui</t>
  </si>
  <si>
    <t>Onovuhede</t>
  </si>
  <si>
    <t>Okpetu</t>
  </si>
  <si>
    <t>Kokonne</t>
  </si>
  <si>
    <t>Ebiegberi</t>
  </si>
  <si>
    <t>Gillian</t>
  </si>
  <si>
    <t>Adebo</t>
  </si>
  <si>
    <t>Eyiyo</t>
  </si>
  <si>
    <t>Jania</t>
  </si>
  <si>
    <t>Ugbomeh</t>
  </si>
  <si>
    <t>Laniyan</t>
  </si>
  <si>
    <t>Kola</t>
  </si>
  <si>
    <t>Lape</t>
  </si>
  <si>
    <t>Fajobi</t>
  </si>
  <si>
    <t>Jibola</t>
  </si>
  <si>
    <t>Ochonogor</t>
  </si>
  <si>
    <t>Ifeosame</t>
  </si>
  <si>
    <t>Ijeoma</t>
  </si>
  <si>
    <t>Abudu</t>
  </si>
  <si>
    <t>Oyebanjo</t>
  </si>
  <si>
    <t>owokoniran</t>
  </si>
  <si>
    <t>Bolatito</t>
  </si>
  <si>
    <t>Laolu</t>
  </si>
  <si>
    <t>Maduka</t>
  </si>
  <si>
    <t>Jokosenumi</t>
  </si>
  <si>
    <t>Ogunnaike</t>
  </si>
  <si>
    <t>Kufreabasi</t>
  </si>
  <si>
    <t>Stanley</t>
  </si>
  <si>
    <t>Coker</t>
  </si>
  <si>
    <t>Ebere</t>
  </si>
  <si>
    <t>Ngoye</t>
  </si>
  <si>
    <t>Moiks</t>
  </si>
  <si>
    <t>Usen</t>
  </si>
  <si>
    <t>Enoch</t>
  </si>
  <si>
    <t>Nze</t>
  </si>
  <si>
    <t>Adams</t>
  </si>
  <si>
    <t>Agbamu</t>
  </si>
  <si>
    <t>Adejare</t>
  </si>
  <si>
    <t>stanley</t>
  </si>
  <si>
    <t>Nonso</t>
  </si>
  <si>
    <t>Ashanke</t>
  </si>
  <si>
    <t>Olurotimi</t>
  </si>
  <si>
    <t>Akinbosotu</t>
  </si>
  <si>
    <t>Adebisi</t>
  </si>
  <si>
    <t>Adedayo</t>
  </si>
  <si>
    <t>erhimedre</t>
  </si>
  <si>
    <t>Adeleke</t>
  </si>
  <si>
    <t>Innocent</t>
  </si>
  <si>
    <t>Adeeko</t>
  </si>
  <si>
    <t>Oluseun</t>
  </si>
  <si>
    <t>omotunde</t>
  </si>
  <si>
    <t>Ibe</t>
  </si>
  <si>
    <t>Folorunsho</t>
  </si>
  <si>
    <t>Nwuzu</t>
  </si>
  <si>
    <t>Ayanleke</t>
  </si>
  <si>
    <t>Olokodana</t>
  </si>
  <si>
    <t>Rachael</t>
  </si>
  <si>
    <t>Maliki</t>
  </si>
  <si>
    <t>Anietie</t>
  </si>
  <si>
    <t>Bank-Lawani</t>
  </si>
  <si>
    <t>Patricia</t>
  </si>
  <si>
    <t>Confidence</t>
  </si>
  <si>
    <t>Bashorun</t>
  </si>
  <si>
    <t>Okoroafor</t>
  </si>
  <si>
    <t>Alukara</t>
  </si>
  <si>
    <t>Archibong</t>
  </si>
  <si>
    <t>Onome</t>
  </si>
  <si>
    <t>Odebiyi</t>
  </si>
  <si>
    <t>Ezike</t>
  </si>
  <si>
    <t>Ojekale</t>
  </si>
  <si>
    <t>Shahidul</t>
  </si>
  <si>
    <t>Dibosa-Osadolor</t>
  </si>
  <si>
    <t>Opajobi</t>
  </si>
  <si>
    <t>Omotosho</t>
  </si>
  <si>
    <t>Gbadamosi</t>
  </si>
  <si>
    <t>Ohioze</t>
  </si>
  <si>
    <t>Adeite</t>
  </si>
  <si>
    <t>Tasiru</t>
  </si>
  <si>
    <t>Bisoye</t>
  </si>
  <si>
    <t>Chibuike</t>
  </si>
  <si>
    <t>Nwadialo</t>
  </si>
  <si>
    <t>Adegboyega</t>
  </si>
  <si>
    <t>Ezenwa</t>
  </si>
  <si>
    <t>Oladayo</t>
  </si>
  <si>
    <t>Okedeyi</t>
  </si>
  <si>
    <t>Oguike</t>
  </si>
  <si>
    <t>Onagbola</t>
  </si>
  <si>
    <t>Olive</t>
  </si>
  <si>
    <t>Ogedengbe</t>
  </si>
  <si>
    <t>Oke</t>
  </si>
  <si>
    <t>Onyenze</t>
  </si>
  <si>
    <t>Oluwafisayo</t>
  </si>
  <si>
    <t>Nwokike</t>
  </si>
  <si>
    <t>Dikeocha</t>
  </si>
  <si>
    <t>Jael</t>
  </si>
  <si>
    <t>A.A.</t>
  </si>
  <si>
    <t>Oluwagbemiga</t>
  </si>
  <si>
    <t>Adebanjo</t>
  </si>
  <si>
    <t>Amana</t>
  </si>
  <si>
    <t>Shomefun</t>
  </si>
  <si>
    <t>Esther</t>
  </si>
  <si>
    <t>Elusakin</t>
  </si>
  <si>
    <t>Yusuff</t>
  </si>
  <si>
    <t>Aderinto</t>
  </si>
  <si>
    <t>Edith</t>
  </si>
  <si>
    <t>Ogungbile</t>
  </si>
  <si>
    <t>Adegbenro</t>
  </si>
  <si>
    <t>Ademowo</t>
  </si>
  <si>
    <t>Obguso</t>
  </si>
  <si>
    <t>Oboh</t>
  </si>
  <si>
    <t>Bright</t>
  </si>
  <si>
    <t>Ughelu</t>
  </si>
  <si>
    <t>Nneka</t>
  </si>
  <si>
    <t>Aghoro</t>
  </si>
  <si>
    <t>Adegoke</t>
  </si>
  <si>
    <t>Igbede</t>
  </si>
  <si>
    <t>Keshinro</t>
  </si>
  <si>
    <t>Ugbor</t>
  </si>
  <si>
    <t>Esu</t>
  </si>
  <si>
    <t>Jibade</t>
  </si>
  <si>
    <t>Uchechukwu</t>
  </si>
  <si>
    <t>Ofuje</t>
  </si>
  <si>
    <t>Ogunjimi</t>
  </si>
  <si>
    <t>Kutayi</t>
  </si>
  <si>
    <t>Killian</t>
  </si>
  <si>
    <t>Ukoh</t>
  </si>
  <si>
    <t>Khano</t>
  </si>
  <si>
    <t>Bose</t>
  </si>
  <si>
    <t>Olayinka</t>
  </si>
  <si>
    <t>Agboola</t>
  </si>
  <si>
    <t>Oko</t>
  </si>
  <si>
    <t>Uzoamaka</t>
  </si>
  <si>
    <t>Mabinuori</t>
  </si>
  <si>
    <t>Folasade</t>
  </si>
  <si>
    <t>Oladehin</t>
  </si>
  <si>
    <t>Tolu</t>
  </si>
  <si>
    <t>Aisien</t>
  </si>
  <si>
    <t>Durodola</t>
  </si>
  <si>
    <t>Uzosike</t>
  </si>
  <si>
    <t>Obafunso</t>
  </si>
  <si>
    <t>Fabeyo</t>
  </si>
  <si>
    <t>Abolaji</t>
  </si>
  <si>
    <t>Ose</t>
  </si>
  <si>
    <t>Adenekan</t>
  </si>
  <si>
    <t>Anumudu</t>
  </si>
  <si>
    <t>Olorunkoya</t>
  </si>
  <si>
    <t>Micah</t>
  </si>
  <si>
    <t>Esanwa</t>
  </si>
  <si>
    <t>Ahianba</t>
  </si>
  <si>
    <t>Ige</t>
  </si>
  <si>
    <t>Wim</t>
  </si>
  <si>
    <t>Rotimi</t>
  </si>
  <si>
    <t>Chukwudi</t>
  </si>
  <si>
    <t>Fatima</t>
  </si>
  <si>
    <t>Kaliba</t>
  </si>
  <si>
    <t>Monwuba</t>
  </si>
  <si>
    <t>Myburgh-Segatta.</t>
  </si>
  <si>
    <t>Oghenerume</t>
  </si>
  <si>
    <t>Olamipo</t>
  </si>
  <si>
    <t>Mbakwe</t>
  </si>
  <si>
    <t>Bilala</t>
  </si>
  <si>
    <t>Farotimi</t>
  </si>
  <si>
    <t>Damiloju</t>
  </si>
  <si>
    <t>Augoye</t>
  </si>
  <si>
    <t>Ifechukwude</t>
  </si>
  <si>
    <t>Lukman</t>
  </si>
  <si>
    <t>Chukwuemerie</t>
  </si>
  <si>
    <t>Dakpokpo</t>
  </si>
  <si>
    <t>Oluwatomisin</t>
  </si>
  <si>
    <t>Onyogo</t>
  </si>
  <si>
    <t>Shittu</t>
  </si>
  <si>
    <t>Sandra</t>
  </si>
  <si>
    <t>Chukwubuezedike</t>
  </si>
  <si>
    <t>Ojikutu</t>
  </si>
  <si>
    <t>Oladejo</t>
  </si>
  <si>
    <t>Atilola</t>
  </si>
  <si>
    <t>Akangbe</t>
  </si>
  <si>
    <t>Onuh</t>
  </si>
  <si>
    <t>Iwatan</t>
  </si>
  <si>
    <t>Deborah</t>
  </si>
  <si>
    <t>Paschal</t>
  </si>
  <si>
    <t>Alabiade</t>
  </si>
  <si>
    <t>Egwu</t>
  </si>
  <si>
    <t>Onibode</t>
  </si>
  <si>
    <t>Isiaka</t>
  </si>
  <si>
    <t>Amaechi</t>
  </si>
  <si>
    <t>Adelodun</t>
  </si>
  <si>
    <t>Olufunmilola</t>
  </si>
  <si>
    <t>Ihuoma</t>
  </si>
  <si>
    <t>Dorcas</t>
  </si>
  <si>
    <t>Onyeahialam</t>
  </si>
  <si>
    <t>Itunuoluwa</t>
  </si>
  <si>
    <t>Elizabeth</t>
  </si>
  <si>
    <t>Adeyeye</t>
  </si>
  <si>
    <t xml:space="preserve">CASE SCENARIO </t>
  </si>
  <si>
    <t>The management of Gilgal Hill Corporations is looking to share bonuses based on certain criteria. To run the different scenarios, the management has reached out to you as the data scientist to compute bonuses payable to each employee based on the given criteria</t>
  </si>
  <si>
    <t xml:space="preserve">CASE QUESTIONS </t>
  </si>
  <si>
    <t>Bonus 1 - Salary less than 1 NGN million Bonus = 5% of</t>
  </si>
  <si>
    <t>Salary, else Bonus = 10% of Salary.</t>
  </si>
  <si>
    <t>Bonus 2 - Finance dept. staff get 15% of Salary; all others get</t>
  </si>
  <si>
    <t>nothing.</t>
  </si>
  <si>
    <t>Bonus 3 - Finance dept. staff, "Sohething For You"; all others</t>
  </si>
  <si>
    <t>Nothing For you</t>
  </si>
  <si>
    <t>Bonus 4 - Finance dept. staff - 20% of Salary; IT dept. staff.</t>
  </si>
  <si>
    <t>15% of Salary; Admin. Dept. staff - 10% of Salary; all other depts. get NGN100.</t>
  </si>
  <si>
    <t>Bonus 5 - Salary less than NGN1 million, Bonus = 15% of</t>
  </si>
  <si>
    <t>Salary; between NGN1 million and NGN4 million,</t>
  </si>
  <si>
    <t>Bonus = 10% of Salary; greater than NGN4 million,</t>
  </si>
  <si>
    <t>Bonus = 5% of Salary.</t>
  </si>
  <si>
    <t>Bonus 6 - All Finance and Admin, dept. staff get 15% of</t>
  </si>
  <si>
    <t>Salary; all others get NGN100</t>
  </si>
  <si>
    <t>GUIDELINES</t>
  </si>
  <si>
    <t>Purpose</t>
  </si>
  <si>
    <t>Test for a specific condition</t>
  </si>
  <si>
    <t>Return value</t>
  </si>
  <si>
    <t>The values you supply for TRUE or FALSE</t>
  </si>
  <si>
    <t>Syntax</t>
  </si>
  <si>
    <t>=IF (logical _test, [value_if _true], [value_if_false])</t>
  </si>
  <si>
    <t>Arguments</t>
  </si>
  <si>
    <t>• logical_test - A value or logical expression that can be evaluated as TRUE or FALSE.</t>
  </si>
  <si>
    <t>•value_if true - [optional] The value to return when logical_test evaluates to TRUE.</t>
  </si>
  <si>
    <t>•value</t>
  </si>
  <si>
    <t>_if_false - [optional] The value to return when logical test evaluates to FALSE.</t>
  </si>
  <si>
    <t>1. Headcount Analysis</t>
  </si>
  <si>
    <t>Total number of employees</t>
  </si>
  <si>
    <t>Headcount by Department</t>
  </si>
  <si>
    <t>Headcount by Unit</t>
  </si>
  <si>
    <t>Headcount by State of Origin</t>
  </si>
  <si>
    <t>2. Salary Analysis</t>
  </si>
  <si>
    <t>Total Salary Cost</t>
  </si>
  <si>
    <t>Average Salary</t>
  </si>
  <si>
    <t>Salary by Department / Unit (sum &amp; average)</t>
  </si>
  <si>
    <t>Salary Distribution by State of Origin</t>
  </si>
  <si>
    <t>High earners vs Low earners (based on a defined threshold like ₦1M+)</t>
  </si>
  <si>
    <t>3. Banking Analysis</t>
  </si>
  <si>
    <t>Most used banks</t>
  </si>
  <si>
    <t>Salary distribution by bank</t>
  </si>
  <si>
    <t>4. Geographical Diversity</t>
  </si>
  <si>
    <t>Number of employees by State of Origin</t>
  </si>
  <si>
    <t>Use a map or bar chart if you want geographic flair</t>
  </si>
  <si>
    <t>5. Department Insights</t>
  </si>
  <si>
    <t>Drill-down: Department → Unit → Total Salary, Headcount, Avg. Salary</t>
  </si>
  <si>
    <t>Build a dashboard to illustrate your findings from the dataset, here are some guides as to analysis you can Include in the Dashboard</t>
  </si>
  <si>
    <t xml:space="preserve"> NOTE: Dashboard is to be built either in Excel or Power BI</t>
  </si>
  <si>
    <t>6. Other valuable Insights</t>
  </si>
  <si>
    <t>First_Name</t>
  </si>
  <si>
    <t>Last_Name</t>
  </si>
  <si>
    <t xml:space="preserve">State </t>
  </si>
  <si>
    <t>Bonus</t>
  </si>
  <si>
    <t>Total_Pay</t>
  </si>
  <si>
    <t>Row Labels</t>
  </si>
  <si>
    <t>Grand Total</t>
  </si>
  <si>
    <t>Sum of Salary</t>
  </si>
  <si>
    <t>Department With Highest Salary</t>
  </si>
  <si>
    <t>Employee_ID</t>
  </si>
  <si>
    <t>Count of Employee_id</t>
  </si>
  <si>
    <t>Employee by Department</t>
  </si>
  <si>
    <t>Employees by Bank</t>
  </si>
  <si>
    <t>Employees by State</t>
  </si>
  <si>
    <t>Average_Salary</t>
  </si>
  <si>
    <t>Total_Salary Cost</t>
  </si>
  <si>
    <t xml:space="preserve"> Total_Employees</t>
  </si>
  <si>
    <t>Total Bonus</t>
  </si>
  <si>
    <t>Bank with Highest Salary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</si>
</sst>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_-[$₦-470]* #,##0.00_-;\-[$₦-470]* #,##0.00_-;_-[$₦-470]* &quot;-&quot;??_-;_-@_-"/>
    <numFmt numFmtId="165" formatCode="[$₦-470]#,##0.00"/>
  </numFmts>
  <fonts count="15" x14ac:knownFonts="1">
    <font>
      <sz val="11"/>
      <color theme="1"/>
      <name val="Calibri"/>
      <scheme val="minor"/>
    </font>
    <font>
      <sz val="11"/>
      <color theme="1"/>
      <name val="Calibri"/>
      <family val="2"/>
      <scheme val="minor"/>
    </font>
    <font>
      <sz val="11"/>
      <color theme="1"/>
      <name val="Calibri"/>
      <family val="2"/>
      <scheme val="minor"/>
    </font>
    <font>
      <sz val="10"/>
      <color theme="1"/>
      <name val="Calibri"/>
      <family val="2"/>
    </font>
    <font>
      <b/>
      <sz val="10"/>
      <color theme="1"/>
      <name val="Calibri"/>
      <family val="2"/>
    </font>
    <font>
      <b/>
      <sz val="24"/>
      <color theme="1"/>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b/>
      <sz val="16"/>
      <color rgb="FFFF0000"/>
      <name val="Calibri"/>
      <family val="2"/>
      <scheme val="minor"/>
    </font>
    <font>
      <sz val="11"/>
      <color theme="1"/>
      <name val="Calibri"/>
      <scheme val="minor"/>
    </font>
    <font>
      <b/>
      <sz val="10"/>
      <color theme="0"/>
      <name val="Calibri"/>
      <family val="2"/>
    </font>
    <font>
      <sz val="11"/>
      <color theme="0"/>
      <name val="Calibri"/>
      <family val="2"/>
      <scheme val="minor"/>
    </font>
    <font>
      <sz val="10"/>
      <color theme="1"/>
      <name val="Calibri"/>
    </font>
    <font>
      <sz val="10"/>
      <color theme="0"/>
      <name val="Calibri"/>
      <family val="2"/>
    </font>
  </fonts>
  <fills count="3">
    <fill>
      <patternFill patternType="none"/>
    </fill>
    <fill>
      <patternFill patternType="gray125"/>
    </fill>
    <fill>
      <patternFill patternType="solid">
        <fgColor theme="4"/>
        <bgColor indexed="64"/>
      </patternFill>
    </fill>
  </fills>
  <borders count="2">
    <border>
      <left/>
      <right/>
      <top/>
      <bottom/>
      <diagonal/>
    </border>
    <border>
      <left/>
      <right/>
      <top/>
      <bottom style="medium">
        <color rgb="FF000000"/>
      </bottom>
      <diagonal/>
    </border>
  </borders>
  <cellStyleXfs count="2">
    <xf numFmtId="0" fontId="0" fillId="0" borderId="0"/>
    <xf numFmtId="44" fontId="10" fillId="0" borderId="0" applyFont="0" applyFill="0" applyBorder="0" applyAlignment="0" applyProtection="0"/>
  </cellStyleXfs>
  <cellXfs count="32">
    <xf numFmtId="0" fontId="0" fillId="0" borderId="0" xfId="0"/>
    <xf numFmtId="39" fontId="3" fillId="0" borderId="0" xfId="0" applyNumberFormat="1" applyFont="1"/>
    <xf numFmtId="37" fontId="3" fillId="0" borderId="0" xfId="0" applyNumberFormat="1" applyFont="1"/>
    <xf numFmtId="0" fontId="3" fillId="0" borderId="0" xfId="0" applyFont="1"/>
    <xf numFmtId="37" fontId="4" fillId="0" borderId="1" xfId="0" applyNumberFormat="1" applyFont="1" applyBorder="1"/>
    <xf numFmtId="0" fontId="6" fillId="0" borderId="0" xfId="0" applyFont="1"/>
    <xf numFmtId="0" fontId="7" fillId="0" borderId="0" xfId="0" applyFont="1"/>
    <xf numFmtId="0" fontId="8" fillId="0" borderId="0" xfId="0" applyFont="1"/>
    <xf numFmtId="0" fontId="9" fillId="0" borderId="0" xfId="0" applyFont="1"/>
    <xf numFmtId="0" fontId="4" fillId="0" borderId="1" xfId="0" applyNumberFormat="1" applyFont="1" applyBorder="1"/>
    <xf numFmtId="0" fontId="3" fillId="0" borderId="0" xfId="0" applyNumberFormat="1" applyFont="1"/>
    <xf numFmtId="0" fontId="0" fillId="0" borderId="0" xfId="0" applyNumberFormat="1"/>
    <xf numFmtId="0" fontId="4" fillId="0" borderId="1" xfId="0" applyNumberFormat="1" applyFont="1" applyBorder="1" applyAlignment="1">
      <alignment horizontal="left"/>
    </xf>
    <xf numFmtId="164" fontId="3" fillId="0" borderId="0" xfId="0" applyNumberFormat="1" applyFont="1"/>
    <xf numFmtId="164" fontId="11" fillId="0" borderId="1" xfId="1" applyNumberFormat="1" applyFont="1" applyBorder="1" applyAlignment="1">
      <alignment horizontal="center"/>
    </xf>
    <xf numFmtId="164" fontId="3" fillId="0" borderId="0" xfId="1" applyNumberFormat="1" applyFont="1"/>
    <xf numFmtId="164" fontId="0" fillId="0" borderId="0" xfId="1" applyNumberFormat="1" applyFont="1"/>
    <xf numFmtId="164" fontId="4" fillId="0" borderId="1" xfId="0" applyNumberFormat="1" applyFont="1" applyBorder="1" applyAlignment="1">
      <alignment horizontal="center"/>
    </xf>
    <xf numFmtId="164" fontId="0" fillId="0" borderId="0" xfId="0" applyNumberFormat="1"/>
    <xf numFmtId="164" fontId="11" fillId="2" borderId="1" xfId="1" applyNumberFormat="1" applyFont="1" applyFill="1" applyBorder="1" applyAlignment="1">
      <alignment horizontal="center"/>
    </xf>
    <xf numFmtId="0" fontId="0" fillId="0" borderId="0" xfId="0" pivotButton="1"/>
    <xf numFmtId="0" fontId="0" fillId="0" borderId="0" xfId="0" applyAlignment="1">
      <alignment horizontal="left"/>
    </xf>
    <xf numFmtId="0" fontId="2" fillId="0" borderId="0" xfId="0" applyFont="1"/>
    <xf numFmtId="0" fontId="5" fillId="0" borderId="0" xfId="0" applyFont="1" applyAlignment="1">
      <alignment horizontal="center"/>
    </xf>
    <xf numFmtId="0" fontId="11" fillId="0" borderId="1" xfId="0" applyNumberFormat="1" applyFont="1" applyBorder="1" applyAlignment="1">
      <alignment horizontal="center"/>
    </xf>
    <xf numFmtId="0" fontId="13" fillId="0" borderId="0" xfId="0" applyNumberFormat="1" applyFont="1"/>
    <xf numFmtId="0" fontId="1" fillId="0" borderId="0" xfId="0" applyFont="1"/>
    <xf numFmtId="37" fontId="11" fillId="2" borderId="1" xfId="0" applyNumberFormat="1" applyFont="1" applyFill="1" applyBorder="1" applyAlignment="1">
      <alignment horizontal="center"/>
    </xf>
    <xf numFmtId="165" fontId="11" fillId="0" borderId="1" xfId="1" applyNumberFormat="1" applyFont="1" applyBorder="1" applyAlignment="1">
      <alignment horizontal="center"/>
    </xf>
    <xf numFmtId="165" fontId="3" fillId="0" borderId="0" xfId="1" applyNumberFormat="1" applyFont="1"/>
    <xf numFmtId="165" fontId="14" fillId="0" borderId="0" xfId="1" applyNumberFormat="1" applyFont="1"/>
    <xf numFmtId="165" fontId="12" fillId="0" borderId="0" xfId="1" applyNumberFormat="1" applyFont="1"/>
  </cellXfs>
  <cellStyles count="2">
    <cellStyle name="Currency" xfId="1" builtinId="4"/>
    <cellStyle name="Normal" xfId="0" builtinId="0"/>
  </cellStyles>
  <dxfs count="57">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font>
        <b val="0"/>
        <i val="0"/>
        <strike val="0"/>
        <condense val="0"/>
        <extend val="0"/>
        <outline val="0"/>
        <shadow val="0"/>
        <u val="none"/>
        <vertAlign val="baseline"/>
        <sz val="10"/>
        <color theme="1"/>
        <name val="Calibri"/>
        <scheme val="none"/>
      </font>
      <numFmt numFmtId="164" formatCode="_-[$₦-470]* #,##0.00_-;\-[$₦-470]* #,##0.00_-;_-[$₦-470]* &quot;-&quot;??_-;_-@_-"/>
    </dxf>
    <dxf>
      <font>
        <b val="0"/>
        <i val="0"/>
        <strike val="0"/>
        <condense val="0"/>
        <extend val="0"/>
        <outline val="0"/>
        <shadow val="0"/>
        <u val="none"/>
        <vertAlign val="baseline"/>
        <sz val="10"/>
        <color theme="1"/>
        <name val="Calibri"/>
        <scheme val="none"/>
      </font>
      <numFmt numFmtId="7" formatCode="#,##0.00_);\(#,##0.00\)"/>
    </dxf>
    <dxf>
      <font>
        <b val="0"/>
        <i val="0"/>
        <strike val="0"/>
        <condense val="0"/>
        <extend val="0"/>
        <outline val="0"/>
        <shadow val="0"/>
        <u val="none"/>
        <vertAlign val="baseline"/>
        <sz val="10"/>
        <color theme="0"/>
        <name val="Calibri"/>
        <scheme val="none"/>
      </font>
      <numFmt numFmtId="165" formatCode="[$₦-470]#,##0.00"/>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numFmt numFmtId="164" formatCode="_-[$₦-470]* #,##0.00_-;\-[$₦-470]* #,##0.00_-;_-[$₦-470]* &quot;-&quot;??_-;_-@_-"/>
    </dxf>
    <dxf>
      <font>
        <b val="0"/>
        <i val="0"/>
        <strike val="0"/>
        <condense val="0"/>
        <extend val="0"/>
        <outline val="0"/>
        <shadow val="0"/>
        <u val="none"/>
        <vertAlign val="baseline"/>
        <sz val="10"/>
        <color theme="1"/>
        <name val="Calibri"/>
        <scheme val="none"/>
      </font>
      <numFmt numFmtId="0" formatCode="General"/>
    </dxf>
    <dxf>
      <font>
        <b val="0"/>
        <i val="0"/>
        <strike val="0"/>
        <condense val="0"/>
        <extend val="0"/>
        <outline val="0"/>
        <shadow val="0"/>
        <u val="none"/>
        <vertAlign val="baseline"/>
        <sz val="10"/>
        <color theme="1"/>
        <name val="Calibri"/>
        <scheme val="none"/>
      </font>
      <numFmt numFmtId="164" formatCode="_-[$₦-470]* #,##0.00_-;\-[$₦-470]* #,##0.00_-;_-[$₦-470]* &quot;-&quot;??_-;_-@_-"/>
    </dxf>
    <dxf>
      <font>
        <b val="0"/>
        <i val="0"/>
        <strike val="0"/>
        <condense val="0"/>
        <extend val="0"/>
        <outline val="0"/>
        <shadow val="0"/>
        <u val="none"/>
        <vertAlign val="baseline"/>
        <sz val="10"/>
        <color theme="1"/>
        <name val="Calibri"/>
        <scheme val="none"/>
      </font>
      <numFmt numFmtId="164" formatCode="_-[$₦-470]* #,##0.00_-;\-[$₦-470]* #,##0.00_-;_-[$₦-470]* &quot;-&quot;??_-;_-@_-"/>
    </dxf>
    <dxf>
      <font>
        <b val="0"/>
        <i val="0"/>
        <strike val="0"/>
        <condense val="0"/>
        <extend val="0"/>
        <outline val="0"/>
        <shadow val="0"/>
        <u val="none"/>
        <vertAlign val="baseline"/>
        <sz val="10"/>
        <color theme="1"/>
        <name val="Calibri"/>
        <scheme val="none"/>
      </font>
      <numFmt numFmtId="164" formatCode="_-[$₦-470]* #,##0.00_-;\-[$₦-470]* #,##0.00_-;_-[$₦-470]* &quot;-&quot;??_-;_-@_-"/>
    </dxf>
    <dxf>
      <font>
        <b val="0"/>
        <i val="0"/>
        <strike val="0"/>
        <condense val="0"/>
        <extend val="0"/>
        <outline val="0"/>
        <shadow val="0"/>
        <u val="none"/>
        <vertAlign val="baseline"/>
        <sz val="10"/>
        <color theme="1"/>
        <name val="Calibri"/>
        <scheme val="none"/>
      </font>
      <numFmt numFmtId="0" formatCode="General"/>
    </dxf>
    <dxf>
      <font>
        <b val="0"/>
        <i val="0"/>
        <strike val="0"/>
        <condense val="0"/>
        <extend val="0"/>
        <outline val="0"/>
        <shadow val="0"/>
        <u val="none"/>
        <vertAlign val="baseline"/>
        <sz val="10"/>
        <color theme="1"/>
        <name val="Calibri"/>
        <scheme val="none"/>
      </font>
      <numFmt numFmtId="0" formatCode="General"/>
    </dxf>
    <dxf>
      <font>
        <b val="0"/>
        <i val="0"/>
        <strike val="0"/>
        <condense val="0"/>
        <extend val="0"/>
        <outline val="0"/>
        <shadow val="0"/>
        <u val="none"/>
        <vertAlign val="baseline"/>
        <sz val="10"/>
        <color theme="1"/>
        <name val="Calibri"/>
        <scheme val="none"/>
      </font>
      <numFmt numFmtId="0" formatCode="General"/>
    </dxf>
    <dxf>
      <font>
        <b val="0"/>
        <i val="0"/>
        <strike val="0"/>
        <condense val="0"/>
        <extend val="0"/>
        <outline val="0"/>
        <shadow val="0"/>
        <u val="none"/>
        <vertAlign val="baseline"/>
        <sz val="10"/>
        <color theme="1"/>
        <name val="Calibri"/>
        <scheme val="none"/>
      </font>
      <numFmt numFmtId="0" formatCode="General"/>
    </dxf>
    <dxf>
      <font>
        <b val="0"/>
        <i val="0"/>
        <strike val="0"/>
        <condense val="0"/>
        <extend val="0"/>
        <outline val="0"/>
        <shadow val="0"/>
        <u val="none"/>
        <vertAlign val="baseline"/>
        <sz val="10"/>
        <color theme="1"/>
        <name val="Calibri"/>
        <scheme val="none"/>
      </font>
      <numFmt numFmtId="0" formatCode="General"/>
    </dxf>
    <dxf>
      <font>
        <b val="0"/>
        <i val="0"/>
        <strike val="0"/>
        <condense val="0"/>
        <extend val="0"/>
        <outline val="0"/>
        <shadow val="0"/>
        <u val="none"/>
        <vertAlign val="baseline"/>
        <sz val="10"/>
        <color theme="1"/>
        <name val="Calibri"/>
        <scheme val="none"/>
      </font>
      <numFmt numFmtId="0" formatCode="General"/>
    </dxf>
    <dxf>
      <font>
        <b val="0"/>
        <i val="0"/>
        <strike val="0"/>
        <condense val="0"/>
        <extend val="0"/>
        <outline val="0"/>
        <shadow val="0"/>
        <u val="none"/>
        <vertAlign val="baseline"/>
        <sz val="10"/>
        <color theme="1"/>
        <name val="Calibri"/>
        <scheme val="none"/>
      </font>
      <numFmt numFmtId="5" formatCode="#,##0_);\(#,##0\)"/>
    </dxf>
    <dxf>
      <font>
        <b val="0"/>
        <i val="0"/>
        <strike val="0"/>
        <condense val="0"/>
        <extend val="0"/>
        <outline val="0"/>
        <shadow val="0"/>
        <u val="none"/>
        <vertAlign val="baseline"/>
        <sz val="10"/>
        <color theme="1"/>
        <name val="Calibri"/>
        <scheme val="none"/>
      </font>
    </dxf>
    <dxf>
      <border outline="0">
        <bottom style="medium">
          <color rgb="FF000000"/>
        </bottom>
      </border>
    </dxf>
    <dxf>
      <font>
        <b/>
        <i val="0"/>
        <strike val="0"/>
        <condense val="0"/>
        <extend val="0"/>
        <outline val="0"/>
        <shadow val="0"/>
        <u val="none"/>
        <vertAlign val="baseline"/>
        <sz val="10"/>
        <color rgb="FFFF0000"/>
        <name val="Calibri"/>
        <scheme val="none"/>
      </font>
      <numFmt numFmtId="5" formatCode="#,##0_);\(#,##0\)"/>
      <alignment horizontal="center" vertical="bottom" textRotation="0" wrapText="0" indent="0" justifyLastLine="0" shrinkToFit="0" readingOrder="0"/>
    </dxf>
    <dxf>
      <numFmt numFmtId="164" formatCode="_-[$₦-470]* #,##0.00_-;\-[$₦-470]* #,##0.00_-;_-[$₦-470]* &quot;-&quot;??_-;_-@_-"/>
    </dxf>
    <dxf>
      <numFmt numFmtId="164" formatCode="_-[$₦-470]* #,##0.00_-;\-[$₦-470]* #,##0.00_-;_-[$₦-470]*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83.055201620373" createdVersion="5" refreshedVersion="5" minRefreshableVersion="3" recordCount="1000">
  <cacheSource type="worksheet">
    <worksheetSource name="Table1"/>
  </cacheSource>
  <cacheFields count="10">
    <cacheField name="S/N" numFmtId="37">
      <sharedItems containsSemiMixedTypes="0" containsString="0" containsNumber="1" containsInteger="1" minValue="1" maxValue="999" count="8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4"/>
        <n v="175"/>
        <n v="176"/>
        <n v="177"/>
        <n v="178"/>
        <n v="179"/>
        <n v="180"/>
        <n v="181"/>
        <n v="182"/>
        <n v="183"/>
        <n v="184"/>
        <n v="185"/>
        <n v="187"/>
        <n v="188"/>
        <n v="191"/>
        <n v="193"/>
        <n v="194"/>
        <n v="195"/>
        <n v="197"/>
        <n v="198"/>
        <n v="199"/>
        <n v="200"/>
        <n v="201"/>
        <n v="202"/>
        <n v="203"/>
        <n v="204"/>
        <n v="205"/>
        <n v="206"/>
        <n v="207"/>
        <n v="209"/>
        <n v="210"/>
        <n v="211"/>
        <n v="213"/>
        <n v="214"/>
        <n v="217"/>
        <n v="218"/>
        <n v="219"/>
        <n v="220"/>
        <n v="221"/>
        <n v="222"/>
        <n v="223"/>
        <n v="224"/>
        <n v="225"/>
        <n v="226"/>
        <n v="227"/>
        <n v="228"/>
        <n v="231"/>
        <n v="233"/>
        <n v="234"/>
        <n v="235"/>
        <n v="236"/>
        <n v="238"/>
        <n v="239"/>
        <n v="240"/>
        <n v="242"/>
        <n v="244"/>
        <n v="245"/>
        <n v="246"/>
        <n v="247"/>
        <n v="251"/>
        <n v="254"/>
        <n v="255"/>
        <n v="256"/>
        <n v="257"/>
        <n v="259"/>
        <n v="260"/>
        <n v="261"/>
        <n v="262"/>
        <n v="263"/>
        <n v="264"/>
        <n v="265"/>
        <n v="266"/>
        <n v="267"/>
        <n v="268"/>
        <n v="269"/>
        <n v="270"/>
        <n v="271"/>
        <n v="272"/>
        <n v="273"/>
        <n v="274"/>
        <n v="275"/>
        <n v="276"/>
        <n v="277"/>
        <n v="278"/>
        <n v="279"/>
        <n v="280"/>
        <n v="281"/>
        <n v="282"/>
        <n v="283"/>
        <n v="284"/>
        <n v="285"/>
        <n v="286"/>
        <n v="287"/>
        <n v="290"/>
        <n v="291"/>
        <n v="293"/>
        <n v="294"/>
        <n v="295"/>
        <n v="296"/>
        <n v="298"/>
        <n v="299"/>
        <n v="300"/>
        <n v="306"/>
        <n v="307"/>
        <n v="308"/>
        <n v="309"/>
        <n v="310"/>
        <n v="311"/>
        <n v="312"/>
        <n v="314"/>
        <n v="315"/>
        <n v="316"/>
        <n v="317"/>
        <n v="318"/>
        <n v="319"/>
        <n v="320"/>
        <n v="321"/>
        <n v="322"/>
        <n v="323"/>
        <n v="325"/>
        <n v="326"/>
        <n v="327"/>
        <n v="328"/>
        <n v="329"/>
        <n v="330"/>
        <n v="334"/>
        <n v="335"/>
        <n v="336"/>
        <n v="337"/>
        <n v="338"/>
        <n v="341"/>
        <n v="342"/>
        <n v="343"/>
        <n v="344"/>
        <n v="346"/>
        <n v="347"/>
        <n v="348"/>
        <n v="349"/>
        <n v="350"/>
        <n v="351"/>
        <n v="352"/>
        <n v="353"/>
        <n v="354"/>
        <n v="355"/>
        <n v="356"/>
        <n v="357"/>
        <n v="358"/>
        <n v="359"/>
        <n v="360"/>
        <n v="361"/>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8"/>
        <n v="409"/>
        <n v="410"/>
        <n v="411"/>
        <n v="413"/>
        <n v="414"/>
        <n v="415"/>
        <n v="416"/>
        <n v="417"/>
        <n v="418"/>
        <n v="419"/>
        <n v="420"/>
        <n v="422"/>
        <n v="425"/>
        <n v="426"/>
        <n v="427"/>
        <n v="428"/>
        <n v="432"/>
        <n v="433"/>
        <n v="434"/>
        <n v="435"/>
        <n v="438"/>
        <n v="439"/>
        <n v="440"/>
        <n v="441"/>
        <n v="442"/>
        <n v="443"/>
        <n v="445"/>
        <n v="446"/>
        <n v="448"/>
        <n v="450"/>
        <n v="451"/>
        <n v="452"/>
        <n v="453"/>
        <n v="454"/>
        <n v="456"/>
        <n v="457"/>
        <n v="458"/>
        <n v="459"/>
        <n v="460"/>
        <n v="461"/>
        <n v="462"/>
        <n v="465"/>
        <n v="468"/>
        <n v="469"/>
        <n v="470"/>
        <n v="471"/>
        <n v="472"/>
        <n v="473"/>
        <n v="475"/>
        <n v="476"/>
        <n v="477"/>
        <n v="478"/>
        <n v="479"/>
        <n v="480"/>
        <n v="481"/>
        <n v="482"/>
        <n v="483"/>
        <n v="484"/>
        <n v="485"/>
        <n v="486"/>
        <n v="487"/>
        <n v="488"/>
        <n v="489"/>
        <n v="491"/>
        <n v="492"/>
        <n v="493"/>
        <n v="494"/>
        <n v="495"/>
        <n v="496"/>
        <n v="497"/>
        <n v="498"/>
        <n v="501"/>
        <n v="502"/>
        <n v="503"/>
        <n v="504"/>
        <n v="505"/>
        <n v="506"/>
        <n v="507"/>
        <n v="508"/>
        <n v="509"/>
        <n v="510"/>
        <n v="511"/>
        <n v="512"/>
        <n v="513"/>
        <n v="514"/>
        <n v="515"/>
        <n v="517"/>
        <n v="518"/>
        <n v="519"/>
        <n v="520"/>
        <n v="521"/>
        <n v="522"/>
        <n v="524"/>
        <n v="525"/>
        <n v="526"/>
        <n v="527"/>
        <n v="528"/>
        <n v="529"/>
        <n v="530"/>
        <n v="531"/>
        <n v="532"/>
        <n v="533"/>
        <n v="534"/>
        <n v="535"/>
        <n v="536"/>
        <n v="537"/>
        <n v="538"/>
        <n v="540"/>
        <n v="541"/>
        <n v="542"/>
        <n v="543"/>
        <n v="544"/>
        <n v="546"/>
        <n v="547"/>
        <n v="548"/>
        <n v="549"/>
        <n v="550"/>
        <n v="551"/>
        <n v="552"/>
        <n v="553"/>
        <n v="554"/>
        <n v="556"/>
        <n v="557"/>
        <n v="558"/>
        <n v="559"/>
        <n v="560"/>
        <n v="561"/>
        <n v="562"/>
        <n v="563"/>
        <n v="564"/>
        <n v="565"/>
        <n v="566"/>
        <n v="567"/>
        <n v="568"/>
        <n v="569"/>
        <n v="570"/>
        <n v="572"/>
        <n v="573"/>
        <n v="574"/>
        <n v="575"/>
        <n v="576"/>
        <n v="577"/>
        <n v="578"/>
        <n v="579"/>
        <n v="581"/>
        <n v="583"/>
        <n v="585"/>
        <n v="586"/>
        <n v="588"/>
        <n v="589"/>
        <n v="590"/>
        <n v="591"/>
        <n v="592"/>
        <n v="593"/>
        <n v="594"/>
        <n v="595"/>
        <n v="597"/>
        <n v="598"/>
        <n v="599"/>
        <n v="600"/>
        <n v="601"/>
        <n v="602"/>
        <n v="603"/>
        <n v="604"/>
        <n v="605"/>
        <n v="606"/>
        <n v="607"/>
        <n v="608"/>
        <n v="609"/>
        <n v="610"/>
        <n v="611"/>
        <n v="613"/>
        <n v="614"/>
        <n v="615"/>
        <n v="616"/>
        <n v="617"/>
        <n v="618"/>
        <n v="621"/>
        <n v="622"/>
        <n v="623"/>
        <n v="624"/>
        <n v="625"/>
        <n v="626"/>
        <n v="627"/>
        <n v="628"/>
        <n v="630"/>
        <n v="631"/>
        <n v="632"/>
        <n v="633"/>
        <n v="634"/>
        <n v="635"/>
        <n v="636"/>
        <n v="637"/>
        <n v="638"/>
        <n v="639"/>
        <n v="640"/>
        <n v="641"/>
        <n v="642"/>
        <n v="643"/>
        <n v="644"/>
        <n v="646"/>
        <n v="647"/>
        <n v="648"/>
        <n v="649"/>
        <n v="650"/>
        <n v="651"/>
        <n v="652"/>
        <n v="653"/>
        <n v="654"/>
        <n v="656"/>
        <n v="658"/>
        <n v="660"/>
        <n v="662"/>
        <n v="664"/>
        <n v="665"/>
        <n v="666"/>
        <n v="668"/>
        <n v="669"/>
        <n v="670"/>
        <n v="673"/>
        <n v="674"/>
        <n v="675"/>
        <n v="676"/>
        <n v="677"/>
        <n v="678"/>
        <n v="679"/>
        <n v="680"/>
        <n v="683"/>
        <n v="684"/>
        <n v="685"/>
        <n v="686"/>
        <n v="687"/>
        <n v="688"/>
        <n v="689"/>
        <n v="690"/>
        <n v="691"/>
        <n v="692"/>
        <n v="693"/>
        <n v="694"/>
        <n v="695"/>
        <n v="696"/>
        <n v="697"/>
        <n v="698"/>
        <n v="699"/>
        <n v="700"/>
        <n v="703"/>
        <n v="704"/>
        <n v="707"/>
        <n v="710"/>
        <n v="711"/>
        <n v="713"/>
        <n v="714"/>
        <n v="715"/>
        <n v="717"/>
        <n v="718"/>
        <n v="719"/>
        <n v="720"/>
        <n v="721"/>
        <n v="722"/>
        <n v="723"/>
        <n v="724"/>
        <n v="725"/>
        <n v="727"/>
        <n v="728"/>
        <n v="729"/>
        <n v="730"/>
        <n v="731"/>
        <n v="732"/>
        <n v="733"/>
        <n v="734"/>
        <n v="735"/>
        <n v="737"/>
        <n v="739"/>
        <n v="740"/>
        <n v="741"/>
        <n v="742"/>
        <n v="743"/>
        <n v="745"/>
        <n v="746"/>
        <n v="747"/>
        <n v="748"/>
        <n v="749"/>
        <n v="750"/>
        <n v="751"/>
        <n v="752"/>
        <n v="753"/>
        <n v="754"/>
        <n v="755"/>
        <n v="756"/>
        <n v="757"/>
        <n v="758"/>
        <n v="759"/>
        <n v="760"/>
        <n v="761"/>
        <n v="762"/>
        <n v="763"/>
        <n v="764"/>
        <n v="765"/>
        <n v="766"/>
        <n v="767"/>
        <n v="768"/>
        <n v="769"/>
        <n v="770"/>
        <n v="773"/>
        <n v="774"/>
        <n v="775"/>
        <n v="776"/>
        <n v="778"/>
        <n v="779"/>
        <n v="780"/>
        <n v="781"/>
        <n v="784"/>
        <n v="785"/>
        <n v="786"/>
        <n v="787"/>
        <n v="788"/>
        <n v="789"/>
        <n v="790"/>
        <n v="793"/>
        <n v="794"/>
        <n v="795"/>
        <n v="797"/>
        <n v="799"/>
        <n v="800"/>
        <n v="801"/>
        <n v="802"/>
        <n v="804"/>
        <n v="805"/>
        <n v="806"/>
        <n v="807"/>
        <n v="808"/>
        <n v="810"/>
        <n v="811"/>
        <n v="812"/>
        <n v="813"/>
        <n v="814"/>
        <n v="815"/>
        <n v="816"/>
        <n v="817"/>
        <n v="818"/>
        <n v="819"/>
        <n v="824"/>
        <n v="826"/>
        <n v="828"/>
        <n v="829"/>
        <n v="830"/>
        <n v="831"/>
        <n v="832"/>
        <n v="833"/>
        <n v="834"/>
        <n v="836"/>
        <n v="837"/>
        <n v="838"/>
        <n v="842"/>
        <n v="843"/>
        <n v="844"/>
        <n v="845"/>
        <n v="846"/>
        <n v="847"/>
        <n v="848"/>
        <n v="849"/>
        <n v="850"/>
        <n v="852"/>
        <n v="854"/>
        <n v="855"/>
        <n v="856"/>
        <n v="857"/>
        <n v="858"/>
        <n v="859"/>
        <n v="860"/>
        <n v="862"/>
        <n v="863"/>
        <n v="864"/>
        <n v="865"/>
        <n v="866"/>
        <n v="867"/>
        <n v="868"/>
        <n v="869"/>
        <n v="870"/>
        <n v="871"/>
        <n v="873"/>
        <n v="874"/>
        <n v="875"/>
        <n v="876"/>
        <n v="877"/>
        <n v="878"/>
        <n v="880"/>
        <n v="881"/>
        <n v="882"/>
        <n v="883"/>
        <n v="884"/>
        <n v="885"/>
        <n v="886"/>
        <n v="888"/>
        <n v="890"/>
        <n v="891"/>
        <n v="892"/>
        <n v="893"/>
        <n v="894"/>
        <n v="895"/>
        <n v="896"/>
        <n v="897"/>
        <n v="899"/>
        <n v="900"/>
        <n v="901"/>
        <n v="902"/>
        <n v="903"/>
        <n v="904"/>
        <n v="905"/>
        <n v="906"/>
        <n v="907"/>
        <n v="908"/>
        <n v="909"/>
        <n v="911"/>
        <n v="913"/>
        <n v="914"/>
        <n v="915"/>
        <n v="916"/>
        <n v="917"/>
        <n v="918"/>
        <n v="920"/>
        <n v="921"/>
        <n v="922"/>
        <n v="923"/>
        <n v="924"/>
        <n v="925"/>
        <n v="926"/>
        <n v="927"/>
        <n v="928"/>
        <n v="930"/>
        <n v="931"/>
        <n v="932"/>
        <n v="933"/>
        <n v="934"/>
        <n v="935"/>
        <n v="936"/>
        <n v="937"/>
        <n v="938"/>
        <n v="939"/>
        <n v="940"/>
        <n v="941"/>
        <n v="942"/>
        <n v="944"/>
        <n v="945"/>
        <n v="946"/>
        <n v="947"/>
        <n v="948"/>
        <n v="949"/>
        <n v="950"/>
        <n v="952"/>
        <n v="953"/>
        <n v="954"/>
        <n v="956"/>
        <n v="957"/>
        <n v="958"/>
        <n v="961"/>
        <n v="962"/>
        <n v="963"/>
        <n v="964"/>
        <n v="965"/>
        <n v="966"/>
        <n v="967"/>
        <n v="968"/>
        <n v="969"/>
        <n v="970"/>
        <n v="971"/>
        <n v="973"/>
        <n v="974"/>
        <n v="977"/>
        <n v="978"/>
        <n v="979"/>
        <n v="980"/>
        <n v="981"/>
        <n v="982"/>
        <n v="983"/>
        <n v="984"/>
        <n v="985"/>
        <n v="986"/>
        <n v="987"/>
        <n v="988"/>
        <n v="990"/>
        <n v="991"/>
        <n v="993"/>
        <n v="995"/>
        <n v="997"/>
        <n v="998"/>
        <n v="999"/>
      </sharedItems>
    </cacheField>
    <cacheField name="First_Name" numFmtId="0">
      <sharedItems/>
    </cacheField>
    <cacheField name="Last_Name" numFmtId="0">
      <sharedItems/>
    </cacheField>
    <cacheField name="State " numFmtId="0">
      <sharedItems count="37">
        <s v="Bauchi"/>
        <s v="Borno"/>
        <s v="Rivers"/>
        <s v="Delta"/>
        <s v="Benue"/>
        <s v="Lagos"/>
        <s v="Akwa-Ibom"/>
        <s v="Cross-River"/>
        <s v="Adamawa"/>
        <s v="Ekiti"/>
        <s v="Yobe"/>
        <s v="Imo"/>
        <s v="Ebonyi"/>
        <s v="Anambra"/>
        <s v="Gombe"/>
        <s v="Zamfara"/>
        <s v="Plateau"/>
        <s v="Taraba"/>
        <s v="Katsina"/>
        <s v="Nassarawa"/>
        <s v="Oyo"/>
        <s v="Kwara"/>
        <s v="Abia"/>
        <s v="Kaduna"/>
        <s v="Sokoto"/>
        <s v="Jigawa"/>
        <s v="Bayelsa"/>
        <s v="Kogi"/>
        <s v="Edo"/>
        <s v="Ogun"/>
        <s v="Osun"/>
        <s v="Niger"/>
        <s v="Ondo"/>
        <s v="Kebbi"/>
        <s v="FCT"/>
        <s v="Enugu"/>
        <s v="Kano"/>
      </sharedItems>
    </cacheField>
    <cacheField name="Department" numFmtId="0">
      <sharedItems count="10">
        <s v="Finance"/>
        <s v="Human Resources"/>
        <s v="Admin."/>
        <s v="Internal Control"/>
        <s v="IT"/>
        <s v="R&amp;D"/>
        <s v="Dispatch"/>
        <s v="Production "/>
        <s v="Customer Service"/>
        <s v="Quality Control"/>
      </sharedItems>
    </cacheField>
    <cacheField name="Unit" numFmtId="0">
      <sharedItems/>
    </cacheField>
    <cacheField name="Bank" numFmtId="0">
      <sharedItems count="6">
        <s v="Sub-Standard Bank"/>
        <s v="Distressed Bank"/>
        <s v="Oasis Bank"/>
        <s v="Last Bank Of Nigeria"/>
        <s v="Money Doublers' Bank"/>
        <s v="Atlantic Bank"/>
      </sharedItems>
    </cacheField>
    <cacheField name="Salary" numFmtId="164">
      <sharedItems containsSemiMixedTypes="0" containsString="0" containsNumber="1" minValue="260788.00000000003" maxValue="6001579.6559999995"/>
    </cacheField>
    <cacheField name="Bonus" numFmtId="164">
      <sharedItems containsSemiMixedTypes="0" containsString="0" containsNumber="1" minValue="13039.400000000001" maxValue="600157.9656"/>
    </cacheField>
    <cacheField name="Total_Pay" numFmtId="164">
      <sharedItems containsSemiMixedTypes="0" containsString="0" containsNumber="1" minValue="273827.40000000002" maxValue="6601737.62159999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x v="0"/>
    <s v="Olubunmi"/>
    <s v="Adeyemi"/>
    <x v="0"/>
    <x v="0"/>
    <s v="Account Receivables"/>
    <x v="0"/>
    <n v="4013536.83"/>
    <n v="401353.68300000002"/>
    <n v="4414890.5130000003"/>
  </r>
  <r>
    <x v="1"/>
    <s v="Albert"/>
    <s v="Ornams"/>
    <x v="1"/>
    <x v="1"/>
    <s v="Training &amp; Development"/>
    <x v="1"/>
    <n v="3452591.72"/>
    <n v="345259.17200000002"/>
    <n v="3797850.892"/>
  </r>
  <r>
    <x v="2"/>
    <s v="Ibi-Kunle"/>
    <s v="Ayodeji"/>
    <x v="2"/>
    <x v="2"/>
    <s v="MD's Office"/>
    <x v="2"/>
    <n v="1050000"/>
    <n v="105000"/>
    <n v="1155000"/>
  </r>
  <r>
    <x v="2"/>
    <s v="Humphrey"/>
    <s v="Idachaba"/>
    <x v="3"/>
    <x v="0"/>
    <s v="Account Payables"/>
    <x v="1"/>
    <n v="3704384.7560000001"/>
    <n v="370438.47560000001"/>
    <n v="4074823.2316000001"/>
  </r>
  <r>
    <x v="3"/>
    <s v="Alihu"/>
    <s v="Sarkin"/>
    <x v="4"/>
    <x v="3"/>
    <s v="Risk Management"/>
    <x v="1"/>
    <n v="749822.37599999993"/>
    <n v="37491.118799999997"/>
    <n v="787313.49479999999"/>
  </r>
  <r>
    <x v="3"/>
    <s v="Furo"/>
    <s v="Diete-Spiff"/>
    <x v="5"/>
    <x v="0"/>
    <s v="Account Receivables"/>
    <x v="3"/>
    <n v="729409.21400000004"/>
    <n v="36470.460700000003"/>
    <n v="765879.67470000009"/>
  </r>
  <r>
    <x v="4"/>
    <s v="Offiong"/>
    <s v="Bassey"/>
    <x v="2"/>
    <x v="4"/>
    <s v="Desktop Support"/>
    <x v="1"/>
    <n v="4095352.7179999999"/>
    <n v="409535.27179999999"/>
    <n v="4504887.9897999996"/>
  </r>
  <r>
    <x v="4"/>
    <s v="Gloria"/>
    <s v="Agoro"/>
    <x v="6"/>
    <x v="0"/>
    <s v="Budgeting"/>
    <x v="0"/>
    <n v="2277936.5020000003"/>
    <n v="227793.65020000003"/>
    <n v="2505730.1522000004"/>
  </r>
  <r>
    <x v="5"/>
    <s v="Janet"/>
    <s v="Dunu"/>
    <x v="7"/>
    <x v="2"/>
    <s v="Expenditure"/>
    <x v="4"/>
    <n v="1284660.0000000002"/>
    <n v="128466.00000000003"/>
    <n v="1413126.0000000002"/>
  </r>
  <r>
    <x v="5"/>
    <s v="Oluwatoyin"/>
    <s v="Obhizolle"/>
    <x v="8"/>
    <x v="0"/>
    <s v="Account Payables"/>
    <x v="5"/>
    <n v="1439924.14"/>
    <n v="143992.41399999999"/>
    <n v="1583916.554"/>
  </r>
  <r>
    <x v="6"/>
    <s v="Tunde"/>
    <s v="Salami"/>
    <x v="0"/>
    <x v="5"/>
    <s v="Planning &amp; Development"/>
    <x v="2"/>
    <n v="5844318.9040000001"/>
    <n v="584431.89040000003"/>
    <n v="6428750.7944"/>
  </r>
  <r>
    <x v="6"/>
    <s v="Lara"/>
    <s v="Busari"/>
    <x v="3"/>
    <x v="0"/>
    <s v="Account Receivables"/>
    <x v="5"/>
    <n v="347672.47400000005"/>
    <n v="17383.623700000004"/>
    <n v="365056.09770000004"/>
  </r>
  <r>
    <x v="7"/>
    <s v="Ibrahim"/>
    <s v="Bako"/>
    <x v="5"/>
    <x v="2"/>
    <s v="Supplies"/>
    <x v="5"/>
    <n v="1070000"/>
    <n v="107000"/>
    <n v="1177000"/>
  </r>
  <r>
    <x v="7"/>
    <s v="Wuraola"/>
    <s v="Mayuku"/>
    <x v="1"/>
    <x v="0"/>
    <s v="Budgeting"/>
    <x v="0"/>
    <n v="4700186.068"/>
    <n v="470018.60680000001"/>
    <n v="5170204.6748000002"/>
  </r>
  <r>
    <x v="8"/>
    <s v="Kunle"/>
    <s v="Isiukwu"/>
    <x v="9"/>
    <x v="6"/>
    <s v="Logistics"/>
    <x v="4"/>
    <n v="2553668.6839999999"/>
    <n v="255366.86840000001"/>
    <n v="2809035.5523999999"/>
  </r>
  <r>
    <x v="8"/>
    <s v="Onyemaechi"/>
    <s v="Onabanjo"/>
    <x v="10"/>
    <x v="0"/>
    <s v="Account Payables"/>
    <x v="0"/>
    <n v="2272638.1979999999"/>
    <n v="227263.8198"/>
    <n v="2499902.0178"/>
  </r>
  <r>
    <x v="9"/>
    <s v="Farouk"/>
    <s v="Jato"/>
    <x v="0"/>
    <x v="7"/>
    <s v="Planning"/>
    <x v="0"/>
    <n v="3021001.4839999997"/>
    <n v="302100.14840000001"/>
    <n v="3323101.6323999995"/>
  </r>
  <r>
    <x v="9"/>
    <s v="Williams"/>
    <s v="Ozieh"/>
    <x v="11"/>
    <x v="0"/>
    <s v="Account Receivables"/>
    <x v="2"/>
    <n v="1135125.9099999999"/>
    <n v="113512.591"/>
    <n v="1248638.5009999999"/>
  </r>
  <r>
    <x v="10"/>
    <s v="Uzoma"/>
    <s v="Obi"/>
    <x v="7"/>
    <x v="4"/>
    <s v="Connectivity"/>
    <x v="5"/>
    <n v="1034366.02"/>
    <n v="103436.60200000001"/>
    <n v="1137802.622"/>
  </r>
  <r>
    <x v="10"/>
    <s v="Titilola"/>
    <s v="Akeem"/>
    <x v="12"/>
    <x v="0"/>
    <s v="Budgeting"/>
    <x v="4"/>
    <n v="725905.38400000008"/>
    <n v="36295.269200000002"/>
    <n v="762200.65320000006"/>
  </r>
  <r>
    <x v="11"/>
    <s v="James"/>
    <s v="Ubong"/>
    <x v="9"/>
    <x v="0"/>
    <s v="Budgeting"/>
    <x v="3"/>
    <n v="5957609.7959999992"/>
    <n v="595760.97959999996"/>
    <n v="6553370.7755999994"/>
  </r>
  <r>
    <x v="11"/>
    <s v="Mope"/>
    <s v="Odufalu"/>
    <x v="13"/>
    <x v="0"/>
    <s v="Account Payables"/>
    <x v="2"/>
    <n v="469289.772"/>
    <n v="23464.488600000001"/>
    <n v="492754.26059999998"/>
  </r>
  <r>
    <x v="12"/>
    <s v="Ernest"/>
    <s v="Ike"/>
    <x v="7"/>
    <x v="8"/>
    <s v="Call Center"/>
    <x v="5"/>
    <n v="5699224.1959999995"/>
    <n v="569922.41960000002"/>
    <n v="6269146.6155999992"/>
  </r>
  <r>
    <x v="12"/>
    <s v="Uloma"/>
    <s v="Musa"/>
    <x v="7"/>
    <x v="0"/>
    <s v="Account Receivables"/>
    <x v="4"/>
    <n v="1888563.628"/>
    <n v="188856.3628"/>
    <n v="2077419.9908"/>
  </r>
  <r>
    <x v="13"/>
    <s v="Nosa"/>
    <s v="Edebor"/>
    <x v="14"/>
    <x v="9"/>
    <s v="Research"/>
    <x v="5"/>
    <n v="1560374.2719999999"/>
    <n v="156037.42720000001"/>
    <n v="1716411.6991999999"/>
  </r>
  <r>
    <x v="13"/>
    <s v="Jennifer"/>
    <s v="Gwandiku"/>
    <x v="0"/>
    <x v="0"/>
    <s v="Budgeting"/>
    <x v="5"/>
    <n v="1691170.3219999999"/>
    <n v="169117.03220000002"/>
    <n v="1860287.3541999999"/>
  </r>
  <r>
    <x v="14"/>
    <s v="Uche"/>
    <s v="Iweka"/>
    <x v="0"/>
    <x v="2"/>
    <s v="MD's Office"/>
    <x v="0"/>
    <n v="1070000"/>
    <n v="107000"/>
    <n v="1177000"/>
  </r>
  <r>
    <x v="14"/>
    <s v="Adewale"/>
    <s v="Awolana"/>
    <x v="3"/>
    <x v="0"/>
    <s v="Account Payables"/>
    <x v="0"/>
    <n v="3549763.8279999997"/>
    <n v="354976.38280000002"/>
    <n v="3904740.2107999995"/>
  </r>
  <r>
    <x v="15"/>
    <s v="Ikechukwu"/>
    <s v="Nwigwe"/>
    <x v="9"/>
    <x v="2"/>
    <s v="Expenditure"/>
    <x v="3"/>
    <n v="5075560"/>
    <n v="507556"/>
    <n v="5583116"/>
  </r>
  <r>
    <x v="15"/>
    <s v="Erica"/>
    <s v="Nweje"/>
    <x v="15"/>
    <x v="0"/>
    <s v="Account Receivables"/>
    <x v="3"/>
    <n v="5931707.1059999997"/>
    <n v="593170.71059999999"/>
    <n v="6524877.8165999996"/>
  </r>
  <r>
    <x v="16"/>
    <s v="Joyce"/>
    <s v="Shittigona"/>
    <x v="0"/>
    <x v="1"/>
    <s v="Benefits Admin."/>
    <x v="5"/>
    <n v="1045933.906"/>
    <n v="104593.3906"/>
    <n v="1150527.2966"/>
  </r>
  <r>
    <x v="16"/>
    <s v="Omolara"/>
    <s v="Udom"/>
    <x v="16"/>
    <x v="0"/>
    <s v="Budgeting"/>
    <x v="1"/>
    <n v="4460604.55"/>
    <n v="446060.45500000002"/>
    <n v="4906665.0049999999"/>
  </r>
  <r>
    <x v="17"/>
    <s v="Abiodun"/>
    <s v="Amadin"/>
    <x v="13"/>
    <x v="0"/>
    <s v="Account Payables"/>
    <x v="5"/>
    <n v="1931051.5019999999"/>
    <n v="193105.1502"/>
    <n v="2124156.6521999999"/>
  </r>
  <r>
    <x v="18"/>
    <s v="Ade"/>
    <s v="Adefarasin"/>
    <x v="7"/>
    <x v="6"/>
    <s v="Call Center"/>
    <x v="5"/>
    <n v="4738877.4459999995"/>
    <n v="473887.74459999998"/>
    <n v="5212765.1905999994"/>
  </r>
  <r>
    <x v="18"/>
    <s v="Celina"/>
    <s v="Okeke"/>
    <x v="17"/>
    <x v="0"/>
    <s v="Account Receivables"/>
    <x v="0"/>
    <n v="2939474.764"/>
    <n v="293947.47639999999"/>
    <n v="3233422.2404"/>
  </r>
  <r>
    <x v="19"/>
    <s v="Wellington"/>
    <s v="Duduyemi"/>
    <x v="0"/>
    <x v="0"/>
    <s v="Budgeting"/>
    <x v="3"/>
    <n v="5043381.8440000005"/>
    <n v="504338.18440000009"/>
    <n v="5547720.0284000002"/>
  </r>
  <r>
    <x v="20"/>
    <s v="Chidi"/>
    <s v="Nwosisi"/>
    <x v="18"/>
    <x v="2"/>
    <s v="Supplies"/>
    <x v="1"/>
    <n v="4204200"/>
    <n v="420420"/>
    <n v="4624620"/>
  </r>
  <r>
    <x v="20"/>
    <s v="Ife"/>
    <s v="Dung"/>
    <x v="2"/>
    <x v="0"/>
    <s v="Account Payables"/>
    <x v="1"/>
    <n v="1829948.808"/>
    <n v="182994.88080000001"/>
    <n v="2012943.6887999999"/>
  </r>
  <r>
    <x v="21"/>
    <s v="Segun"/>
    <s v="Okoh"/>
    <x v="15"/>
    <x v="2"/>
    <s v="MD's Office"/>
    <x v="5"/>
    <n v="1009000"/>
    <n v="100900"/>
    <n v="1109900"/>
  </r>
  <r>
    <x v="21"/>
    <s v="Taiwo"/>
    <s v="Ajan"/>
    <x v="7"/>
    <x v="0"/>
    <s v="Account Receivables"/>
    <x v="5"/>
    <n v="4016999.85"/>
    <n v="401699.98500000004"/>
    <n v="4418699.835"/>
  </r>
  <r>
    <x v="22"/>
    <s v="Ngozi"/>
    <s v="Ojo"/>
    <x v="18"/>
    <x v="6"/>
    <s v="Courier"/>
    <x v="0"/>
    <n v="2497551.4360000002"/>
    <n v="249755.14360000004"/>
    <n v="2747306.5796000003"/>
  </r>
  <r>
    <x v="22"/>
    <s v="Peter"/>
    <s v="Ephraim"/>
    <x v="5"/>
    <x v="0"/>
    <s v="Budgeting"/>
    <x v="1"/>
    <n v="3638306.37"/>
    <n v="363830.63700000005"/>
    <n v="4002137.0070000002"/>
  </r>
  <r>
    <x v="23"/>
    <s v="Ibironke"/>
    <s v="Eweka"/>
    <x v="16"/>
    <x v="1"/>
    <s v="Payroll"/>
    <x v="0"/>
    <n v="4945271.1059999997"/>
    <n v="494527.11060000001"/>
    <n v="5439798.2165999999"/>
  </r>
  <r>
    <x v="23"/>
    <s v="Ayodele"/>
    <s v="Mutallib"/>
    <x v="19"/>
    <x v="0"/>
    <s v="Account Payables"/>
    <x v="0"/>
    <n v="1913391.2660000001"/>
    <n v="191339.12660000002"/>
    <n v="2104730.3925999999"/>
  </r>
  <r>
    <x v="24"/>
    <s v="Olubukonla"/>
    <s v="Ene"/>
    <x v="5"/>
    <x v="9"/>
    <s v="Training"/>
    <x v="1"/>
    <n v="3829637.642"/>
    <n v="382963.76420000003"/>
    <n v="4212601.4062000001"/>
  </r>
  <r>
    <x v="24"/>
    <s v="David"/>
    <s v="Odiah"/>
    <x v="20"/>
    <x v="0"/>
    <s v="Account Receivables"/>
    <x v="1"/>
    <n v="1943205.8860000002"/>
    <n v="194320.58860000002"/>
    <n v="2137526.4746000003"/>
  </r>
  <r>
    <x v="25"/>
    <s v="Olugbenga"/>
    <s v="Otike-Odibi"/>
    <x v="11"/>
    <x v="7"/>
    <s v="Technical Design"/>
    <x v="0"/>
    <n v="4455984.858"/>
    <n v="445598.48580000002"/>
    <n v="4901583.3437999999"/>
  </r>
  <r>
    <x v="25"/>
    <s v="Ike"/>
    <s v="Olusola"/>
    <x v="12"/>
    <x v="0"/>
    <s v="Budgeting"/>
    <x v="2"/>
    <n v="5555340.9620000003"/>
    <n v="555534.09620000003"/>
    <n v="6110875.0581999999"/>
  </r>
  <r>
    <x v="26"/>
    <s v="Abdul-Rasaq"/>
    <s v="Izevbigie"/>
    <x v="18"/>
    <x v="2"/>
    <s v="Expenditure"/>
    <x v="0"/>
    <n v="3960712.9999999995"/>
    <n v="396071.3"/>
    <n v="4356784.3"/>
  </r>
  <r>
    <x v="26"/>
    <s v="Blank"/>
    <s v="Okereke"/>
    <x v="21"/>
    <x v="0"/>
    <s v="Account Payables"/>
    <x v="0"/>
    <n v="568118.76599999995"/>
    <n v="28405.938299999998"/>
    <n v="596524.70429999998"/>
  </r>
  <r>
    <x v="27"/>
    <s v="Ugo"/>
    <s v="Aruede"/>
    <x v="12"/>
    <x v="1"/>
    <s v="Training &amp; Development"/>
    <x v="3"/>
    <n v="3759035.176"/>
    <n v="375903.51760000002"/>
    <n v="4134938.6935999999"/>
  </r>
  <r>
    <x v="27"/>
    <s v="Aiyegbusi"/>
    <s v="Akinyemi"/>
    <x v="8"/>
    <x v="0"/>
    <s v="Account Receivables"/>
    <x v="3"/>
    <n v="4725543.07"/>
    <n v="472554.30700000003"/>
    <n v="5198097.3770000003"/>
  </r>
  <r>
    <x v="28"/>
    <s v="Ugo"/>
    <s v="Uwachukwu"/>
    <x v="3"/>
    <x v="4"/>
    <s v="Business Application Support"/>
    <x v="0"/>
    <n v="4204941.5599999996"/>
    <n v="420494.15599999996"/>
    <n v="4625435.716"/>
  </r>
  <r>
    <x v="28"/>
    <s v="Hafsah"/>
    <s v="Left"/>
    <x v="22"/>
    <x v="0"/>
    <s v="Budgeting"/>
    <x v="1"/>
    <n v="2512707.1039999998"/>
    <n v="251270.71039999998"/>
    <n v="2763977.8143999996"/>
  </r>
  <r>
    <x v="29"/>
    <s v="Uzezi"/>
    <s v="Chiwonyi"/>
    <x v="1"/>
    <x v="8"/>
    <s v="Social Media"/>
    <x v="1"/>
    <n v="2972525.034"/>
    <n v="297252.50339999999"/>
    <n v="3269777.5373999998"/>
  </r>
  <r>
    <x v="29"/>
    <s v="Tope"/>
    <s v="Utoro"/>
    <x v="23"/>
    <x v="0"/>
    <s v="Account Payables"/>
    <x v="3"/>
    <n v="3789958.662"/>
    <n v="378995.86620000005"/>
    <n v="4168954.5282000001"/>
  </r>
  <r>
    <x v="30"/>
    <s v="Ibrahim"/>
    <s v="Akpata"/>
    <x v="21"/>
    <x v="6"/>
    <s v="Logistics"/>
    <x v="3"/>
    <n v="3622985.13"/>
    <n v="362298.51300000004"/>
    <n v="3985283.6430000002"/>
  </r>
  <r>
    <x v="30"/>
    <s v="Olubukola"/>
    <s v="Afo"/>
    <x v="24"/>
    <x v="0"/>
    <s v="Account Receivables"/>
    <x v="0"/>
    <n v="5713576.4900000002"/>
    <n v="571357.64900000009"/>
    <n v="6284934.1390000004"/>
  </r>
  <r>
    <x v="31"/>
    <s v="Ifeoma"/>
    <s v="Agu"/>
    <x v="25"/>
    <x v="4"/>
    <s v="Desktop Support"/>
    <x v="3"/>
    <n v="790374.69"/>
    <n v="39518.734499999999"/>
    <n v="829893.42449999996"/>
  </r>
  <r>
    <x v="31"/>
    <s v="Ugbona"/>
    <s v="Oshilaja"/>
    <x v="21"/>
    <x v="0"/>
    <s v="Budgeting"/>
    <x v="5"/>
    <n v="2482174.2279999997"/>
    <n v="248217.42279999997"/>
    <n v="2730391.6507999995"/>
  </r>
  <r>
    <x v="32"/>
    <s v="Abiodun"/>
    <s v="Popoola"/>
    <x v="21"/>
    <x v="7"/>
    <s v="Maintenance"/>
    <x v="2"/>
    <n v="5507533.7959999992"/>
    <n v="550753.37959999999"/>
    <n v="6058287.1755999988"/>
  </r>
  <r>
    <x v="32"/>
    <s v="James"/>
    <s v="Roland"/>
    <x v="17"/>
    <x v="0"/>
    <s v="Account Payables"/>
    <x v="5"/>
    <n v="4546602.88"/>
    <n v="454660.288"/>
    <n v="5001263.1679999996"/>
  </r>
  <r>
    <x v="33"/>
    <s v="Bolanle"/>
    <s v="Itayemi"/>
    <x v="26"/>
    <x v="1"/>
    <s v="Benefits Admin."/>
    <x v="1"/>
    <n v="3449131.0320000001"/>
    <n v="344913.10320000001"/>
    <n v="3794044.1352000004"/>
  </r>
  <r>
    <x v="33"/>
    <s v="Bankole"/>
    <s v="Jesumuyiwa"/>
    <x v="19"/>
    <x v="0"/>
    <s v="Account Receivables"/>
    <x v="0"/>
    <n v="1690537.1839999999"/>
    <n v="169053.71840000001"/>
    <n v="1859590.9024"/>
  </r>
  <r>
    <x v="34"/>
    <s v="Temitope"/>
    <s v="Emmanuel"/>
    <x v="5"/>
    <x v="0"/>
    <s v="Budgeting"/>
    <x v="0"/>
    <n v="3025620.01"/>
    <n v="302562.00099999999"/>
    <n v="3328182.0109999999"/>
  </r>
  <r>
    <x v="35"/>
    <s v="Jane"/>
    <s v="Sogbetun"/>
    <x v="27"/>
    <x v="0"/>
    <s v="Account Payables"/>
    <x v="2"/>
    <n v="2284927.838"/>
    <n v="228492.7838"/>
    <n v="2513420.6217999998"/>
  </r>
  <r>
    <x v="36"/>
    <s v="Queenmary"/>
    <s v="Akinbodunse"/>
    <x v="22"/>
    <x v="8"/>
    <s v="Help Desk"/>
    <x v="0"/>
    <n v="877646.2919999999"/>
    <n v="43882.314599999998"/>
    <n v="921528.60659999994"/>
  </r>
  <r>
    <x v="36"/>
    <s v="Dayo"/>
    <s v="Adebayo"/>
    <x v="12"/>
    <x v="0"/>
    <s v="Account Receivables"/>
    <x v="4"/>
    <n v="516079.02"/>
    <n v="25803.951000000001"/>
    <n v="541882.97100000002"/>
  </r>
  <r>
    <x v="37"/>
    <s v="Olubunmi"/>
    <s v="Ikpoba"/>
    <x v="28"/>
    <x v="2"/>
    <s v="Supplies"/>
    <x v="3"/>
    <n v="3130625.0000000005"/>
    <n v="313062.50000000006"/>
    <n v="3443687.5000000005"/>
  </r>
  <r>
    <x v="37"/>
    <s v="Walter"/>
    <s v="Mark"/>
    <x v="29"/>
    <x v="0"/>
    <s v="Budgeting"/>
    <x v="2"/>
    <n v="3587499.0860000001"/>
    <n v="358749.90860000002"/>
    <n v="3946248.9946000003"/>
  </r>
  <r>
    <x v="38"/>
    <s v="Anthony"/>
    <s v="Fadahunsi"/>
    <x v="23"/>
    <x v="1"/>
    <s v="Payroll"/>
    <x v="5"/>
    <n v="1988572.6139999998"/>
    <n v="198857.26139999999"/>
    <n v="2187429.8753999998"/>
  </r>
  <r>
    <x v="38"/>
    <s v="Bolanle"/>
    <s v="Akib"/>
    <x v="17"/>
    <x v="0"/>
    <s v="Account Payables"/>
    <x v="4"/>
    <n v="4229783.1900000004"/>
    <n v="422978.31900000008"/>
    <n v="4652761.5090000005"/>
  </r>
  <r>
    <x v="39"/>
    <s v="Ada"/>
    <s v="Nabil"/>
    <x v="26"/>
    <x v="0"/>
    <s v="Account Receivables"/>
    <x v="5"/>
    <n v="5932929.074"/>
    <n v="593292.90740000003"/>
    <n v="6526221.9813999999"/>
  </r>
  <r>
    <x v="40"/>
    <s v="Olalekan"/>
    <s v="Uba"/>
    <x v="8"/>
    <x v="0"/>
    <s v="Budgeting"/>
    <x v="0"/>
    <n v="1551747.0379999999"/>
    <n v="155174.70379999999"/>
    <n v="1706921.7418"/>
  </r>
  <r>
    <x v="41"/>
    <s v="Abiola"/>
    <s v="Ogunlabi"/>
    <x v="13"/>
    <x v="1"/>
    <s v="Training &amp; Development"/>
    <x v="1"/>
    <n v="4454992.5920000002"/>
    <n v="445499.25920000003"/>
    <n v="4900491.8512000004"/>
  </r>
  <r>
    <x v="41"/>
    <s v="Lateef"/>
    <s v="Amodu"/>
    <x v="1"/>
    <x v="0"/>
    <s v="Account Payables"/>
    <x v="3"/>
    <n v="4950529.7659999998"/>
    <n v="495052.97659999999"/>
    <n v="5445582.7425999995"/>
  </r>
  <r>
    <x v="42"/>
    <s v="Rudayat"/>
    <s v="Ugwumadu"/>
    <x v="24"/>
    <x v="1"/>
    <s v="Benefits Admin."/>
    <x v="0"/>
    <n v="4381268.7439999999"/>
    <n v="438126.87440000003"/>
    <n v="4819395.6184"/>
  </r>
  <r>
    <x v="42"/>
    <s v="Solo"/>
    <s v="Ajao"/>
    <x v="13"/>
    <x v="0"/>
    <s v="Account Receivables"/>
    <x v="1"/>
    <n v="1948020.3"/>
    <n v="194802.03000000003"/>
    <n v="2142822.33"/>
  </r>
  <r>
    <x v="43"/>
    <s v="Uyi"/>
    <s v="Adewolu"/>
    <x v="24"/>
    <x v="0"/>
    <s v="Budgeting"/>
    <x v="5"/>
    <n v="3623392.0639999998"/>
    <n v="362339.20640000002"/>
    <n v="3985731.2703999998"/>
  </r>
  <r>
    <x v="44"/>
    <s v="Olusola"/>
    <s v="Oguntuase"/>
    <x v="30"/>
    <x v="6"/>
    <s v="Call Center"/>
    <x v="1"/>
    <n v="428934.51199999999"/>
    <n v="21446.725600000002"/>
    <n v="450381.23759999999"/>
  </r>
  <r>
    <x v="44"/>
    <s v="Abimbola"/>
    <s v="Yaya"/>
    <x v="30"/>
    <x v="0"/>
    <s v="Account Payables"/>
    <x v="0"/>
    <n v="2291126.2939999998"/>
    <n v="229112.62939999998"/>
    <n v="2520238.9233999997"/>
  </r>
  <r>
    <x v="45"/>
    <s v="Adebukola"/>
    <s v="Utoh"/>
    <x v="13"/>
    <x v="8"/>
    <s v="Call Center"/>
    <x v="1"/>
    <n v="2596811.85"/>
    <n v="259681.18500000003"/>
    <n v="2856493.0350000001"/>
  </r>
  <r>
    <x v="45"/>
    <s v="Femi"/>
    <s v="Ayo"/>
    <x v="13"/>
    <x v="0"/>
    <s v="Account Receivables"/>
    <x v="3"/>
    <n v="4802420.9479999999"/>
    <n v="480242.09480000002"/>
    <n v="5282663.0427999999"/>
  </r>
  <r>
    <x v="46"/>
    <s v="Amena"/>
    <s v="Disu"/>
    <x v="0"/>
    <x v="1"/>
    <s v="Payroll"/>
    <x v="1"/>
    <n v="1845668.82"/>
    <n v="184566.88200000001"/>
    <n v="2030235.702"/>
  </r>
  <r>
    <x v="46"/>
    <s v="Tope"/>
    <s v="Macauley"/>
    <x v="31"/>
    <x v="0"/>
    <s v="Budgeting"/>
    <x v="1"/>
    <n v="5707478.3099999996"/>
    <n v="570747.83100000001"/>
    <n v="6278226.1409999998"/>
  </r>
  <r>
    <x v="47"/>
    <s v="Busola"/>
    <s v="Bamigboye"/>
    <x v="25"/>
    <x v="4"/>
    <s v="Connectivity"/>
    <x v="1"/>
    <n v="2635693.2860000003"/>
    <n v="263569.32860000007"/>
    <n v="2899262.6146000004"/>
  </r>
  <r>
    <x v="47"/>
    <s v="Bimpe"/>
    <s v="Awosanya"/>
    <x v="12"/>
    <x v="0"/>
    <s v="Account Payables"/>
    <x v="5"/>
    <n v="1801464.5939999998"/>
    <n v="180146.45939999999"/>
    <n v="1981611.0533999999"/>
  </r>
  <r>
    <x v="48"/>
    <s v="Onyeabo"/>
    <s v="Akinola"/>
    <x v="17"/>
    <x v="8"/>
    <s v="Social Media"/>
    <x v="2"/>
    <n v="796421.56599999999"/>
    <n v="39821.078300000001"/>
    <n v="836242.64430000004"/>
  </r>
  <r>
    <x v="48"/>
    <s v="Adetuyi"/>
    <s v="Fagbemi"/>
    <x v="7"/>
    <x v="0"/>
    <s v="Account Receivables"/>
    <x v="1"/>
    <n v="2442546.5520000001"/>
    <n v="244254.65520000004"/>
    <n v="2686801.2072000001"/>
  </r>
  <r>
    <x v="49"/>
    <s v="Victoria"/>
    <s v="Eyitayo"/>
    <x v="32"/>
    <x v="1"/>
    <s v="Training &amp; Development"/>
    <x v="2"/>
    <n v="3687745.9360000002"/>
    <n v="368774.59360000002"/>
    <n v="4056520.5296"/>
  </r>
  <r>
    <x v="49"/>
    <s v="Tolulope"/>
    <s v="Adekanmbi"/>
    <x v="24"/>
    <x v="0"/>
    <s v="Budgeting"/>
    <x v="0"/>
    <n v="2570429.9339999999"/>
    <n v="257042.99340000001"/>
    <n v="2827472.9273999999"/>
  </r>
  <r>
    <x v="50"/>
    <s v="Emmanuel"/>
    <s v="Ajobena"/>
    <x v="31"/>
    <x v="1"/>
    <s v="Benefits Admin."/>
    <x v="0"/>
    <n v="5778487.71"/>
    <n v="577848.77100000007"/>
    <n v="6356336.4809999997"/>
  </r>
  <r>
    <x v="50"/>
    <s v="Isaac"/>
    <s v="Ajijola"/>
    <x v="9"/>
    <x v="0"/>
    <s v="Account Payables"/>
    <x v="1"/>
    <n v="3005623.11"/>
    <n v="300562.31099999999"/>
    <n v="3306185.4210000001"/>
  </r>
  <r>
    <x v="51"/>
    <s v="Joseph"/>
    <s v="Areo"/>
    <x v="27"/>
    <x v="2"/>
    <s v="MD's Office"/>
    <x v="1"/>
    <n v="2689800"/>
    <n v="268980"/>
    <n v="2958780"/>
  </r>
  <r>
    <x v="51"/>
    <s v="Hassan"/>
    <s v="Ojo"/>
    <x v="2"/>
    <x v="0"/>
    <s v="Account Receivables"/>
    <x v="2"/>
    <n v="1103641.578"/>
    <n v="110364.1578"/>
    <n v="1214005.7357999999"/>
  </r>
  <r>
    <x v="52"/>
    <s v="Joel"/>
    <s v="Ogunranti"/>
    <x v="0"/>
    <x v="3"/>
    <s v="Compliance"/>
    <x v="3"/>
    <n v="1110979.216"/>
    <n v="111097.9216"/>
    <n v="1222077.1376"/>
  </r>
  <r>
    <x v="52"/>
    <s v="Jude"/>
    <s v="Oyeka"/>
    <x v="27"/>
    <x v="0"/>
    <s v="Budgeting"/>
    <x v="0"/>
    <n v="2426600.3360000001"/>
    <n v="242660.03360000002"/>
    <n v="2669260.3696000003"/>
  </r>
  <r>
    <x v="53"/>
    <s v="Ime"/>
    <s v="Ifashe"/>
    <x v="15"/>
    <x v="3"/>
    <s v="Fraud Control"/>
    <x v="0"/>
    <n v="3422794.59"/>
    <n v="342279.45900000003"/>
    <n v="3765074.0489999996"/>
  </r>
  <r>
    <x v="53"/>
    <s v="Emmanuel"/>
    <s v="Oguen"/>
    <x v="18"/>
    <x v="0"/>
    <s v="Account Payables"/>
    <x v="3"/>
    <n v="3222619.2079999996"/>
    <n v="322261.92079999996"/>
    <n v="3544881.1287999996"/>
  </r>
  <r>
    <x v="54"/>
    <s v="Iyiola"/>
    <s v="Abereoje"/>
    <x v="21"/>
    <x v="1"/>
    <s v="Payroll"/>
    <x v="3"/>
    <n v="4306193.5020000003"/>
    <n v="430619.35020000004"/>
    <n v="4736812.8522000005"/>
  </r>
  <r>
    <x v="54"/>
    <s v="Aduku"/>
    <s v="Soneye"/>
    <x v="14"/>
    <x v="0"/>
    <s v="Account Receivables"/>
    <x v="1"/>
    <n v="2914965.4440000001"/>
    <n v="291496.54440000001"/>
    <n v="3206461.9884000001"/>
  </r>
  <r>
    <x v="55"/>
    <s v="Opeyemi"/>
    <s v="Osawata"/>
    <x v="32"/>
    <x v="2"/>
    <s v="Expenditure"/>
    <x v="5"/>
    <n v="737345.99999999988"/>
    <n v="36867.299999999996"/>
    <n v="774213.29999999993"/>
  </r>
  <r>
    <x v="55"/>
    <s v="Onesi"/>
    <s v="Latona"/>
    <x v="3"/>
    <x v="0"/>
    <s v="Budgeting"/>
    <x v="3"/>
    <n v="4664632.3959999997"/>
    <n v="466463.23959999997"/>
    <n v="5131095.6355999997"/>
  </r>
  <r>
    <x v="56"/>
    <s v="Olumide"/>
    <s v="Samuel"/>
    <x v="18"/>
    <x v="8"/>
    <s v="Help Desk"/>
    <x v="0"/>
    <n v="3694498.2420000001"/>
    <n v="369449.82420000003"/>
    <n v="4063948.0662000002"/>
  </r>
  <r>
    <x v="56"/>
    <s v="Kayode"/>
    <s v="Oduwole"/>
    <x v="2"/>
    <x v="0"/>
    <s v="Account Payables"/>
    <x v="0"/>
    <n v="677046.48600000003"/>
    <n v="33852.3243"/>
    <n v="710898.81030000001"/>
  </r>
  <r>
    <x v="57"/>
    <s v="Akinyemi"/>
    <s v="Adobanyi"/>
    <x v="16"/>
    <x v="4"/>
    <s v="Business Application Support"/>
    <x v="5"/>
    <n v="4904282.7079999996"/>
    <n v="490428.2708"/>
    <n v="5394710.9787999997"/>
  </r>
  <r>
    <x v="57"/>
    <s v="Daniel"/>
    <s v="Adeyemo"/>
    <x v="9"/>
    <x v="0"/>
    <s v="Account Receivables"/>
    <x v="5"/>
    <n v="739857.74"/>
    <n v="36992.887000000002"/>
    <n v="776850.62699999998"/>
  </r>
  <r>
    <x v="58"/>
    <s v="Sulaiman"/>
    <s v="Nasiru"/>
    <x v="5"/>
    <x v="2"/>
    <s v="Supplies"/>
    <x v="1"/>
    <n v="1148708"/>
    <n v="114870.8"/>
    <n v="1263578.8"/>
  </r>
  <r>
    <x v="58"/>
    <s v="Ejehiwease"/>
    <s v="Abayomi"/>
    <x v="18"/>
    <x v="0"/>
    <s v="Budgeting"/>
    <x v="5"/>
    <n v="1339459.2480000001"/>
    <n v="133945.92480000001"/>
    <n v="1473405.1728000001"/>
  </r>
  <r>
    <x v="59"/>
    <s v="Dolapo"/>
    <s v="Onabanjo"/>
    <x v="16"/>
    <x v="0"/>
    <s v="Account Payables"/>
    <x v="0"/>
    <n v="2534132.3539999998"/>
    <n v="253413.23540000001"/>
    <n v="2787545.5893999999"/>
  </r>
  <r>
    <x v="60"/>
    <s v="Jane"/>
    <s v="Umunakwe"/>
    <x v="18"/>
    <x v="2"/>
    <s v="MD's Office"/>
    <x v="0"/>
    <n v="909575.00000000012"/>
    <n v="45478.750000000007"/>
    <n v="955053.75000000012"/>
  </r>
  <r>
    <x v="60"/>
    <s v="Oluwole"/>
    <s v="Adekunle"/>
    <x v="5"/>
    <x v="0"/>
    <s v="Account Receivables"/>
    <x v="0"/>
    <n v="948391.01"/>
    <n v="47419.550500000005"/>
    <n v="995810.56050000002"/>
  </r>
  <r>
    <x v="61"/>
    <s v="Femi"/>
    <s v="Asabor"/>
    <x v="23"/>
    <x v="0"/>
    <s v="Budgeting"/>
    <x v="2"/>
    <n v="5513817.3700000001"/>
    <n v="551381.73700000008"/>
    <n v="6065199.1069999998"/>
  </r>
  <r>
    <x v="62"/>
    <s v="Adetunji"/>
    <s v="Asaju"/>
    <x v="3"/>
    <x v="1"/>
    <s v="Training &amp; Development"/>
    <x v="1"/>
    <n v="5047052.4120000005"/>
    <n v="504705.24120000005"/>
    <n v="5551757.6532000005"/>
  </r>
  <r>
    <x v="62"/>
    <s v="Tomide"/>
    <s v="Odeyemi"/>
    <x v="3"/>
    <x v="0"/>
    <s v="Account Payables"/>
    <x v="4"/>
    <n v="5583612.9640000006"/>
    <n v="558361.29640000011"/>
    <n v="6141974.260400001"/>
  </r>
  <r>
    <x v="63"/>
    <s v="Omolade"/>
    <s v="Adesina"/>
    <x v="1"/>
    <x v="9"/>
    <s v="Maintenance"/>
    <x v="0"/>
    <n v="5525950.7659999998"/>
    <n v="552595.07660000003"/>
    <n v="6078545.8426000001"/>
  </r>
  <r>
    <x v="63"/>
    <s v="Olufemi"/>
    <s v="Adunoja"/>
    <x v="30"/>
    <x v="0"/>
    <s v="Account Receivables"/>
    <x v="2"/>
    <n v="4160958.8739999998"/>
    <n v="416095.88740000001"/>
    <n v="4577054.7614000002"/>
  </r>
  <r>
    <x v="64"/>
    <s v="Genevieve"/>
    <s v="Winjobi"/>
    <x v="21"/>
    <x v="2"/>
    <s v="Expenditure"/>
    <x v="1"/>
    <n v="4767877"/>
    <n v="476787.7"/>
    <n v="5244664.7"/>
  </r>
  <r>
    <x v="64"/>
    <s v="Ifeanyi"/>
    <s v="Maiye"/>
    <x v="11"/>
    <x v="0"/>
    <s v="Budgeting"/>
    <x v="4"/>
    <n v="5880881.1659999993"/>
    <n v="588088.11659999995"/>
    <n v="6468969.2825999996"/>
  </r>
  <r>
    <x v="65"/>
    <s v="Olasunkanmi"/>
    <s v="Sodipe"/>
    <x v="25"/>
    <x v="1"/>
    <s v="Benefits Admin."/>
    <x v="3"/>
    <n v="2869668.676"/>
    <n v="286966.8676"/>
    <n v="3156635.5436"/>
  </r>
  <r>
    <x v="65"/>
    <s v="Vincent"/>
    <s v="Hadiza"/>
    <x v="17"/>
    <x v="0"/>
    <s v="Account Payables"/>
    <x v="5"/>
    <n v="2273876.4900000002"/>
    <n v="227387.64900000003"/>
    <n v="2501264.1390000004"/>
  </r>
  <r>
    <x v="66"/>
    <s v="Omobolanle"/>
    <s v="Hinmikaiye"/>
    <x v="21"/>
    <x v="9"/>
    <s v="Research"/>
    <x v="1"/>
    <n v="5500626.4120000005"/>
    <n v="550062.64120000007"/>
    <n v="6050689.0532000009"/>
  </r>
  <r>
    <x v="66"/>
    <s v="Ozofu"/>
    <s v="Oladunjoye"/>
    <x v="2"/>
    <x v="0"/>
    <s v="Account Receivables"/>
    <x v="0"/>
    <n v="4980953.0379999997"/>
    <n v="498095.30379999999"/>
    <n v="5479048.3417999996"/>
  </r>
  <r>
    <x v="67"/>
    <s v="Augustine"/>
    <s v="Agbaja"/>
    <x v="26"/>
    <x v="1"/>
    <s v="Payroll"/>
    <x v="0"/>
    <n v="3683906.298"/>
    <n v="368390.6298"/>
    <n v="4052296.9277999997"/>
  </r>
  <r>
    <x v="67"/>
    <s v="Christian"/>
    <s v="Awolowo"/>
    <x v="0"/>
    <x v="0"/>
    <s v="Budgeting"/>
    <x v="3"/>
    <n v="2214558.5720000002"/>
    <n v="221455.85720000003"/>
    <n v="2436014.4292000001"/>
  </r>
  <r>
    <x v="68"/>
    <s v="Modupe"/>
    <s v="Ajene"/>
    <x v="6"/>
    <x v="6"/>
    <s v="Courier"/>
    <x v="5"/>
    <n v="2451170.2879999997"/>
    <n v="245117.02879999997"/>
    <n v="2696287.3167999997"/>
  </r>
  <r>
    <x v="68"/>
    <s v="Olubusola"/>
    <s v="Imoh-tibito"/>
    <x v="7"/>
    <x v="0"/>
    <s v="Account Payables"/>
    <x v="1"/>
    <n v="5536626.6620000005"/>
    <n v="553662.66620000009"/>
    <n v="6090289.3282000003"/>
  </r>
  <r>
    <x v="69"/>
    <s v="Oyetunde"/>
    <s v="Ojukaiye"/>
    <x v="8"/>
    <x v="5"/>
    <s v="Analysis"/>
    <x v="4"/>
    <n v="3062237.074"/>
    <n v="306223.70740000001"/>
    <n v="3368460.7814000002"/>
  </r>
  <r>
    <x v="69"/>
    <s v="Tosin"/>
    <s v="Fagbo"/>
    <x v="18"/>
    <x v="0"/>
    <s v="Account Receivables"/>
    <x v="5"/>
    <n v="3488680.5860000001"/>
    <n v="348868.05860000005"/>
    <n v="3837548.6446000002"/>
  </r>
  <r>
    <x v="70"/>
    <s v="Abiola"/>
    <s v="Ochoga"/>
    <x v="22"/>
    <x v="1"/>
    <s v="Training &amp; Development"/>
    <x v="5"/>
    <n v="5337796.8440000005"/>
    <n v="533779.68440000003"/>
    <n v="5871576.5284000002"/>
  </r>
  <r>
    <x v="70"/>
    <s v="Akinmolu"/>
    <s v="Sosanya"/>
    <x v="15"/>
    <x v="0"/>
    <s v="Budgeting"/>
    <x v="0"/>
    <n v="2223860.92"/>
    <n v="222386.092"/>
    <n v="2446247.0120000001"/>
  </r>
  <r>
    <x v="71"/>
    <s v="Godfrey"/>
    <s v="Okunfeyijimi"/>
    <x v="28"/>
    <x v="9"/>
    <s v="Training"/>
    <x v="2"/>
    <n v="5435319.9179999996"/>
    <n v="543531.99179999996"/>
    <n v="5978851.9097999996"/>
  </r>
  <r>
    <x v="71"/>
    <s v="Pius"/>
    <s v="Mudu"/>
    <x v="6"/>
    <x v="0"/>
    <s v="Account Payables"/>
    <x v="3"/>
    <n v="5377012.9220000003"/>
    <n v="537701.29220000003"/>
    <n v="5914714.2142000003"/>
  </r>
  <r>
    <x v="72"/>
    <s v="Babatope"/>
    <s v="Uzoigwe"/>
    <x v="23"/>
    <x v="1"/>
    <s v="Benefits Admin."/>
    <x v="5"/>
    <n v="5007338.4520000005"/>
    <n v="500733.8452000001"/>
    <n v="5508072.2972000008"/>
  </r>
  <r>
    <x v="72"/>
    <s v="Ene"/>
    <s v="Adebiyi"/>
    <x v="8"/>
    <x v="0"/>
    <s v="Account Receivables"/>
    <x v="1"/>
    <n v="3732944.76"/>
    <n v="373294.47600000002"/>
    <n v="4106239.2359999996"/>
  </r>
  <r>
    <x v="73"/>
    <s v="Yetunde"/>
    <s v="Obodoekea"/>
    <x v="3"/>
    <x v="6"/>
    <s v="Logistics"/>
    <x v="0"/>
    <n v="3148981.6439999999"/>
    <n v="314898.16440000001"/>
    <n v="3463879.8084"/>
  </r>
  <r>
    <x v="73"/>
    <s v="Nnenna"/>
    <s v="Miri"/>
    <x v="22"/>
    <x v="0"/>
    <s v="Budgeting"/>
    <x v="5"/>
    <n v="3236095.8360000001"/>
    <n v="323609.58360000001"/>
    <n v="3559705.4196000001"/>
  </r>
  <r>
    <x v="74"/>
    <s v="Ajibabi"/>
    <s v="Eneanya"/>
    <x v="1"/>
    <x v="2"/>
    <s v="Supplies"/>
    <x v="2"/>
    <n v="2791048"/>
    <n v="279104.8"/>
    <n v="3070152.8"/>
  </r>
  <r>
    <x v="74"/>
    <s v="Chigozie"/>
    <s v="Lemmy-Johnson"/>
    <x v="13"/>
    <x v="0"/>
    <s v="Account Payables"/>
    <x v="1"/>
    <n v="5935765.9520000005"/>
    <n v="593576.5952000001"/>
    <n v="6529342.5472000008"/>
  </r>
  <r>
    <x v="75"/>
    <s v="Stella"/>
    <s v="Oyafunke"/>
    <x v="13"/>
    <x v="5"/>
    <s v="Design"/>
    <x v="2"/>
    <n v="3922872.1679999996"/>
    <n v="392287.21679999999"/>
    <n v="4315159.3847999992"/>
  </r>
  <r>
    <x v="75"/>
    <s v="Ibiam"/>
    <s v="Ohazulike"/>
    <x v="24"/>
    <x v="0"/>
    <s v="Account Receivables"/>
    <x v="0"/>
    <n v="3045426.852"/>
    <n v="304542.68520000001"/>
    <n v="3349969.5372000001"/>
  </r>
  <r>
    <x v="76"/>
    <s v="Ibhade"/>
    <s v="Omoyeni"/>
    <x v="24"/>
    <x v="1"/>
    <s v="Payroll"/>
    <x v="0"/>
    <n v="324092.45599999995"/>
    <n v="16204.622799999997"/>
    <n v="340297.07879999996"/>
  </r>
  <r>
    <x v="76"/>
    <s v="Ifeakachukwu"/>
    <s v="Henrietta"/>
    <x v="32"/>
    <x v="0"/>
    <s v="Budgeting"/>
    <x v="1"/>
    <n v="1794648.1580000001"/>
    <n v="179464.81580000001"/>
    <n v="1974112.9738"/>
  </r>
  <r>
    <x v="77"/>
    <s v="Jacklyne"/>
    <s v="Seton"/>
    <x v="10"/>
    <x v="2"/>
    <s v="MD's Office"/>
    <x v="0"/>
    <n v="1378967"/>
    <n v="137896.70000000001"/>
    <n v="1516863.7"/>
  </r>
  <r>
    <x v="77"/>
    <s v="Musa"/>
    <s v="Akenobo"/>
    <x v="0"/>
    <x v="0"/>
    <s v="Account Payables"/>
    <x v="2"/>
    <n v="1043417.6780000001"/>
    <n v="104341.76780000002"/>
    <n v="1147759.4458000001"/>
  </r>
  <r>
    <x v="78"/>
    <s v="John"/>
    <s v="Fatoki"/>
    <x v="30"/>
    <x v="7"/>
    <s v="Planning"/>
    <x v="4"/>
    <n v="1691948.044"/>
    <n v="169194.80440000002"/>
    <n v="1861142.8484"/>
  </r>
  <r>
    <x v="78"/>
    <s v="Kelechi"/>
    <s v="Ibiam"/>
    <x v="28"/>
    <x v="0"/>
    <s v="Account Receivables"/>
    <x v="0"/>
    <n v="4041352.926"/>
    <n v="404135.29260000004"/>
    <n v="4445488.2186000003"/>
  </r>
  <r>
    <x v="79"/>
    <s v="Gloria"/>
    <s v="Abubakar"/>
    <x v="10"/>
    <x v="0"/>
    <s v="Budgeting"/>
    <x v="3"/>
    <n v="4013695.406"/>
    <n v="401369.54060000001"/>
    <n v="4415064.9466000004"/>
  </r>
  <r>
    <x v="80"/>
    <s v="Olukayode"/>
    <s v="Obeya"/>
    <x v="0"/>
    <x v="4"/>
    <s v="Desktop Support"/>
    <x v="1"/>
    <n v="3768118.3160000001"/>
    <n v="376811.83160000003"/>
    <n v="4144930.1476000003"/>
  </r>
  <r>
    <x v="80"/>
    <s v="Cookey"/>
    <s v="Egwuibe"/>
    <x v="27"/>
    <x v="0"/>
    <s v="Account Payables"/>
    <x v="1"/>
    <n v="713459.5"/>
    <n v="35672.974999999999"/>
    <n v="749132.47499999998"/>
  </r>
  <r>
    <x v="81"/>
    <s v="Ayoola"/>
    <s v="Dabo"/>
    <x v="0"/>
    <x v="1"/>
    <s v="Training &amp; Development"/>
    <x v="0"/>
    <n v="1878700.4339999999"/>
    <n v="187870.0434"/>
    <n v="2066570.4774"/>
  </r>
  <r>
    <x v="81"/>
    <s v="Nnanna"/>
    <s v="Ibunge"/>
    <x v="0"/>
    <x v="0"/>
    <s v="Account Receivables"/>
    <x v="3"/>
    <n v="5622384.7959999992"/>
    <n v="562238.47959999996"/>
    <n v="6184623.2755999994"/>
  </r>
  <r>
    <x v="82"/>
    <s v="Bababunmi"/>
    <s v="Ijisesan"/>
    <x v="1"/>
    <x v="8"/>
    <s v="Call Center"/>
    <x v="3"/>
    <n v="5960766.1579999998"/>
    <n v="596076.61580000003"/>
    <n v="6556842.7737999996"/>
  </r>
  <r>
    <x v="82"/>
    <s v="Akachukwu"/>
    <s v="Akerele"/>
    <x v="21"/>
    <x v="0"/>
    <s v="Budgeting"/>
    <x v="0"/>
    <n v="4826729.716"/>
    <n v="482672.97160000005"/>
    <n v="5309402.6875999998"/>
  </r>
  <r>
    <x v="83"/>
    <s v="Olusegun"/>
    <s v="Adebowale"/>
    <x v="2"/>
    <x v="1"/>
    <s v="Benefits Admin."/>
    <x v="2"/>
    <n v="5037864.3320000004"/>
    <n v="503786.43320000009"/>
    <n v="5541650.7652000003"/>
  </r>
  <r>
    <x v="83"/>
    <s v="Alfred"/>
    <s v="Adoibi"/>
    <x v="32"/>
    <x v="0"/>
    <s v="Account Payables"/>
    <x v="5"/>
    <n v="1733849.42"/>
    <n v="173384.94200000001"/>
    <n v="1907234.362"/>
  </r>
  <r>
    <x v="84"/>
    <s v="Adewale"/>
    <s v="Ifezulike"/>
    <x v="4"/>
    <x v="3"/>
    <s v="Risk Management"/>
    <x v="5"/>
    <n v="5331571.57"/>
    <n v="533157.15700000001"/>
    <n v="5864728.727"/>
  </r>
  <r>
    <x v="84"/>
    <s v="Bridget"/>
    <s v="Kurah"/>
    <x v="17"/>
    <x v="0"/>
    <s v="Account Receivables"/>
    <x v="5"/>
    <n v="651996.14199999999"/>
    <n v="32599.807100000002"/>
    <n v="684595.94909999997"/>
  </r>
  <r>
    <x v="85"/>
    <s v="Adejumoke"/>
    <s v="Olise"/>
    <x v="2"/>
    <x v="4"/>
    <s v="Connectivity"/>
    <x v="0"/>
    <n v="1752154.4539999999"/>
    <n v="175215.4454"/>
    <n v="1927369.8994"/>
  </r>
  <r>
    <x v="85"/>
    <s v="Michael"/>
    <s v="Orosunejebi"/>
    <x v="17"/>
    <x v="0"/>
    <s v="Budgeting"/>
    <x v="0"/>
    <n v="5170966.7300000004"/>
    <n v="517096.67300000007"/>
    <n v="5688063.4030000009"/>
  </r>
  <r>
    <x v="86"/>
    <s v="Ayodele"/>
    <s v="Nwelih"/>
    <x v="7"/>
    <x v="2"/>
    <s v="Expenditure"/>
    <x v="3"/>
    <n v="260788.00000000003"/>
    <n v="13039.400000000001"/>
    <n v="273827.40000000002"/>
  </r>
  <r>
    <x v="86"/>
    <s v="Ajukwura"/>
    <s v="Keziah"/>
    <x v="2"/>
    <x v="0"/>
    <s v="Account Payables"/>
    <x v="0"/>
    <n v="4432991.3379999995"/>
    <n v="443299.13379999995"/>
    <n v="4876290.4717999995"/>
  </r>
  <r>
    <x v="87"/>
    <s v="Ruth"/>
    <s v="Shyllon"/>
    <x v="0"/>
    <x v="3"/>
    <s v="Compliance"/>
    <x v="5"/>
    <n v="1178024.216"/>
    <n v="117802.4216"/>
    <n v="1295826.6376"/>
  </r>
  <r>
    <x v="87"/>
    <s v="John"/>
    <s v="Ume"/>
    <x v="4"/>
    <x v="0"/>
    <s v="Account Receivables"/>
    <x v="2"/>
    <n v="4991992.7259999998"/>
    <n v="499199.27260000003"/>
    <n v="5491191.9985999996"/>
  </r>
  <r>
    <x v="88"/>
    <s v="Juliana"/>
    <s v="Finnih"/>
    <x v="5"/>
    <x v="2"/>
    <s v="Supplies"/>
    <x v="1"/>
    <n v="768391.99999999988"/>
    <n v="38419.599999999999"/>
    <n v="806811.59999999986"/>
  </r>
  <r>
    <x v="88"/>
    <s v="Stephen"/>
    <s v="Uwagbae"/>
    <x v="5"/>
    <x v="0"/>
    <s v="Budgeting"/>
    <x v="4"/>
    <n v="5082018.42"/>
    <n v="508201.842"/>
    <n v="5590220.2620000001"/>
  </r>
  <r>
    <x v="89"/>
    <s v="Victor"/>
    <s v="Okobi"/>
    <x v="9"/>
    <x v="5"/>
    <s v="Planning &amp; Development"/>
    <x v="4"/>
    <n v="4564068.3940000003"/>
    <n v="456406.83940000006"/>
    <n v="5020475.2334000003"/>
  </r>
  <r>
    <x v="89"/>
    <s v="Oluwole"/>
    <s v="Ujire"/>
    <x v="18"/>
    <x v="0"/>
    <s v="Account Payables"/>
    <x v="2"/>
    <n v="2990995.64"/>
    <n v="299099.56400000001"/>
    <n v="3290095.2039999999"/>
  </r>
  <r>
    <x v="90"/>
    <s v="Michael"/>
    <s v="Akinsowon"/>
    <x v="0"/>
    <x v="1"/>
    <s v="Payroll"/>
    <x v="4"/>
    <n v="1927842.67"/>
    <n v="192784.26699999999"/>
    <n v="2120626.9369999999"/>
  </r>
  <r>
    <x v="90"/>
    <s v="Ngozi"/>
    <s v="Memberrs"/>
    <x v="24"/>
    <x v="0"/>
    <s v="Account Receivables"/>
    <x v="4"/>
    <n v="4619602.642"/>
    <n v="461960.26420000003"/>
    <n v="5081562.9062000001"/>
  </r>
  <r>
    <x v="91"/>
    <s v="Eseohe"/>
    <s v="Alagbe"/>
    <x v="7"/>
    <x v="1"/>
    <s v="Training &amp; Development"/>
    <x v="2"/>
    <n v="5826140.9640000006"/>
    <n v="582614.09640000004"/>
    <n v="6408755.0604000008"/>
  </r>
  <r>
    <x v="91"/>
    <s v="Keziah"/>
    <s v="Etudaiye"/>
    <x v="17"/>
    <x v="0"/>
    <s v="Budgeting"/>
    <x v="5"/>
    <n v="1508810.254"/>
    <n v="150881.02540000001"/>
    <n v="1659691.2793999999"/>
  </r>
  <r>
    <x v="92"/>
    <s v="Joy"/>
    <s v="Onyeuko"/>
    <x v="9"/>
    <x v="2"/>
    <s v="MD's Office"/>
    <x v="3"/>
    <n v="857786"/>
    <n v="42889.3"/>
    <n v="900675.3"/>
  </r>
  <r>
    <x v="92"/>
    <s v="Bonaventure"/>
    <s v="Osemeka"/>
    <x v="5"/>
    <x v="0"/>
    <s v="Account Payables"/>
    <x v="0"/>
    <n v="4584680.9419999998"/>
    <n v="458468.09419999999"/>
    <n v="5043149.0362"/>
  </r>
  <r>
    <x v="93"/>
    <s v="Temitope"/>
    <s v="Rilwan"/>
    <x v="1"/>
    <x v="0"/>
    <s v="Account Receivables"/>
    <x v="3"/>
    <n v="2830811.7260000003"/>
    <n v="283081.17260000005"/>
    <n v="3113892.8986000004"/>
  </r>
  <r>
    <x v="94"/>
    <s v="Musa"/>
    <s v="Paul"/>
    <x v="14"/>
    <x v="3"/>
    <s v="Fraud Control"/>
    <x v="0"/>
    <n v="1020318.0519999999"/>
    <n v="102031.8052"/>
    <n v="1122349.8572"/>
  </r>
  <r>
    <x v="94"/>
    <s v="Uzoma"/>
    <s v="Chibueze"/>
    <x v="2"/>
    <x v="0"/>
    <s v="Budgeting"/>
    <x v="1"/>
    <n v="1363148.87"/>
    <n v="136314.88700000002"/>
    <n v="1499463.7570000002"/>
  </r>
  <r>
    <x v="95"/>
    <s v="Olajumoke"/>
    <s v="Uwaoma"/>
    <x v="0"/>
    <x v="8"/>
    <s v="Social Media"/>
    <x v="1"/>
    <n v="5789008.5279999999"/>
    <n v="578900.85279999999"/>
    <n v="6367909.3807999995"/>
  </r>
  <r>
    <x v="95"/>
    <s v="Olubunmi"/>
    <s v="Ahmed"/>
    <x v="2"/>
    <x v="0"/>
    <s v="Account Payables"/>
    <x v="5"/>
    <n v="1357931.02"/>
    <n v="135793.10200000001"/>
    <n v="1493724.122"/>
  </r>
  <r>
    <x v="96"/>
    <s v="Obinna"/>
    <s v="Makun"/>
    <x v="9"/>
    <x v="2"/>
    <s v="Expenditure"/>
    <x v="0"/>
    <n v="1303312"/>
    <n v="130331.20000000001"/>
    <n v="1433643.2"/>
  </r>
  <r>
    <x v="96"/>
    <s v="Margaret"/>
    <s v="Erondu"/>
    <x v="0"/>
    <x v="0"/>
    <s v="Account Receivables"/>
    <x v="0"/>
    <n v="5371890.6840000004"/>
    <n v="537189.06840000011"/>
    <n v="5909079.7524000006"/>
  </r>
  <r>
    <x v="97"/>
    <s v="Adedeji"/>
    <s v="Akande"/>
    <x v="0"/>
    <x v="0"/>
    <s v="Budgeting"/>
    <x v="3"/>
    <n v="2807561.6860000002"/>
    <n v="280756.16860000003"/>
    <n v="3088317.8546000002"/>
  </r>
  <r>
    <x v="98"/>
    <s v="Michelle"/>
    <s v="Ugbede"/>
    <x v="7"/>
    <x v="0"/>
    <s v="Account Payables"/>
    <x v="1"/>
    <n v="4218136.0159999998"/>
    <n v="421813.60159999999"/>
    <n v="4639949.6175999995"/>
  </r>
  <r>
    <x v="99"/>
    <s v="Eniola"/>
    <s v="Achem"/>
    <x v="7"/>
    <x v="4"/>
    <s v="Business Application Support"/>
    <x v="1"/>
    <n v="2316296.736"/>
    <n v="231629.67360000001"/>
    <n v="2547926.4095999999"/>
  </r>
  <r>
    <x v="99"/>
    <s v="oluwasanmi"/>
    <s v="Dito"/>
    <x v="33"/>
    <x v="0"/>
    <s v="Account Receivables"/>
    <x v="5"/>
    <n v="5290507.3820000002"/>
    <n v="529050.73820000002"/>
    <n v="5819558.1202000007"/>
  </r>
  <r>
    <x v="100"/>
    <s v="Ibiyemi"/>
    <s v="Abegunde"/>
    <x v="5"/>
    <x v="4"/>
    <s v="Desktop Support"/>
    <x v="2"/>
    <n v="429196.86200000002"/>
    <n v="21459.843100000002"/>
    <n v="450656.70510000002"/>
  </r>
  <r>
    <x v="100"/>
    <s v="Amina"/>
    <s v="Echeng"/>
    <x v="22"/>
    <x v="0"/>
    <s v="Budgeting"/>
    <x v="1"/>
    <n v="3323592.4760000003"/>
    <n v="332359.24760000006"/>
    <n v="3655951.7236000001"/>
  </r>
  <r>
    <x v="101"/>
    <s v="Kelvin"/>
    <s v="Garuba"/>
    <x v="18"/>
    <x v="1"/>
    <s v="Benefits Admin."/>
    <x v="4"/>
    <n v="4648105.5120000001"/>
    <n v="464810.55120000005"/>
    <n v="5112916.0631999997"/>
  </r>
  <r>
    <x v="101"/>
    <s v="Frederick"/>
    <s v="Martin"/>
    <x v="0"/>
    <x v="0"/>
    <s v="Account Payables"/>
    <x v="0"/>
    <n v="1125368.8219999999"/>
    <n v="112536.88219999999"/>
    <n v="1237905.7042"/>
  </r>
  <r>
    <x v="102"/>
    <s v="Daniel"/>
    <s v="Oludele"/>
    <x v="0"/>
    <x v="0"/>
    <s v="Account Receivables"/>
    <x v="1"/>
    <n v="641843.78"/>
    <n v="32092.189000000002"/>
    <n v="673935.96900000004"/>
  </r>
  <r>
    <x v="103"/>
    <s v="Stella"/>
    <s v="Abolo"/>
    <x v="18"/>
    <x v="2"/>
    <s v="Supplies"/>
    <x v="5"/>
    <n v="1135984"/>
    <n v="113598.40000000001"/>
    <n v="1249582.3999999999"/>
  </r>
  <r>
    <x v="103"/>
    <s v="Pamilia"/>
    <s v="Shofu"/>
    <x v="11"/>
    <x v="0"/>
    <s v="Budgeting"/>
    <x v="2"/>
    <n v="4327323.7539999997"/>
    <n v="432732.37540000002"/>
    <n v="4760056.1294"/>
  </r>
  <r>
    <x v="104"/>
    <s v="Adebimpe"/>
    <s v="Uhegbu"/>
    <x v="27"/>
    <x v="0"/>
    <s v="Account Payables"/>
    <x v="0"/>
    <n v="3867667.8979999996"/>
    <n v="386766.78979999997"/>
    <n v="4254434.6877999995"/>
  </r>
  <r>
    <x v="105"/>
    <s v="Gideon"/>
    <s v="Emodi"/>
    <x v="5"/>
    <x v="2"/>
    <s v="MD's Office"/>
    <x v="5"/>
    <n v="1219227"/>
    <n v="121922.70000000001"/>
    <n v="1341149.7"/>
  </r>
  <r>
    <x v="105"/>
    <s v="Anita"/>
    <s v="Alokwe"/>
    <x v="14"/>
    <x v="0"/>
    <s v="Account Receivables"/>
    <x v="3"/>
    <n v="2188268.77"/>
    <n v="218826.87700000001"/>
    <n v="2407095.6469999999"/>
  </r>
  <r>
    <x v="106"/>
    <s v="Abdullai"/>
    <s v="Nwaonu"/>
    <x v="11"/>
    <x v="1"/>
    <s v="Payroll"/>
    <x v="5"/>
    <n v="2960872.03"/>
    <n v="296087.20299999998"/>
    <n v="3256959.233"/>
  </r>
  <r>
    <x v="106"/>
    <s v="Ibilola"/>
    <s v="Alonge"/>
    <x v="18"/>
    <x v="0"/>
    <s v="Budgeting"/>
    <x v="1"/>
    <n v="4857527.2740000002"/>
    <n v="485752.72740000003"/>
    <n v="5343280.0014000004"/>
  </r>
  <r>
    <x v="107"/>
    <s v="Olubusola"/>
    <s v="Onianwah"/>
    <x v="15"/>
    <x v="2"/>
    <s v="Expenditure"/>
    <x v="0"/>
    <n v="1772291"/>
    <n v="177229.1"/>
    <n v="1949520.1"/>
  </r>
  <r>
    <x v="107"/>
    <s v="Foluke"/>
    <s v="Anyasi"/>
    <x v="34"/>
    <x v="0"/>
    <s v="Account Payables"/>
    <x v="3"/>
    <n v="2039321.598"/>
    <n v="203932.15980000002"/>
    <n v="2243253.7577999998"/>
  </r>
  <r>
    <x v="108"/>
    <s v="Yewande"/>
    <s v="Fabunmi"/>
    <x v="13"/>
    <x v="0"/>
    <s v="Account Receivables"/>
    <x v="0"/>
    <n v="3248696.798"/>
    <n v="324869.67980000004"/>
    <n v="3573566.4778"/>
  </r>
  <r>
    <x v="109"/>
    <s v="Chuks"/>
    <s v="Kajero"/>
    <x v="21"/>
    <x v="1"/>
    <s v="Training &amp; Development"/>
    <x v="0"/>
    <n v="1095923.824"/>
    <n v="109592.3824"/>
    <n v="1205516.2064"/>
  </r>
  <r>
    <x v="109"/>
    <s v="Daniel"/>
    <s v="Akande"/>
    <x v="12"/>
    <x v="0"/>
    <s v="Budgeting"/>
    <x v="5"/>
    <n v="3970681.6660000002"/>
    <n v="397068.16660000006"/>
    <n v="4367749.8326000003"/>
  </r>
  <r>
    <x v="110"/>
    <s v="Dare"/>
    <s v="Akindunni"/>
    <x v="6"/>
    <x v="0"/>
    <s v="Account Payables"/>
    <x v="5"/>
    <n v="2503098.0979999998"/>
    <n v="250309.80979999999"/>
    <n v="2753407.9077999997"/>
  </r>
  <r>
    <x v="111"/>
    <s v="Omosehinde"/>
    <s v="Igunma"/>
    <x v="33"/>
    <x v="2"/>
    <s v="Supplies"/>
    <x v="0"/>
    <n v="1243560"/>
    <n v="124356"/>
    <n v="1367916"/>
  </r>
  <r>
    <x v="111"/>
    <s v="Ibraheem"/>
    <s v="Ejide"/>
    <x v="15"/>
    <x v="0"/>
    <s v="Account Receivables"/>
    <x v="0"/>
    <n v="3154663.5620000004"/>
    <n v="315466.35620000004"/>
    <n v="3470129.9182000002"/>
  </r>
  <r>
    <x v="112"/>
    <s v="Tajudeen"/>
    <s v="Okoro"/>
    <x v="2"/>
    <x v="2"/>
    <s v="MD's Office"/>
    <x v="2"/>
    <n v="1094416"/>
    <n v="109441.60000000001"/>
    <n v="1203857.6000000001"/>
  </r>
  <r>
    <x v="112"/>
    <s v="Jacob"/>
    <s v="Abasilim"/>
    <x v="25"/>
    <x v="0"/>
    <s v="Budgeting"/>
    <x v="0"/>
    <n v="4307795.5860000001"/>
    <n v="430779.55860000005"/>
    <n v="4738575.1446000002"/>
  </r>
  <r>
    <x v="113"/>
    <s v="Philomena"/>
    <s v="Ajiboye"/>
    <x v="10"/>
    <x v="1"/>
    <s v="Benefits Admin."/>
    <x v="3"/>
    <n v="593548.06000000006"/>
    <n v="29677.403000000006"/>
    <n v="623225.46300000011"/>
  </r>
  <r>
    <x v="113"/>
    <s v="Olalekan"/>
    <s v="Jinadu"/>
    <x v="21"/>
    <x v="0"/>
    <s v="Account Payables"/>
    <x v="2"/>
    <n v="538500.03399999999"/>
    <n v="26925.001700000001"/>
    <n v="565425.03570000001"/>
  </r>
  <r>
    <x v="114"/>
    <s v="Chiamaka"/>
    <s v="Shofu"/>
    <x v="27"/>
    <x v="0"/>
    <s v="Account Receivables"/>
    <x v="4"/>
    <n v="4282257.8540000003"/>
    <n v="428225.78540000005"/>
    <n v="4710483.6394000007"/>
  </r>
  <r>
    <x v="115"/>
    <s v="Mmaette"/>
    <s v="Edomobi"/>
    <x v="33"/>
    <x v="1"/>
    <s v="Payroll"/>
    <x v="1"/>
    <n v="3405789.6460000002"/>
    <n v="340578.96460000006"/>
    <n v="3746368.6106000002"/>
  </r>
  <r>
    <x v="115"/>
    <s v="Olubunmi"/>
    <s v="Okhions"/>
    <x v="0"/>
    <x v="0"/>
    <s v="Budgeting"/>
    <x v="2"/>
    <n v="2714784.2320000003"/>
    <n v="271478.42320000002"/>
    <n v="2986262.6552000004"/>
  </r>
  <r>
    <x v="116"/>
    <s v="Ngozi"/>
    <s v="Ogunsakin"/>
    <x v="35"/>
    <x v="4"/>
    <s v="Connectivity"/>
    <x v="0"/>
    <n v="5462379.2800000003"/>
    <n v="546237.92800000007"/>
    <n v="6008617.2080000006"/>
  </r>
  <r>
    <x v="116"/>
    <s v="Francis"/>
    <s v="Abasilim"/>
    <x v="32"/>
    <x v="0"/>
    <s v="Account Payables"/>
    <x v="4"/>
    <n v="5449297.926"/>
    <n v="544929.79260000004"/>
    <n v="5994227.7186000003"/>
  </r>
  <r>
    <x v="117"/>
    <s v="Simon"/>
    <s v="Olomu"/>
    <x v="34"/>
    <x v="3"/>
    <s v="Risk Management"/>
    <x v="0"/>
    <n v="1914711.1780000001"/>
    <n v="191471.11780000001"/>
    <n v="2106182.2958"/>
  </r>
  <r>
    <x v="117"/>
    <s v="Pamilia"/>
    <s v="Jinadu"/>
    <x v="35"/>
    <x v="0"/>
    <s v="Account Receivables"/>
    <x v="5"/>
    <n v="1047678.242"/>
    <n v="104767.8242"/>
    <n v="1152446.0662"/>
  </r>
  <r>
    <x v="118"/>
    <s v="Jumoke"/>
    <s v="Ubah"/>
    <x v="1"/>
    <x v="1"/>
    <s v="Training &amp; Development"/>
    <x v="5"/>
    <n v="794423.0419999999"/>
    <n v="39721.152099999999"/>
    <n v="834144.19409999985"/>
  </r>
  <r>
    <x v="118"/>
    <s v="Christian"/>
    <s v="Phillips"/>
    <x v="17"/>
    <x v="0"/>
    <s v="Budgeting"/>
    <x v="0"/>
    <n v="3738168.44"/>
    <n v="373816.84400000004"/>
    <n v="4111985.284"/>
  </r>
  <r>
    <x v="119"/>
    <s v="Emmanuel"/>
    <s v="Folami"/>
    <x v="25"/>
    <x v="7"/>
    <s v="Technical Design"/>
    <x v="2"/>
    <n v="4204591.76"/>
    <n v="420459.17599999998"/>
    <n v="4625050.9359999998"/>
  </r>
  <r>
    <x v="119"/>
    <s v="Anita"/>
    <s v="Jonathan"/>
    <x v="27"/>
    <x v="0"/>
    <s v="Account Payables"/>
    <x v="3"/>
    <n v="2577150.7579999999"/>
    <n v="257715.07579999999"/>
    <n v="2834865.8338000001"/>
  </r>
  <r>
    <x v="120"/>
    <s v="Henry"/>
    <s v="Ejelonu"/>
    <x v="12"/>
    <x v="9"/>
    <s v="Maintenance"/>
    <x v="0"/>
    <n v="5602696.8859999999"/>
    <n v="560269.68859999999"/>
    <n v="6162966.5745999999"/>
  </r>
  <r>
    <x v="120"/>
    <s v="Katherine"/>
    <s v="Chukwuzilere"/>
    <x v="5"/>
    <x v="0"/>
    <s v="Account Receivables"/>
    <x v="1"/>
    <n v="3082391.3840000001"/>
    <n v="308239.1384"/>
    <n v="3390630.5224000001"/>
  </r>
  <r>
    <x v="121"/>
    <s v="Olubukola"/>
    <s v="Hassan"/>
    <x v="19"/>
    <x v="2"/>
    <s v="Expenditure"/>
    <x v="4"/>
    <n v="830485"/>
    <n v="41524.25"/>
    <n v="872009.25"/>
  </r>
  <r>
    <x v="121"/>
    <s v="Comfort"/>
    <s v="Nwachukwu"/>
    <x v="9"/>
    <x v="0"/>
    <s v="Budgeting"/>
    <x v="5"/>
    <n v="2621908.8339999998"/>
    <n v="262190.88339999999"/>
    <n v="2884099.7174"/>
  </r>
  <r>
    <x v="122"/>
    <s v="Taiwo"/>
    <s v="Fasasi"/>
    <x v="22"/>
    <x v="9"/>
    <s v="Research"/>
    <x v="3"/>
    <n v="4554376.602"/>
    <n v="455437.66020000004"/>
    <n v="5009814.2621999998"/>
  </r>
  <r>
    <x v="122"/>
    <s v="Jacob"/>
    <s v="Ejide"/>
    <x v="12"/>
    <x v="0"/>
    <s v="Account Payables"/>
    <x v="0"/>
    <n v="5120636.34"/>
    <n v="512063.63400000002"/>
    <n v="5632699.9739999995"/>
  </r>
  <r>
    <x v="123"/>
    <s v="Emeka"/>
    <s v="Atah"/>
    <x v="0"/>
    <x v="1"/>
    <s v="Benefits Admin."/>
    <x v="0"/>
    <n v="3912350.1839999999"/>
    <n v="391235.0184"/>
    <n v="4303585.2023999998"/>
  </r>
  <r>
    <x v="123"/>
    <s v="Faith"/>
    <s v="Fasemami"/>
    <x v="5"/>
    <x v="0"/>
    <s v="Account Receivables"/>
    <x v="3"/>
    <n v="2874256.8859999999"/>
    <n v="287425.68859999999"/>
    <n v="3161682.5745999999"/>
  </r>
  <r>
    <x v="124"/>
    <s v="Olaitan"/>
    <s v="Asiegbu"/>
    <x v="1"/>
    <x v="5"/>
    <s v="Analysis"/>
    <x v="5"/>
    <n v="1779600.9280000001"/>
    <n v="177960.09280000001"/>
    <n v="1957561.0208000001"/>
  </r>
  <r>
    <x v="124"/>
    <s v="Agatha"/>
    <s v="Alete-Omoni"/>
    <x v="15"/>
    <x v="0"/>
    <s v="Budgeting"/>
    <x v="1"/>
    <n v="5015675.352"/>
    <n v="501567.53520000004"/>
    <n v="5517242.8871999998"/>
  </r>
  <r>
    <x v="125"/>
    <s v="Joshua"/>
    <s v="Badia"/>
    <x v="2"/>
    <x v="1"/>
    <s v="Payroll"/>
    <x v="3"/>
    <n v="4256840.22"/>
    <n v="425684.022"/>
    <n v="4682524.2419999996"/>
  </r>
  <r>
    <x v="125"/>
    <s v="Yakubu"/>
    <s v="Imam"/>
    <x v="13"/>
    <x v="0"/>
    <s v="Account Payables"/>
    <x v="5"/>
    <n v="4383652.0479999995"/>
    <n v="438365.20479999995"/>
    <n v="4822017.252799999"/>
  </r>
  <r>
    <x v="126"/>
    <s v="Tosin"/>
    <s v="Osula"/>
    <x v="4"/>
    <x v="5"/>
    <s v="Design"/>
    <x v="0"/>
    <n v="5763965.1799999997"/>
    <n v="576396.51800000004"/>
    <n v="6340361.6979999999"/>
  </r>
  <r>
    <x v="126"/>
    <s v="Bisola"/>
    <s v="Imaga"/>
    <x v="21"/>
    <x v="0"/>
    <s v="Account Receivables"/>
    <x v="1"/>
    <n v="3040383.9020000002"/>
    <n v="304038.39020000002"/>
    <n v="3344422.2922"/>
  </r>
  <r>
    <x v="127"/>
    <s v="Gbenga"/>
    <s v="Adebiyi"/>
    <x v="11"/>
    <x v="0"/>
    <s v="Budgeting"/>
    <x v="0"/>
    <n v="5567107.068"/>
    <n v="556710.70680000004"/>
    <n v="6123817.7747999998"/>
  </r>
  <r>
    <x v="128"/>
    <s v="Olugbenga"/>
    <s v="Dele"/>
    <x v="7"/>
    <x v="8"/>
    <s v="Help Desk"/>
    <x v="3"/>
    <n v="5847849.5520000001"/>
    <n v="584784.95520000008"/>
    <n v="6432634.5071999999"/>
  </r>
  <r>
    <x v="128"/>
    <s v="Dudu"/>
    <s v="Ajao"/>
    <x v="21"/>
    <x v="0"/>
    <s v="Account Payables"/>
    <x v="1"/>
    <n v="761524.35199999996"/>
    <n v="38076.217599999996"/>
    <n v="799600.56959999993"/>
  </r>
  <r>
    <x v="129"/>
    <s v="Oyewale"/>
    <s v="Fatoye"/>
    <x v="0"/>
    <x v="7"/>
    <s v="Maintenance"/>
    <x v="4"/>
    <n v="5328288.1140000001"/>
    <n v="532828.81140000001"/>
    <n v="5861116.9254000001"/>
  </r>
  <r>
    <x v="129"/>
    <s v="Diran"/>
    <s v="Osunsade"/>
    <x v="8"/>
    <x v="0"/>
    <s v="Account Receivables"/>
    <x v="2"/>
    <n v="4827562.24"/>
    <n v="482756.22400000005"/>
    <n v="5310318.4640000006"/>
  </r>
  <r>
    <x v="130"/>
    <s v="Samuel"/>
    <s v="Ona"/>
    <x v="5"/>
    <x v="7"/>
    <s v="Planning"/>
    <x v="5"/>
    <n v="3192460.6179999998"/>
    <n v="319246.06180000002"/>
    <n v="3511706.6798"/>
  </r>
  <r>
    <x v="130"/>
    <s v="Dennis"/>
    <s v="Omijeh"/>
    <x v="22"/>
    <x v="0"/>
    <s v="Budgeting"/>
    <x v="0"/>
    <n v="4562061.7079999996"/>
    <n v="456206.17079999996"/>
    <n v="5018267.8787999991"/>
  </r>
  <r>
    <x v="131"/>
    <s v="Ebun"/>
    <s v="Oyibo"/>
    <x v="9"/>
    <x v="1"/>
    <s v="Training &amp; Development"/>
    <x v="1"/>
    <n v="4307894.6960000005"/>
    <n v="430789.46960000007"/>
    <n v="4738684.1656000009"/>
  </r>
  <r>
    <x v="131"/>
    <s v="Omunate"/>
    <s v="Udo"/>
    <x v="0"/>
    <x v="0"/>
    <s v="Account Payables"/>
    <x v="3"/>
    <n v="5676722.7280000001"/>
    <n v="567672.27280000004"/>
    <n v="6244395.0008000005"/>
  </r>
  <r>
    <x v="132"/>
    <s v="Bola"/>
    <s v="Ovie"/>
    <x v="0"/>
    <x v="7"/>
    <s v="Technical Design"/>
    <x v="0"/>
    <n v="998660.76800000004"/>
    <n v="49933.038400000005"/>
    <n v="1048593.8064000001"/>
  </r>
  <r>
    <x v="132"/>
    <s v="Imiekame"/>
    <s v="Omoigui"/>
    <x v="1"/>
    <x v="0"/>
    <s v="Account Receivables"/>
    <x v="1"/>
    <n v="2431369.2760000001"/>
    <n v="243136.92760000002"/>
    <n v="2674506.2036000001"/>
  </r>
  <r>
    <x v="133"/>
    <s v="Charles"/>
    <s v="Fashina"/>
    <x v="7"/>
    <x v="2"/>
    <s v="Supplies"/>
    <x v="2"/>
    <n v="2757568.27"/>
    <n v="275756.82699999999"/>
    <n v="3033325.0970000001"/>
  </r>
  <r>
    <x v="133"/>
    <s v="Gillian"/>
    <s v="Adebo"/>
    <x v="7"/>
    <x v="0"/>
    <s v="Budgeting"/>
    <x v="3"/>
    <n v="1187300.912"/>
    <n v="118730.09120000001"/>
    <n v="1306031.0031999999"/>
  </r>
  <r>
    <x v="134"/>
    <s v="Alex"/>
    <s v="Ogundahunsi"/>
    <x v="9"/>
    <x v="6"/>
    <s v="Call Center"/>
    <x v="3"/>
    <n v="3189306.588"/>
    <n v="318930.65880000003"/>
    <n v="3508237.2467999998"/>
  </r>
  <r>
    <x v="134"/>
    <s v="Olusola"/>
    <s v="Eyiyo"/>
    <x v="5"/>
    <x v="0"/>
    <s v="Account Payables"/>
    <x v="0"/>
    <n v="1959668.64"/>
    <n v="195966.864"/>
    <n v="2155635.5039999997"/>
  </r>
  <r>
    <x v="135"/>
    <s v="Jibola"/>
    <s v="Ochonogor"/>
    <x v="7"/>
    <x v="0"/>
    <s v="Account Receivables"/>
    <x v="5"/>
    <n v="2172403.0079999999"/>
    <n v="217240.3008"/>
    <n v="2389643.3087999998"/>
  </r>
  <r>
    <x v="136"/>
    <s v="Halima"/>
    <s v="Medafe"/>
    <x v="14"/>
    <x v="1"/>
    <s v="Benefits Admin."/>
    <x v="5"/>
    <n v="2080519.8760000002"/>
    <n v="208051.98760000002"/>
    <n v="2288571.8636000003"/>
  </r>
  <r>
    <x v="136"/>
    <s v="Laolu"/>
    <s v="Maduka"/>
    <x v="7"/>
    <x v="0"/>
    <s v="Budgeting"/>
    <x v="5"/>
    <n v="2301409.2479999997"/>
    <n v="230140.92479999998"/>
    <n v="2531550.1727999998"/>
  </r>
  <r>
    <x v="137"/>
    <s v="Abdul"/>
    <s v="Gafaar"/>
    <x v="0"/>
    <x v="1"/>
    <s v="Payroll"/>
    <x v="1"/>
    <n v="2149626.3640000001"/>
    <n v="214962.63640000002"/>
    <n v="2364589.0004000003"/>
  </r>
  <r>
    <x v="137"/>
    <s v="Moiks"/>
    <s v="Martins"/>
    <x v="17"/>
    <x v="0"/>
    <s v="Account Payables"/>
    <x v="0"/>
    <n v="5794606.4939999999"/>
    <n v="579460.64939999999"/>
    <n v="6374067.1434000004"/>
  </r>
  <r>
    <x v="138"/>
    <s v="Ayodeji"/>
    <s v="Oyem"/>
    <x v="9"/>
    <x v="5"/>
    <s v="Planning &amp; Development"/>
    <x v="3"/>
    <n v="2660298.2179999999"/>
    <n v="266029.82179999998"/>
    <n v="2926328.0397999999"/>
  </r>
  <r>
    <x v="138"/>
    <s v="Henry"/>
    <s v="Adams"/>
    <x v="33"/>
    <x v="0"/>
    <s v="Account Receivables"/>
    <x v="0"/>
    <n v="1217461.8339999998"/>
    <n v="121746.18339999998"/>
    <n v="1339208.0173999998"/>
  </r>
  <r>
    <x v="139"/>
    <s v="Abu"/>
    <s v="Kamson"/>
    <x v="0"/>
    <x v="5"/>
    <s v="Analysis"/>
    <x v="1"/>
    <n v="3353477.0559999999"/>
    <n v="335347.70559999999"/>
    <n v="3688824.7615999999"/>
  </r>
  <r>
    <x v="139"/>
    <s v="Ernest"/>
    <s v="Usen"/>
    <x v="2"/>
    <x v="0"/>
    <s v="Budgeting"/>
    <x v="2"/>
    <n v="352671.11599999998"/>
    <n v="17633.555799999998"/>
    <n v="370304.67179999995"/>
  </r>
  <r>
    <x v="140"/>
    <s v="Wunmi"/>
    <s v="Maibe"/>
    <x v="3"/>
    <x v="2"/>
    <s v="MD's Office"/>
    <x v="4"/>
    <n v="4232424.18"/>
    <n v="423242.41800000001"/>
    <n v="4655666.5979999993"/>
  </r>
  <r>
    <x v="140"/>
    <s v="Ume"/>
    <s v="Onovuhede"/>
    <x v="10"/>
    <x v="0"/>
    <s v="Account Payables"/>
    <x v="4"/>
    <n v="4147565.0320000001"/>
    <n v="414756.50320000004"/>
    <n v="4562321.5351999998"/>
  </r>
  <r>
    <x v="141"/>
    <s v="Ezekiel"/>
    <s v="Balogun"/>
    <x v="7"/>
    <x v="2"/>
    <s v="Expenditure"/>
    <x v="5"/>
    <n v="2204972.8859999999"/>
    <n v="220497.2886"/>
    <n v="2425470.1746"/>
  </r>
  <r>
    <x v="141"/>
    <s v="Ebere"/>
    <s v="Agbamu"/>
    <x v="33"/>
    <x v="0"/>
    <s v="Account Receivables"/>
    <x v="2"/>
    <n v="5574814.3279999997"/>
    <n v="557481.43279999995"/>
    <n v="6132295.7607999993"/>
  </r>
  <r>
    <x v="142"/>
    <s v="Akinloye"/>
    <s v="Alao"/>
    <x v="5"/>
    <x v="9"/>
    <s v="Training"/>
    <x v="1"/>
    <n v="1886548.78"/>
    <n v="188654.87800000003"/>
    <n v="2075203.6580000001"/>
  </r>
  <r>
    <x v="142"/>
    <s v="Nonso"/>
    <s v="Kalu"/>
    <x v="34"/>
    <x v="0"/>
    <s v="Budgeting"/>
    <x v="4"/>
    <n v="5754663.9979999997"/>
    <n v="575466.39980000001"/>
    <n v="6330130.3977999995"/>
  </r>
  <r>
    <x v="143"/>
    <s v="Oyo"/>
    <s v="Yusuf"/>
    <x v="18"/>
    <x v="1"/>
    <s v="Training &amp; Development"/>
    <x v="0"/>
    <n v="568559.51399999997"/>
    <n v="28427.975699999999"/>
    <n v="596987.48969999992"/>
  </r>
  <r>
    <x v="143"/>
    <s v="Adejoke"/>
    <s v="Adeleke"/>
    <x v="2"/>
    <x v="0"/>
    <s v="Account Payables"/>
    <x v="5"/>
    <n v="2596170.5499999998"/>
    <n v="259617.05499999999"/>
    <n v="2855787.605"/>
  </r>
  <r>
    <x v="144"/>
    <s v="Ziem"/>
    <s v="Tella"/>
    <x v="15"/>
    <x v="6"/>
    <s v="Courier"/>
    <x v="1"/>
    <n v="3172872.9839999997"/>
    <n v="317287.29839999997"/>
    <n v="3490160.2823999999"/>
  </r>
  <r>
    <x v="144"/>
    <s v="Ibe"/>
    <s v="Folorunsho"/>
    <x v="0"/>
    <x v="0"/>
    <s v="Account Receivables"/>
    <x v="0"/>
    <n v="739679.34199999995"/>
    <n v="36983.967100000002"/>
    <n v="776663.30909999995"/>
  </r>
  <r>
    <x v="145"/>
    <s v="Folahan"/>
    <s v="Ehi"/>
    <x v="18"/>
    <x v="5"/>
    <s v="Design"/>
    <x v="5"/>
    <n v="378717.22400000005"/>
    <n v="18935.861200000003"/>
    <n v="397653.08520000003"/>
  </r>
  <r>
    <x v="145"/>
    <s v="Abosede"/>
    <s v="Nwuzu"/>
    <x v="5"/>
    <x v="0"/>
    <s v="Budgeting"/>
    <x v="3"/>
    <n v="2883020.5420000004"/>
    <n v="288302.05420000007"/>
    <n v="3171322.5962000005"/>
  </r>
  <r>
    <x v="146"/>
    <s v="Hamza"/>
    <s v="Aiyegbusi"/>
    <x v="16"/>
    <x v="8"/>
    <s v="Call Center"/>
    <x v="0"/>
    <n v="4318920.392"/>
    <n v="431892.0392"/>
    <n v="4750812.4311999995"/>
  </r>
  <r>
    <x v="146"/>
    <s v="Adebayo"/>
    <s v="Ayanleke"/>
    <x v="9"/>
    <x v="0"/>
    <s v="Account Payables"/>
    <x v="1"/>
    <n v="3719374.852"/>
    <n v="371937.4852"/>
    <n v="4091312.3372"/>
  </r>
  <r>
    <x v="147"/>
    <s v="Olaniyi"/>
    <s v="Alukara"/>
    <x v="7"/>
    <x v="0"/>
    <s v="Account Receivables"/>
    <x v="5"/>
    <n v="1783606.138"/>
    <n v="178360.61380000002"/>
    <n v="1961966.7518"/>
  </r>
  <r>
    <x v="148"/>
    <s v="Woko"/>
    <s v="Nwaze"/>
    <x v="11"/>
    <x v="6"/>
    <s v="Logistics"/>
    <x v="5"/>
    <n v="4849993.7479999997"/>
    <n v="484999.37479999999"/>
    <n v="5334993.1228"/>
  </r>
  <r>
    <x v="148"/>
    <s v="Onome"/>
    <s v="Udoh"/>
    <x v="18"/>
    <x v="0"/>
    <s v="Budgeting"/>
    <x v="0"/>
    <n v="1374721.42"/>
    <n v="137472.14199999999"/>
    <n v="1512193.5619999999"/>
  </r>
  <r>
    <x v="149"/>
    <s v="Uchenna"/>
    <s v="Nwa"/>
    <x v="36"/>
    <x v="7"/>
    <s v="Maintenance"/>
    <x v="3"/>
    <n v="4428917.3339999998"/>
    <n v="442891.73340000003"/>
    <n v="4871809.0674000001"/>
  </r>
  <r>
    <x v="149"/>
    <s v="Gbadamosi"/>
    <s v="Mohammed"/>
    <x v="20"/>
    <x v="0"/>
    <s v="Account Payables"/>
    <x v="3"/>
    <n v="4293467.7779999999"/>
    <n v="429346.77780000004"/>
    <n v="4722814.5558000002"/>
  </r>
  <r>
    <x v="150"/>
    <s v="Efe"/>
    <s v="Yugu"/>
    <x v="13"/>
    <x v="1"/>
    <s v="Benefits Admin."/>
    <x v="1"/>
    <n v="2297033.25"/>
    <n v="229703.32500000001"/>
    <n v="2526736.5750000002"/>
  </r>
  <r>
    <x v="150"/>
    <s v="Olive"/>
    <s v="Ogedengbe"/>
    <x v="1"/>
    <x v="0"/>
    <s v="Account Receivables"/>
    <x v="1"/>
    <n v="1944738.01"/>
    <n v="194473.80100000001"/>
    <n v="2139211.8110000002"/>
  </r>
  <r>
    <x v="151"/>
    <s v="Onwu"/>
    <s v="Ibikunle"/>
    <x v="17"/>
    <x v="8"/>
    <s v="Social Media"/>
    <x v="5"/>
    <n v="3297639.6479999996"/>
    <n v="329763.96479999996"/>
    <n v="3627403.6127999993"/>
  </r>
  <r>
    <x v="151"/>
    <s v="Kayode"/>
    <s v="Bankole"/>
    <x v="22"/>
    <x v="0"/>
    <s v="Budgeting"/>
    <x v="5"/>
    <n v="600732.95199999993"/>
    <n v="30036.647599999997"/>
    <n v="630769.59959999996"/>
  </r>
  <r>
    <x v="152"/>
    <s v="Mohammed"/>
    <s v="Linus"/>
    <x v="17"/>
    <x v="3"/>
    <s v="Compliance"/>
    <x v="2"/>
    <n v="3796748.28"/>
    <n v="379674.82799999998"/>
    <n v="4176423.108"/>
  </r>
  <r>
    <x v="152"/>
    <s v="Abiodun"/>
    <s v="Adegbenro"/>
    <x v="30"/>
    <x v="0"/>
    <s v="Account Payables"/>
    <x v="1"/>
    <n v="4508779.0059999991"/>
    <n v="450877.90059999994"/>
    <n v="4959656.9065999994"/>
  </r>
  <r>
    <x v="153"/>
    <s v="John"/>
    <s v="Ezeani"/>
    <x v="9"/>
    <x v="1"/>
    <s v="Payroll"/>
    <x v="2"/>
    <n v="2666242.486"/>
    <n v="266624.24859999999"/>
    <n v="2932866.7346000001"/>
  </r>
  <r>
    <x v="153"/>
    <s v="Stanley"/>
    <s v="Obguso"/>
    <x v="0"/>
    <x v="0"/>
    <s v="Account Receivables"/>
    <x v="0"/>
    <n v="4938699.53"/>
    <n v="493869.95300000004"/>
    <n v="5432569.483"/>
  </r>
  <r>
    <x v="154"/>
    <s v="Olaniyi"/>
    <s v="Obasuyi"/>
    <x v="19"/>
    <x v="7"/>
    <s v="Planning"/>
    <x v="1"/>
    <n v="3087364.3739999998"/>
    <n v="308736.4374"/>
    <n v="3396100.8114"/>
  </r>
  <r>
    <x v="154"/>
    <s v="Adebowale"/>
    <s v="Ugbor"/>
    <x v="32"/>
    <x v="0"/>
    <s v="Budgeting"/>
    <x v="1"/>
    <n v="2506114.54"/>
    <n v="250611.45400000003"/>
    <n v="2756725.9939999999"/>
  </r>
  <r>
    <x v="155"/>
    <s v="Kayode"/>
    <s v="Ezugo"/>
    <x v="32"/>
    <x v="8"/>
    <s v="Help Desk"/>
    <x v="5"/>
    <n v="4153229.46"/>
    <n v="415322.946"/>
    <n v="4568552.4059999995"/>
  </r>
  <r>
    <x v="155"/>
    <s v="Tolulope"/>
    <s v="Akinsanya"/>
    <x v="21"/>
    <x v="0"/>
    <s v="Account Payables"/>
    <x v="2"/>
    <n v="4309185.4579999996"/>
    <n v="430918.54579999996"/>
    <n v="4740104.0037999991"/>
  </r>
  <r>
    <x v="156"/>
    <s v="Olayinka"/>
    <s v="Ajayi"/>
    <x v="25"/>
    <x v="0"/>
    <s v="Account Receivables"/>
    <x v="0"/>
    <n v="5924067.4740000004"/>
    <n v="592406.74740000011"/>
    <n v="6516474.2214000002"/>
  </r>
  <r>
    <x v="157"/>
    <s v="Damilola"/>
    <s v="Oyebamiji"/>
    <x v="2"/>
    <x v="2"/>
    <s v="Supplies"/>
    <x v="0"/>
    <n v="5762335.1119999997"/>
    <n v="576233.51119999995"/>
    <n v="6338568.6231999993"/>
  </r>
  <r>
    <x v="157"/>
    <s v="Ibiyemi"/>
    <s v="Durodola"/>
    <x v="12"/>
    <x v="0"/>
    <s v="Budgeting"/>
    <x v="3"/>
    <n v="5921824.0899999999"/>
    <n v="592182.40899999999"/>
    <n v="6514006.4989999998"/>
  </r>
  <r>
    <x v="158"/>
    <s v="Sanni"/>
    <s v="Olade"/>
    <x v="27"/>
    <x v="5"/>
    <s v="Planning &amp; Development"/>
    <x v="0"/>
    <n v="4231597.4860000005"/>
    <n v="423159.74860000005"/>
    <n v="4654757.2346000001"/>
  </r>
  <r>
    <x v="158"/>
    <s v="Esanwa"/>
    <s v="Ahianba"/>
    <x v="3"/>
    <x v="0"/>
    <s v="Account Payables"/>
    <x v="1"/>
    <n v="5643499.8899999997"/>
    <n v="564349.98899999994"/>
    <n v="6207849.8789999997"/>
  </r>
  <r>
    <x v="159"/>
    <s v="Zainab"/>
    <s v="Akintoye"/>
    <x v="18"/>
    <x v="3"/>
    <s v="Fraud Control"/>
    <x v="4"/>
    <n v="2486940.8360000001"/>
    <n v="248694.08360000001"/>
    <n v="2735634.9196000001"/>
  </r>
  <r>
    <x v="159"/>
    <s v="Chukwuemerie"/>
    <s v="Dakpokpo"/>
    <x v="24"/>
    <x v="0"/>
    <s v="Account Receivables"/>
    <x v="3"/>
    <n v="1042946.6140000001"/>
    <n v="104294.66140000001"/>
    <n v="1147241.2754000002"/>
  </r>
  <r>
    <x v="160"/>
    <s v="Asha"/>
    <s v="Nugba"/>
    <x v="14"/>
    <x v="4"/>
    <s v="Business Application Support"/>
    <x v="3"/>
    <n v="882431.55599999998"/>
    <n v="44121.577799999999"/>
    <n v="926553.13379999995"/>
  </r>
  <r>
    <x v="160"/>
    <s v="Chidiebere"/>
    <s v="Onuh"/>
    <x v="4"/>
    <x v="0"/>
    <s v="Budgeting"/>
    <x v="0"/>
    <n v="1737750.8560000001"/>
    <n v="173775.08560000002"/>
    <n v="1911525.9416000003"/>
  </r>
  <r>
    <x v="161"/>
    <s v="Isi"/>
    <s v="Banwo"/>
    <x v="3"/>
    <x v="3"/>
    <s v="Risk Management"/>
    <x v="2"/>
    <n v="3078605.3820000002"/>
    <n v="307860.53820000001"/>
    <n v="3386465.9202000001"/>
  </r>
  <r>
    <x v="161"/>
    <s v="Olalekan"/>
    <s v="Egwu"/>
    <x v="5"/>
    <x v="0"/>
    <s v="Account Payables"/>
    <x v="5"/>
    <n v="2033605.8660000002"/>
    <n v="203360.58660000004"/>
    <n v="2236966.4526000004"/>
  </r>
  <r>
    <x v="162"/>
    <s v="Idowu"/>
    <s v="Waheed"/>
    <x v="18"/>
    <x v="6"/>
    <s v="Call Center"/>
    <x v="1"/>
    <n v="3444748.0379999997"/>
    <n v="344474.80379999999"/>
    <n v="3789222.8417999996"/>
  </r>
  <r>
    <x v="162"/>
    <s v="Folashade"/>
    <s v="Adelodun"/>
    <x v="9"/>
    <x v="0"/>
    <s v="Account Receivables"/>
    <x v="5"/>
    <n v="3340338.568"/>
    <n v="334033.85680000001"/>
    <n v="3674372.4248000002"/>
  </r>
  <r>
    <x v="163"/>
    <s v="kemi"/>
    <s v="Peter"/>
    <x v="6"/>
    <x v="5"/>
    <s v="Analysis"/>
    <x v="3"/>
    <n v="1726682.0180000002"/>
    <n v="172668.20180000004"/>
    <n v="1899350.2198000001"/>
  </r>
  <r>
    <x v="163"/>
    <s v="Olufunmilola"/>
    <s v="Ihuoma"/>
    <x v="7"/>
    <x v="0"/>
    <s v="Budgeting"/>
    <x v="0"/>
    <n v="2526547.5239999997"/>
    <n v="252654.7524"/>
    <n v="2779202.2763999999"/>
  </r>
  <r>
    <x v="164"/>
    <s v="Tolulope"/>
    <s v="Robinson"/>
    <x v="34"/>
    <x v="1"/>
    <s v="Training &amp; Development"/>
    <x v="0"/>
    <n v="4617560.9759999998"/>
    <n v="461756.09759999998"/>
    <n v="5079317.0735999998"/>
  </r>
  <r>
    <x v="164"/>
    <s v="Ade"/>
    <s v="Ene"/>
    <x v="13"/>
    <x v="0"/>
    <s v="Account Payables"/>
    <x v="0"/>
    <n v="4034669.4139999999"/>
    <n v="403466.94140000001"/>
    <n v="4438136.3553999998"/>
  </r>
  <r>
    <x v="165"/>
    <s v="Abimbola"/>
    <s v="Azeez"/>
    <x v="11"/>
    <x v="1"/>
    <s v="Benefits Admin."/>
    <x v="3"/>
    <n v="4079292.2339999997"/>
    <n v="407929.22340000002"/>
    <n v="4487221.4573999997"/>
  </r>
  <r>
    <x v="165"/>
    <s v="Segun"/>
    <s v="Aruede"/>
    <x v="17"/>
    <x v="0"/>
    <s v="Account Receivables"/>
    <x v="2"/>
    <n v="4053798.81"/>
    <n v="405379.88100000005"/>
    <n v="4459178.6909999996"/>
  </r>
  <r>
    <x v="166"/>
    <s v="Olusola"/>
    <s v="Adebusola"/>
    <x v="13"/>
    <x v="2"/>
    <s v="MD's Office"/>
    <x v="3"/>
    <n v="4974653.1399999997"/>
    <n v="497465.31400000001"/>
    <n v="5472118.4539999999"/>
  </r>
  <r>
    <x v="166"/>
    <s v="Ngozi"/>
    <s v="Uwachukwu"/>
    <x v="32"/>
    <x v="0"/>
    <s v="Budgeting"/>
    <x v="4"/>
    <n v="2330329.5460000001"/>
    <n v="233032.95460000003"/>
    <n v="2563362.5005999999"/>
  </r>
  <r>
    <x v="167"/>
    <s v="Dominic"/>
    <s v="Bello"/>
    <x v="28"/>
    <x v="1"/>
    <s v="Payroll"/>
    <x v="1"/>
    <n v="2483650.3840000001"/>
    <n v="248365.03840000002"/>
    <n v="2732015.4224"/>
  </r>
  <r>
    <x v="167"/>
    <s v="Oluwatoyin"/>
    <s v="Ogunlabi"/>
    <x v="17"/>
    <x v="0"/>
    <s v="Account Payables"/>
    <x v="2"/>
    <n v="5457791.0700000003"/>
    <n v="545779.10700000008"/>
    <n v="6003570.1770000001"/>
  </r>
  <r>
    <x v="168"/>
    <s v="Fade"/>
    <s v="Ajiboye"/>
    <x v="9"/>
    <x v="1"/>
    <s v="Training &amp; Development"/>
    <x v="3"/>
    <n v="4318374.7039999999"/>
    <n v="431837.47039999999"/>
    <n v="4750212.1743999999"/>
  </r>
  <r>
    <x v="168"/>
    <s v="Anthony"/>
    <s v="Oguntuase"/>
    <x v="19"/>
    <x v="0"/>
    <s v="Account Receivables"/>
    <x v="4"/>
    <n v="4888102.1259999992"/>
    <n v="488810.21259999997"/>
    <n v="5376912.3385999994"/>
  </r>
  <r>
    <x v="169"/>
    <s v="Tunde"/>
    <s v="Kolajo"/>
    <x v="7"/>
    <x v="2"/>
    <s v="Expenditure"/>
    <x v="1"/>
    <n v="5707317.4019999998"/>
    <n v="570731.7402"/>
    <n v="6278049.1421999997"/>
  </r>
  <r>
    <x v="169"/>
    <s v="Wuraola"/>
    <s v="Disu"/>
    <x v="19"/>
    <x v="0"/>
    <s v="Budgeting"/>
    <x v="5"/>
    <n v="1572948.4160000002"/>
    <n v="157294.84160000004"/>
    <n v="1730243.2576000001"/>
  </r>
  <r>
    <x v="170"/>
    <s v="Ugo"/>
    <s v="Ojo"/>
    <x v="12"/>
    <x v="2"/>
    <s v="Supplies"/>
    <x v="5"/>
    <n v="899410.848"/>
    <n v="44970.542400000006"/>
    <n v="944381.39040000003"/>
  </r>
  <r>
    <x v="170"/>
    <s v="Rudayat"/>
    <s v="Akinola"/>
    <x v="2"/>
    <x v="0"/>
    <s v="Account Payables"/>
    <x v="0"/>
    <n v="2012490.7719999999"/>
    <n v="201249.0772"/>
    <n v="2213739.8492000001"/>
  </r>
  <r>
    <x v="171"/>
    <s v="Amena"/>
    <s v="Ogunranti"/>
    <x v="11"/>
    <x v="0"/>
    <s v="Account Receivables"/>
    <x v="3"/>
    <n v="2676771.466"/>
    <n v="267677.14660000004"/>
    <n v="2944448.6126000001"/>
  </r>
  <r>
    <x v="172"/>
    <s v="Ukwa"/>
    <s v="Obidare"/>
    <x v="22"/>
    <x v="2"/>
    <s v="MD's Office"/>
    <x v="0"/>
    <n v="5441619.8159999996"/>
    <n v="544161.98159999994"/>
    <n v="5985781.7975999992"/>
  </r>
  <r>
    <x v="173"/>
    <s v="Grace"/>
    <s v="Michael"/>
    <x v="6"/>
    <x v="5"/>
    <s v="Design"/>
    <x v="1"/>
    <n v="3060200.0720000002"/>
    <n v="306020.00720000005"/>
    <n v="3366220.0792"/>
  </r>
  <r>
    <x v="174"/>
    <s v="Seun"/>
    <s v="Ajedi"/>
    <x v="15"/>
    <x v="3"/>
    <s v="Compliance"/>
    <x v="4"/>
    <n v="1424082.8639999998"/>
    <n v="142408.28639999998"/>
    <n v="1566491.1503999997"/>
  </r>
  <r>
    <x v="175"/>
    <s v="Laide"/>
    <s v="Azu"/>
    <x v="13"/>
    <x v="2"/>
    <s v="Expenditure"/>
    <x v="3"/>
    <n v="2848557.08"/>
    <n v="284855.70800000004"/>
    <n v="3133412.7880000002"/>
  </r>
  <r>
    <x v="176"/>
    <s v="Yetunde"/>
    <s v="Uwe"/>
    <x v="21"/>
    <x v="1"/>
    <s v="Benefits Admin."/>
    <x v="0"/>
    <n v="3305197.66"/>
    <n v="330519.76600000006"/>
    <n v="3635717.426"/>
  </r>
  <r>
    <x v="177"/>
    <s v="Oladimeji"/>
    <s v="Fatoyinbo"/>
    <x v="11"/>
    <x v="2"/>
    <s v="Supplies"/>
    <x v="1"/>
    <n v="1340805.9780000001"/>
    <n v="134080.59780000002"/>
    <n v="1474886.5758000002"/>
  </r>
  <r>
    <x v="178"/>
    <s v="Ayoola"/>
    <s v="Olawunmi"/>
    <x v="18"/>
    <x v="1"/>
    <s v="Payroll"/>
    <x v="5"/>
    <n v="5282148.3279999997"/>
    <n v="528214.83279999997"/>
    <n v="5810363.1607999997"/>
  </r>
  <r>
    <x v="179"/>
    <s v="Temitayo"/>
    <s v="Ogunremi"/>
    <x v="12"/>
    <x v="8"/>
    <s v="Call Center"/>
    <x v="0"/>
    <n v="4894959.3720000004"/>
    <n v="489495.93720000004"/>
    <n v="5384455.3092"/>
  </r>
  <r>
    <x v="180"/>
    <s v="Tina"/>
    <s v="Theresa"/>
    <x v="3"/>
    <x v="6"/>
    <s v="Courier"/>
    <x v="0"/>
    <n v="1616343.4380000001"/>
    <n v="161634.34380000003"/>
    <n v="1777977.7818"/>
  </r>
  <r>
    <x v="181"/>
    <s v="Joy"/>
    <s v="Badiru"/>
    <x v="1"/>
    <x v="1"/>
    <s v="Training &amp; Development"/>
    <x v="5"/>
    <n v="4470795.3899999997"/>
    <n v="447079.53899999999"/>
    <n v="4917874.9289999995"/>
  </r>
  <r>
    <x v="182"/>
    <s v="Foluso"/>
    <s v="Olajide"/>
    <x v="21"/>
    <x v="4"/>
    <s v="Desktop Support"/>
    <x v="1"/>
    <n v="4069137.54"/>
    <n v="406913.75400000002"/>
    <n v="4476051.2939999998"/>
  </r>
  <r>
    <x v="183"/>
    <s v="Adijat"/>
    <s v="Omosebi"/>
    <x v="25"/>
    <x v="9"/>
    <s v="Maintenance"/>
    <x v="3"/>
    <n v="365139.15400000004"/>
    <n v="18256.957700000003"/>
    <n v="383396.11170000007"/>
  </r>
  <r>
    <x v="184"/>
    <s v="Funmi"/>
    <s v="Igboni"/>
    <x v="26"/>
    <x v="2"/>
    <s v="MD's Office"/>
    <x v="5"/>
    <n v="5057781.9440000001"/>
    <n v="505778.19440000004"/>
    <n v="5563560.1384000005"/>
  </r>
  <r>
    <x v="185"/>
    <s v="Cyril"/>
    <s v="Obajimi"/>
    <x v="6"/>
    <x v="2"/>
    <s v="Expenditure"/>
    <x v="1"/>
    <n v="5014567.6519999998"/>
    <n v="501456.76520000002"/>
    <n v="5516024.4172"/>
  </r>
  <r>
    <x v="186"/>
    <s v="Martins"/>
    <s v="Ani"/>
    <x v="28"/>
    <x v="1"/>
    <s v="Benefits Admin."/>
    <x v="0"/>
    <n v="4526104.5999999996"/>
    <n v="452610.45999999996"/>
    <n v="4978715.0599999996"/>
  </r>
  <r>
    <x v="187"/>
    <s v="Tope"/>
    <s v="Wright"/>
    <x v="3"/>
    <x v="2"/>
    <s v="Supplies"/>
    <x v="0"/>
    <n v="4959403.0259999996"/>
    <n v="495940.3026"/>
    <n v="5455343.3285999997"/>
  </r>
  <r>
    <x v="188"/>
    <s v="Edna"/>
    <s v="Abdullahi"/>
    <x v="1"/>
    <x v="4"/>
    <s v="Connectivity"/>
    <x v="3"/>
    <n v="4677500.3720000004"/>
    <n v="467750.03720000008"/>
    <n v="5145250.4092000006"/>
  </r>
  <r>
    <x v="189"/>
    <s v="Sunday"/>
    <s v="Ayo"/>
    <x v="13"/>
    <x v="1"/>
    <s v="Payroll"/>
    <x v="0"/>
    <n v="1846259.9819999998"/>
    <n v="184625.9982"/>
    <n v="2030885.9801999999"/>
  </r>
  <r>
    <x v="190"/>
    <s v="Abiodun"/>
    <s v="Talabi"/>
    <x v="10"/>
    <x v="4"/>
    <s v="Business Application Support"/>
    <x v="0"/>
    <n v="2449033.0099999998"/>
    <n v="244903.30099999998"/>
    <n v="2693936.3109999998"/>
  </r>
  <r>
    <x v="191"/>
    <s v="Saheed"/>
    <s v="Dairo"/>
    <x v="30"/>
    <x v="2"/>
    <s v="MD's Office"/>
    <x v="1"/>
    <n v="812596.31800000009"/>
    <n v="40629.815900000009"/>
    <n v="853226.13390000013"/>
  </r>
  <r>
    <x v="192"/>
    <s v="Vivian"/>
    <s v="Olatunji"/>
    <x v="13"/>
    <x v="1"/>
    <s v="Training &amp; Development"/>
    <x v="2"/>
    <n v="2684530.03"/>
    <n v="268453.00299999997"/>
    <n v="2952983.0329999998"/>
  </r>
  <r>
    <x v="193"/>
    <s v="Philip"/>
    <s v="Ajadi"/>
    <x v="0"/>
    <x v="2"/>
    <s v="Expenditure"/>
    <x v="2"/>
    <n v="2709103.48"/>
    <n v="270910.348"/>
    <n v="2980013.8279999997"/>
  </r>
  <r>
    <x v="194"/>
    <s v="Izuchukwu"/>
    <s v="Okun"/>
    <x v="25"/>
    <x v="7"/>
    <s v="Technical Design"/>
    <x v="5"/>
    <n v="1162595.7039999999"/>
    <n v="116259.5704"/>
    <n v="1278855.2744"/>
  </r>
  <r>
    <x v="195"/>
    <s v="Austine"/>
    <s v="Oye"/>
    <x v="17"/>
    <x v="8"/>
    <s v="Social Media"/>
    <x v="0"/>
    <n v="4760140.6220000004"/>
    <n v="476014.06220000004"/>
    <n v="5236154.6842"/>
  </r>
  <r>
    <x v="196"/>
    <s v="Akinwale"/>
    <s v="Monoh"/>
    <x v="32"/>
    <x v="3"/>
    <s v="Fraud Control"/>
    <x v="5"/>
    <n v="1648092.452"/>
    <n v="164809.2452"/>
    <n v="1812901.6972000001"/>
  </r>
  <r>
    <x v="197"/>
    <s v="Shola"/>
    <s v="Adetunji"/>
    <x v="31"/>
    <x v="6"/>
    <s v="Logistics"/>
    <x v="1"/>
    <n v="1718666.9339999999"/>
    <n v="171866.69339999999"/>
    <n v="1890533.6273999999"/>
  </r>
  <r>
    <x v="198"/>
    <s v="Owolabi"/>
    <s v="Awachie"/>
    <x v="27"/>
    <x v="3"/>
    <s v="Risk Management"/>
    <x v="0"/>
    <n v="3058876.662"/>
    <n v="305887.66620000004"/>
    <n v="3364764.3281999999"/>
  </r>
  <r>
    <x v="199"/>
    <s v="Fisayo"/>
    <s v="Onyekwere"/>
    <x v="0"/>
    <x v="5"/>
    <s v="Planning &amp; Development"/>
    <x v="5"/>
    <n v="1009404.2919999999"/>
    <n v="100940.4292"/>
    <n v="1110344.7211999998"/>
  </r>
  <r>
    <x v="200"/>
    <s v="Oladotun"/>
    <s v="Araoye"/>
    <x v="15"/>
    <x v="1"/>
    <s v="Benefits Admin."/>
    <x v="4"/>
    <n v="2768756.04"/>
    <n v="276875.60399999999"/>
    <n v="3045631.6439999999"/>
  </r>
  <r>
    <x v="201"/>
    <s v="Michael"/>
    <s v="Awosile"/>
    <x v="32"/>
    <x v="9"/>
    <s v="Research"/>
    <x v="0"/>
    <n v="4721608.9859999996"/>
    <n v="472160.89859999996"/>
    <n v="5193769.8845999995"/>
  </r>
  <r>
    <x v="202"/>
    <s v="Iyin"/>
    <s v="Falade"/>
    <x v="35"/>
    <x v="1"/>
    <s v="Payroll"/>
    <x v="2"/>
    <n v="2807263.19"/>
    <n v="280726.31900000002"/>
    <n v="3087989.5090000001"/>
  </r>
  <r>
    <x v="203"/>
    <s v="Benjamin"/>
    <s v="Soneye"/>
    <x v="11"/>
    <x v="2"/>
    <s v="Supplies"/>
    <x v="0"/>
    <n v="5827916.7820000006"/>
    <n v="582791.67820000008"/>
    <n v="6410708.4602000006"/>
  </r>
  <r>
    <x v="204"/>
    <s v="Olutobi"/>
    <s v="Ojo"/>
    <x v="27"/>
    <x v="2"/>
    <s v="MD's Office"/>
    <x v="3"/>
    <n v="3525322.1359999999"/>
    <n v="352532.21360000002"/>
    <n v="3877854.3495999998"/>
  </r>
  <r>
    <x v="205"/>
    <s v="Atoyebi"/>
    <s v="Bankole"/>
    <x v="9"/>
    <x v="1"/>
    <s v="Training &amp; Development"/>
    <x v="4"/>
    <n v="4268897.8260000004"/>
    <n v="426889.78260000004"/>
    <n v="4695787.6085999999"/>
  </r>
  <r>
    <x v="206"/>
    <s v="Ayodele"/>
    <s v="Oluyinka"/>
    <x v="19"/>
    <x v="8"/>
    <s v="Help Desk"/>
    <x v="2"/>
    <n v="604086.36800000002"/>
    <n v="30204.318400000004"/>
    <n v="634290.68640000001"/>
  </r>
  <r>
    <x v="207"/>
    <s v="Abioye"/>
    <s v="Faderemi"/>
    <x v="29"/>
    <x v="5"/>
    <s v="Analysis"/>
    <x v="1"/>
    <n v="2247001.3560000001"/>
    <n v="224700.13560000004"/>
    <n v="2471701.4916000003"/>
  </r>
  <r>
    <x v="208"/>
    <s v="Clara"/>
    <s v="Ganiu"/>
    <x v="2"/>
    <x v="5"/>
    <s v="Design"/>
    <x v="0"/>
    <n v="453857.76199999999"/>
    <n v="22692.8881"/>
    <n v="476550.65009999997"/>
  </r>
  <r>
    <x v="209"/>
    <s v="Gloria"/>
    <s v="Oluwoye"/>
    <x v="9"/>
    <x v="7"/>
    <s v="Maintenance"/>
    <x v="0"/>
    <n v="2738850.4720000001"/>
    <n v="273885.04720000003"/>
    <n v="3012735.5192"/>
  </r>
  <r>
    <x v="210"/>
    <s v="Precious"/>
    <s v="Oyewole"/>
    <x v="21"/>
    <x v="2"/>
    <s v="Expenditure"/>
    <x v="1"/>
    <n v="5398800.7979999995"/>
    <n v="539880.07979999995"/>
    <n v="5938680.877799999"/>
  </r>
  <r>
    <x v="211"/>
    <s v="Latifat"/>
    <s v="Lateef"/>
    <x v="14"/>
    <x v="1"/>
    <s v="Benefits Admin."/>
    <x v="5"/>
    <n v="3119127.38"/>
    <n v="311912.73800000001"/>
    <n v="3431040.1179999998"/>
  </r>
  <r>
    <x v="212"/>
    <s v="David"/>
    <s v="Alegbe"/>
    <x v="25"/>
    <x v="5"/>
    <s v="Planning &amp; Development"/>
    <x v="1"/>
    <n v="1424054.88"/>
    <n v="142405.48799999998"/>
    <n v="1566460.3679999998"/>
  </r>
  <r>
    <x v="213"/>
    <s v="Abdulrasheed"/>
    <s v="Onwuzurike"/>
    <x v="36"/>
    <x v="7"/>
    <s v="Planning"/>
    <x v="3"/>
    <n v="3741307.3120000004"/>
    <n v="374130.73120000004"/>
    <n v="4115438.0432000002"/>
  </r>
  <r>
    <x v="214"/>
    <s v="Olusola"/>
    <s v="Oloko"/>
    <x v="8"/>
    <x v="1"/>
    <s v="Payroll"/>
    <x v="0"/>
    <n v="3708372.4760000003"/>
    <n v="370837.24760000006"/>
    <n v="4079209.7236000001"/>
  </r>
  <r>
    <x v="215"/>
    <s v="Vickie"/>
    <s v="Asonu"/>
    <x v="2"/>
    <x v="4"/>
    <s v="Desktop Support"/>
    <x v="5"/>
    <n v="2816180.7579999999"/>
    <n v="281618.07579999999"/>
    <n v="3097798.8338000001"/>
  </r>
  <r>
    <x v="216"/>
    <s v="Eghosa"/>
    <s v="Abdul"/>
    <x v="34"/>
    <x v="3"/>
    <s v="Compliance"/>
    <x v="3"/>
    <n v="1045406.8740000001"/>
    <n v="104540.68740000001"/>
    <n v="1149947.5614"/>
  </r>
  <r>
    <x v="217"/>
    <s v="Nkiru"/>
    <s v="Tene"/>
    <x v="17"/>
    <x v="3"/>
    <s v="Fraud Control"/>
    <x v="1"/>
    <n v="2884664.602"/>
    <n v="288466.46020000003"/>
    <n v="3173131.0622"/>
  </r>
  <r>
    <x v="218"/>
    <s v="Shaibu"/>
    <s v="Aigbekaen"/>
    <x v="7"/>
    <x v="5"/>
    <s v="Analysis"/>
    <x v="2"/>
    <n v="4488517.4240000006"/>
    <n v="448851.7424000001"/>
    <n v="4937369.1664000005"/>
  </r>
  <r>
    <x v="219"/>
    <s v="Ben"/>
    <s v="Ogwuma"/>
    <x v="36"/>
    <x v="6"/>
    <s v="Call Center"/>
    <x v="2"/>
    <n v="5931946.1359999999"/>
    <n v="593194.61360000004"/>
    <n v="6525140.7495999997"/>
  </r>
  <r>
    <x v="220"/>
    <s v="Sokunbi"/>
    <s v="Usman"/>
    <x v="24"/>
    <x v="9"/>
    <s v="Training"/>
    <x v="5"/>
    <n v="5135278.9679999994"/>
    <n v="513527.89679999999"/>
    <n v="5648806.8647999996"/>
  </r>
  <r>
    <x v="221"/>
    <s v="Moyo"/>
    <s v="Chendo"/>
    <x v="36"/>
    <x v="9"/>
    <s v="Maintenance"/>
    <x v="5"/>
    <n v="5507144.352"/>
    <n v="550714.43520000007"/>
    <n v="6057858.7872000001"/>
  </r>
  <r>
    <x v="222"/>
    <s v="Luke"/>
    <s v="Yinka"/>
    <x v="13"/>
    <x v="7"/>
    <s v="Technical Design"/>
    <x v="1"/>
    <n v="725331.71199999994"/>
    <n v="36266.585599999999"/>
    <n v="761598.29759999993"/>
  </r>
  <r>
    <x v="223"/>
    <s v="Hansa"/>
    <s v="Dupe"/>
    <x v="21"/>
    <x v="2"/>
    <s v="Supplies"/>
    <x v="3"/>
    <n v="4647844.3279999997"/>
    <n v="464784.43280000001"/>
    <n v="5112628.7607999993"/>
  </r>
  <r>
    <x v="224"/>
    <s v="Clement"/>
    <s v="Samuel"/>
    <x v="25"/>
    <x v="1"/>
    <s v="Training &amp; Development"/>
    <x v="3"/>
    <n v="4969534.4000000004"/>
    <n v="496953.44000000006"/>
    <n v="5466487.8400000008"/>
  </r>
  <r>
    <x v="225"/>
    <s v="Folashade"/>
    <s v="Samson"/>
    <x v="21"/>
    <x v="1"/>
    <s v="Benefits Admin."/>
    <x v="1"/>
    <n v="1488602.308"/>
    <n v="148860.23079999999"/>
    <n v="1637462.5388"/>
  </r>
  <r>
    <x v="226"/>
    <s v="Edem"/>
    <s v="Adi"/>
    <x v="6"/>
    <x v="1"/>
    <s v="Payroll"/>
    <x v="5"/>
    <n v="2153147.6839999999"/>
    <n v="215314.7684"/>
    <n v="2368462.4523999998"/>
  </r>
  <r>
    <x v="227"/>
    <s v="Maria"/>
    <s v="Osho"/>
    <x v="22"/>
    <x v="3"/>
    <s v="Risk Management"/>
    <x v="5"/>
    <n v="906416.17599999998"/>
    <n v="45320.808799999999"/>
    <n v="951736.98479999998"/>
  </r>
  <r>
    <x v="228"/>
    <s v="Oludayo"/>
    <s v="Udoh"/>
    <x v="28"/>
    <x v="7"/>
    <s v="Maintenance"/>
    <x v="5"/>
    <n v="1432591.1660000002"/>
    <n v="143259.11660000004"/>
    <n v="1575850.2826000003"/>
  </r>
  <r>
    <x v="229"/>
    <s v="Moradeke"/>
    <s v="Akindele"/>
    <x v="23"/>
    <x v="2"/>
    <s v="MD's Office"/>
    <x v="0"/>
    <n v="3196588.2579999999"/>
    <n v="319658.82579999999"/>
    <n v="3516247.0838000001"/>
  </r>
  <r>
    <x v="230"/>
    <s v="Oluwagbenga"/>
    <s v="Olarenwaju"/>
    <x v="3"/>
    <x v="1"/>
    <s v="Training &amp; Development"/>
    <x v="0"/>
    <n v="2523983.4900000002"/>
    <n v="252398.34900000005"/>
    <n v="2776381.8390000002"/>
  </r>
  <r>
    <x v="231"/>
    <s v="Oyin"/>
    <s v="Alli"/>
    <x v="10"/>
    <x v="1"/>
    <s v="Benefits Admin."/>
    <x v="3"/>
    <n v="2741293.2420000001"/>
    <n v="274129.32420000003"/>
    <n v="3015422.5662000002"/>
  </r>
  <r>
    <x v="232"/>
    <s v="Praise"/>
    <s v="Adegbite"/>
    <x v="0"/>
    <x v="1"/>
    <s v="Payroll"/>
    <x v="1"/>
    <n v="5742990.0059999991"/>
    <n v="574299.00059999991"/>
    <n v="6317289.006599999"/>
  </r>
  <r>
    <x v="233"/>
    <s v="Lucky"/>
    <s v="Olukoga"/>
    <x v="25"/>
    <x v="9"/>
    <s v="Research"/>
    <x v="0"/>
    <n v="1076418.976"/>
    <n v="107641.89760000001"/>
    <n v="1184060.8736"/>
  </r>
  <r>
    <x v="234"/>
    <s v="Oluseyi"/>
    <s v="Ogundele"/>
    <x v="17"/>
    <x v="2"/>
    <s v="Expenditure"/>
    <x v="5"/>
    <n v="5269504.2240000004"/>
    <n v="526950.42240000004"/>
    <n v="5796454.6464000009"/>
  </r>
  <r>
    <x v="235"/>
    <s v="Olugbenga"/>
    <s v="Akinlade"/>
    <x v="32"/>
    <x v="8"/>
    <s v="Call Center"/>
    <x v="4"/>
    <n v="5380856.0580000002"/>
    <n v="538085.60580000002"/>
    <n v="5918941.6638000002"/>
  </r>
  <r>
    <x v="236"/>
    <s v="Ume"/>
    <s v="Ago"/>
    <x v="27"/>
    <x v="6"/>
    <s v="Courier"/>
    <x v="0"/>
    <n v="5969001.6159999995"/>
    <n v="596900.16159999999"/>
    <n v="6565901.7775999997"/>
  </r>
  <r>
    <x v="237"/>
    <s v="Phillip"/>
    <s v="Fasoro"/>
    <x v="0"/>
    <x v="1"/>
    <s v="Training &amp; Development"/>
    <x v="5"/>
    <n v="2461157.0779999997"/>
    <n v="246115.70779999997"/>
    <n v="2707272.7857999997"/>
  </r>
  <r>
    <x v="238"/>
    <s v="Stephanie"/>
    <s v="Akinsanya"/>
    <x v="15"/>
    <x v="4"/>
    <s v="Connectivity"/>
    <x v="5"/>
    <n v="617686.59199999995"/>
    <n v="30884.329599999997"/>
    <n v="648570.9216"/>
  </r>
  <r>
    <x v="239"/>
    <s v="Oghogho"/>
    <s v="Popoola"/>
    <x v="21"/>
    <x v="7"/>
    <s v="Planning"/>
    <x v="1"/>
    <n v="1210458.838"/>
    <n v="121045.88380000001"/>
    <n v="1331504.7217999999"/>
  </r>
  <r>
    <x v="240"/>
    <s v="Bukola"/>
    <s v="Ugbu"/>
    <x v="32"/>
    <x v="1"/>
    <s v="Benefits Admin."/>
    <x v="1"/>
    <n v="995568.53599999996"/>
    <n v="49778.426800000001"/>
    <n v="1045346.9628"/>
  </r>
  <r>
    <x v="241"/>
    <s v="Ebele"/>
    <s v="Umoh"/>
    <x v="35"/>
    <x v="2"/>
    <s v="Supplies"/>
    <x v="5"/>
    <n v="5969219.6579999998"/>
    <n v="596921.96580000001"/>
    <n v="6566141.6238000002"/>
  </r>
  <r>
    <x v="242"/>
    <s v="Akande"/>
    <s v="Oki"/>
    <x v="11"/>
    <x v="9"/>
    <s v="Training"/>
    <x v="0"/>
    <n v="4898847.9819999998"/>
    <n v="489884.79820000002"/>
    <n v="5388732.7801999999"/>
  </r>
  <r>
    <x v="243"/>
    <s v="David"/>
    <s v="Olorunnisola"/>
    <x v="17"/>
    <x v="9"/>
    <s v="Maintenance"/>
    <x v="2"/>
    <n v="2777968.6060000001"/>
    <n v="277796.86060000001"/>
    <n v="3055765.4665999999"/>
  </r>
  <r>
    <x v="244"/>
    <s v="Nuru"/>
    <s v="Oji"/>
    <x v="27"/>
    <x v="1"/>
    <s v="Payroll"/>
    <x v="0"/>
    <n v="2132526.9739999999"/>
    <n v="213252.6974"/>
    <n v="2345779.6713999999"/>
  </r>
  <r>
    <x v="245"/>
    <s v="Ladeinde"/>
    <s v="Akinloye"/>
    <x v="35"/>
    <x v="7"/>
    <s v="Technical Design"/>
    <x v="0"/>
    <n v="4815526.7879999997"/>
    <n v="481552.67879999999"/>
    <n v="5297079.4667999996"/>
  </r>
  <r>
    <x v="246"/>
    <s v="Ewere"/>
    <s v="Jimber"/>
    <x v="11"/>
    <x v="9"/>
    <s v="Research"/>
    <x v="4"/>
    <n v="5533851.5820000004"/>
    <n v="553385.15820000006"/>
    <n v="6087236.7402000008"/>
  </r>
  <r>
    <x v="247"/>
    <s v="Precious"/>
    <s v="Olodu"/>
    <x v="17"/>
    <x v="4"/>
    <s v="Business Application Support"/>
    <x v="0"/>
    <n v="4774677.1440000003"/>
    <n v="477467.71440000006"/>
    <n v="5252144.8584000003"/>
  </r>
  <r>
    <x v="248"/>
    <s v="Mirian"/>
    <s v="Okunubi"/>
    <x v="27"/>
    <x v="3"/>
    <s v="Compliance"/>
    <x v="0"/>
    <n v="2545482.1979999999"/>
    <n v="254548.21979999999"/>
    <n v="2800030.4177999999"/>
  </r>
  <r>
    <x v="249"/>
    <s v="Oyin"/>
    <s v="Seni"/>
    <x v="9"/>
    <x v="5"/>
    <s v="Design"/>
    <x v="0"/>
    <n v="2680233.3199999998"/>
    <n v="268023.33199999999"/>
    <n v="2948256.6519999998"/>
  </r>
  <r>
    <x v="250"/>
    <s v="Moji"/>
    <s v="Mgbeke"/>
    <x v="19"/>
    <x v="1"/>
    <s v="Training &amp; Development"/>
    <x v="1"/>
    <n v="4733134.8959999997"/>
    <n v="473313.48959999997"/>
    <n v="5206448.3855999997"/>
  </r>
  <r>
    <x v="251"/>
    <s v="Henrietta"/>
    <s v="Apena"/>
    <x v="5"/>
    <x v="4"/>
    <s v="Desktop Support"/>
    <x v="0"/>
    <n v="3562191.0559999999"/>
    <n v="356219.10560000001"/>
    <n v="3918410.1615999998"/>
  </r>
  <r>
    <x v="252"/>
    <s v="Isabu"/>
    <s v="Egwin"/>
    <x v="19"/>
    <x v="3"/>
    <s v="Fraud Control"/>
    <x v="3"/>
    <n v="860071.174"/>
    <n v="43003.558700000001"/>
    <n v="903074.73270000005"/>
  </r>
  <r>
    <x v="253"/>
    <s v="Preye"/>
    <s v="Olukoga"/>
    <x v="29"/>
    <x v="1"/>
    <s v="Benefits Admin."/>
    <x v="2"/>
    <n v="4476304.74"/>
    <n v="447630.47400000005"/>
    <n v="4923935.2140000006"/>
  </r>
  <r>
    <x v="254"/>
    <s v="Jeremiah"/>
    <s v="Jimoh"/>
    <x v="2"/>
    <x v="6"/>
    <s v="Logistics"/>
    <x v="3"/>
    <n v="3043940.202"/>
    <n v="304394.02020000003"/>
    <n v="3348334.2222000002"/>
  </r>
  <r>
    <x v="255"/>
    <s v="Eva"/>
    <s v="Adepoju"/>
    <x v="9"/>
    <x v="5"/>
    <s v="Planning &amp; Development"/>
    <x v="3"/>
    <n v="4183526.804"/>
    <n v="418352.68040000001"/>
    <n v="4601879.4844000004"/>
  </r>
  <r>
    <x v="256"/>
    <s v="Tunde"/>
    <s v="Arefo"/>
    <x v="21"/>
    <x v="2"/>
    <s v="MD's Office"/>
    <x v="0"/>
    <n v="4036305.3120000004"/>
    <n v="403630.53120000008"/>
    <n v="4439935.8432"/>
  </r>
  <r>
    <x v="257"/>
    <s v="Kayode"/>
    <s v="Michael"/>
    <x v="14"/>
    <x v="3"/>
    <s v="Risk Management"/>
    <x v="1"/>
    <n v="1752342.18"/>
    <n v="175234.21799999999"/>
    <n v="1927576.398"/>
  </r>
  <r>
    <x v="258"/>
    <s v="Soyibo"/>
    <s v="Ugbo"/>
    <x v="25"/>
    <x v="4"/>
    <s v="Connectivity"/>
    <x v="2"/>
    <n v="2053493.162"/>
    <n v="205349.3162"/>
    <n v="2258842.4781999998"/>
  </r>
  <r>
    <x v="259"/>
    <s v="Anthony"/>
    <s v="Awofeso"/>
    <x v="36"/>
    <x v="6"/>
    <s v="Call Center"/>
    <x v="1"/>
    <n v="2870350.7860000003"/>
    <n v="287035.07860000007"/>
    <n v="3157385.8646000004"/>
  </r>
  <r>
    <x v="260"/>
    <s v="Oluwatoyin"/>
    <s v="Ogunleye"/>
    <x v="8"/>
    <x v="1"/>
    <s v="Payroll"/>
    <x v="0"/>
    <n v="2512900.66"/>
    <n v="251290.06600000002"/>
    <n v="2764190.7260000003"/>
  </r>
  <r>
    <x v="261"/>
    <s v="Oluwasola"/>
    <s v="Oladipo"/>
    <x v="2"/>
    <x v="7"/>
    <s v="Maintenance"/>
    <x v="1"/>
    <n v="5013823.7439999999"/>
    <n v="501382.37440000003"/>
    <n v="5515206.1184"/>
  </r>
  <r>
    <x v="262"/>
    <s v="Idowu"/>
    <s v="Adekunle"/>
    <x v="34"/>
    <x v="1"/>
    <s v="Training &amp; Development"/>
    <x v="3"/>
    <n v="4717546.642"/>
    <n v="471754.6642"/>
    <n v="5189301.3061999995"/>
  </r>
  <r>
    <x v="263"/>
    <s v="Joseph"/>
    <s v="Chukwu"/>
    <x v="17"/>
    <x v="3"/>
    <s v="Compliance"/>
    <x v="5"/>
    <n v="5079591.9740000004"/>
    <n v="507959.19740000006"/>
    <n v="5587551.1714000003"/>
  </r>
  <r>
    <x v="264"/>
    <s v="Sunny"/>
    <s v="Olayeni"/>
    <x v="27"/>
    <x v="8"/>
    <s v="Social Media"/>
    <x v="2"/>
    <n v="3172120.9139999999"/>
    <n v="317212.09140000003"/>
    <n v="3489333.0054000001"/>
  </r>
  <r>
    <x v="265"/>
    <s v="Komolafe"/>
    <s v="Oiza"/>
    <x v="29"/>
    <x v="1"/>
    <s v="Benefits Admin."/>
    <x v="1"/>
    <n v="5484564.7620000001"/>
    <n v="548456.47620000003"/>
    <n v="6033021.2382000005"/>
  </r>
  <r>
    <x v="266"/>
    <s v="Adenagbe"/>
    <s v="Nwogwugwu"/>
    <x v="36"/>
    <x v="1"/>
    <s v="Payroll"/>
    <x v="3"/>
    <n v="860627.35599999991"/>
    <n v="43031.3678"/>
    <n v="903658.72379999992"/>
  </r>
  <r>
    <x v="267"/>
    <s v="Oluseyi"/>
    <s v="Gbadegesin"/>
    <x v="36"/>
    <x v="4"/>
    <s v="Business Application Support"/>
    <x v="4"/>
    <n v="3276918.662"/>
    <n v="327691.86620000005"/>
    <n v="3604610.5282000001"/>
  </r>
  <r>
    <x v="268"/>
    <s v="Dayo"/>
    <s v="Adeyemi"/>
    <x v="13"/>
    <x v="6"/>
    <s v="Courier"/>
    <x v="3"/>
    <n v="596409.424"/>
    <n v="29820.4712"/>
    <n v="626229.89520000003"/>
  </r>
  <r>
    <x v="269"/>
    <s v="Sola"/>
    <s v="Olorunwa"/>
    <x v="17"/>
    <x v="1"/>
    <s v="Training &amp; Development"/>
    <x v="0"/>
    <n v="1982445.284"/>
    <n v="198244.52840000001"/>
    <n v="2180689.8124000002"/>
  </r>
  <r>
    <x v="270"/>
    <s v="Missa"/>
    <s v="Popoola"/>
    <x v="17"/>
    <x v="1"/>
    <s v="Benefits Admin."/>
    <x v="5"/>
    <n v="3647209.946"/>
    <n v="364720.99460000003"/>
    <n v="4011930.9405999999"/>
  </r>
  <r>
    <x v="271"/>
    <s v="Tochukwu"/>
    <s v="Bamishigbin"/>
    <x v="19"/>
    <x v="8"/>
    <s v="Help Desk"/>
    <x v="4"/>
    <n v="706172"/>
    <n v="35308.6"/>
    <n v="741480.6"/>
  </r>
  <r>
    <x v="272"/>
    <s v="Olusegun"/>
    <s v="Ogunye"/>
    <x v="32"/>
    <x v="7"/>
    <s v="Planning"/>
    <x v="2"/>
    <n v="5075459.67"/>
    <n v="507545.967"/>
    <n v="5583005.6370000001"/>
  </r>
  <r>
    <x v="273"/>
    <s v="Yemi"/>
    <s v="Olamide"/>
    <x v="19"/>
    <x v="1"/>
    <s v="Payroll"/>
    <x v="5"/>
    <n v="2041407.5719999999"/>
    <n v="204140.75719999999"/>
    <n v="2245548.3292"/>
  </r>
  <r>
    <x v="274"/>
    <s v="Omotola"/>
    <s v="Jere"/>
    <x v="18"/>
    <x v="3"/>
    <s v="Fraud Control"/>
    <x v="1"/>
    <n v="2612114.4339999999"/>
    <n v="261211.44339999999"/>
    <n v="2873325.8773999996"/>
  </r>
  <r>
    <x v="275"/>
    <s v="Ibi"/>
    <s v="Ezeh"/>
    <x v="6"/>
    <x v="9"/>
    <s v="Training"/>
    <x v="2"/>
    <n v="3231301.2439999999"/>
    <n v="323130.12440000003"/>
    <n v="3554431.3684"/>
  </r>
  <r>
    <x v="276"/>
    <s v="Lola"/>
    <s v="Enemaku"/>
    <x v="34"/>
    <x v="7"/>
    <s v="Technical Design"/>
    <x v="0"/>
    <n v="5355117.7740000002"/>
    <n v="535511.77740000002"/>
    <n v="5890629.5514000002"/>
  </r>
  <r>
    <x v="277"/>
    <s v="Olakunle"/>
    <s v="Omeiza"/>
    <x v="0"/>
    <x v="7"/>
    <s v="Maintenance"/>
    <x v="3"/>
    <n v="3611392.7579999999"/>
    <n v="361139.2758"/>
    <n v="3972532.0337999999"/>
  </r>
  <r>
    <x v="278"/>
    <s v="Bimbo"/>
    <s v="Adeoluwa"/>
    <x v="1"/>
    <x v="6"/>
    <s v="Logistics"/>
    <x v="0"/>
    <n v="4551046.5059999991"/>
    <n v="455104.65059999994"/>
    <n v="5006151.1565999994"/>
  </r>
  <r>
    <x v="279"/>
    <s v="Apampa"/>
    <s v="Odu"/>
    <x v="2"/>
    <x v="9"/>
    <s v="Maintenance"/>
    <x v="4"/>
    <n v="5791739.2999999998"/>
    <n v="579173.93000000005"/>
    <n v="6370913.2299999995"/>
  </r>
  <r>
    <x v="280"/>
    <s v="Ted"/>
    <s v="Aromire"/>
    <x v="4"/>
    <x v="5"/>
    <s v="Analysis"/>
    <x v="1"/>
    <n v="5143199.6059999997"/>
    <n v="514319.96059999999"/>
    <n v="5657519.5665999996"/>
  </r>
  <r>
    <x v="281"/>
    <s v="Soyibo"/>
    <s v="Onyeka"/>
    <x v="7"/>
    <x v="2"/>
    <s v="Expenditure"/>
    <x v="0"/>
    <n v="1698092.8639999998"/>
    <n v="169809.28639999998"/>
    <n v="1867902.1503999997"/>
  </r>
  <r>
    <x v="282"/>
    <s v="Niyi"/>
    <s v="Inyang"/>
    <x v="0"/>
    <x v="2"/>
    <s v="Supplies"/>
    <x v="2"/>
    <n v="3280043.5420000004"/>
    <n v="328004.35420000006"/>
    <n v="3608047.8962000003"/>
  </r>
  <r>
    <x v="283"/>
    <s v="Adekunle"/>
    <s v="Oladipo"/>
    <x v="5"/>
    <x v="6"/>
    <s v="Call Center"/>
    <x v="5"/>
    <n v="2527030.2479999997"/>
    <n v="252703.02479999998"/>
    <n v="2779733.2727999995"/>
  </r>
  <r>
    <x v="284"/>
    <s v="Terry"/>
    <s v="Adekunle"/>
    <x v="9"/>
    <x v="1"/>
    <s v="Training &amp; Development"/>
    <x v="0"/>
    <n v="4462577.4220000003"/>
    <n v="446257.74220000004"/>
    <n v="4908835.1642000005"/>
  </r>
  <r>
    <x v="285"/>
    <s v="Sade"/>
    <s v="Nwaigbo"/>
    <x v="0"/>
    <x v="9"/>
    <s v="Research"/>
    <x v="5"/>
    <n v="5284921.0759999994"/>
    <n v="528492.10759999999"/>
    <n v="5813413.1835999992"/>
  </r>
  <r>
    <x v="286"/>
    <s v="Odekunle"/>
    <s v="Duace"/>
    <x v="7"/>
    <x v="9"/>
    <s v="Training"/>
    <x v="0"/>
    <n v="688855.73400000005"/>
    <n v="34442.786700000004"/>
    <n v="723298.52070000011"/>
  </r>
  <r>
    <x v="287"/>
    <s v="Titilope"/>
    <s v="Adewale"/>
    <x v="9"/>
    <x v="9"/>
    <s v="Maintenance"/>
    <x v="3"/>
    <n v="1730529.818"/>
    <n v="173052.98180000001"/>
    <n v="1903582.7997999999"/>
  </r>
  <r>
    <x v="288"/>
    <s v="Laide"/>
    <s v="Mazino"/>
    <x v="7"/>
    <x v="3"/>
    <s v="Risk Management"/>
    <x v="0"/>
    <n v="4088327.568"/>
    <n v="408832.75680000003"/>
    <n v="4497160.3247999996"/>
  </r>
  <r>
    <x v="289"/>
    <s v="Folashade"/>
    <s v="Olowe"/>
    <x v="14"/>
    <x v="3"/>
    <s v="Compliance"/>
    <x v="1"/>
    <n v="5750511.8720000004"/>
    <n v="575051.18720000004"/>
    <n v="6325563.0592"/>
  </r>
  <r>
    <x v="290"/>
    <s v="Kadiri"/>
    <s v="komi"/>
    <x v="0"/>
    <x v="1"/>
    <s v="Benefits Admin."/>
    <x v="0"/>
    <n v="4062991.554"/>
    <n v="406299.15540000005"/>
    <n v="4469290.7094000001"/>
  </r>
  <r>
    <x v="291"/>
    <s v="Chiga"/>
    <s v="Olusanya"/>
    <x v="0"/>
    <x v="3"/>
    <s v="Fraud Control"/>
    <x v="2"/>
    <n v="587653.93000000005"/>
    <n v="29382.696500000005"/>
    <n v="617036.62650000001"/>
  </r>
  <r>
    <x v="292"/>
    <s v="Chinyere"/>
    <s v="Balogun"/>
    <x v="3"/>
    <x v="5"/>
    <s v="Design"/>
    <x v="3"/>
    <n v="1293392.92"/>
    <n v="129339.292"/>
    <n v="1422732.2119999998"/>
  </r>
  <r>
    <x v="293"/>
    <s v="Adesanya"/>
    <s v="Asamah"/>
    <x v="7"/>
    <x v="5"/>
    <s v="Planning &amp; Development"/>
    <x v="0"/>
    <n v="987638.57"/>
    <n v="49381.928500000002"/>
    <n v="1037020.4985"/>
  </r>
  <r>
    <x v="294"/>
    <s v="Mojisola"/>
    <s v="Odiete"/>
    <x v="5"/>
    <x v="9"/>
    <s v="Research"/>
    <x v="1"/>
    <n v="5424003.8880000003"/>
    <n v="542400.38880000007"/>
    <n v="5966404.2768000001"/>
  </r>
  <r>
    <x v="295"/>
    <s v="Niyi"/>
    <s v="Erege"/>
    <x v="18"/>
    <x v="5"/>
    <s v="Analysis"/>
    <x v="5"/>
    <n v="4652469.8499999996"/>
    <n v="465246.98499999999"/>
    <n v="5117716.835"/>
  </r>
  <r>
    <x v="296"/>
    <s v="Eseosa"/>
    <s v="Okorocha"/>
    <x v="15"/>
    <x v="6"/>
    <s v="Courier"/>
    <x v="5"/>
    <n v="3274776.72"/>
    <n v="327477.67200000002"/>
    <n v="3602254.392"/>
  </r>
  <r>
    <x v="297"/>
    <s v="Ambrose"/>
    <s v="Ekhaguere"/>
    <x v="11"/>
    <x v="3"/>
    <s v="Risk Management"/>
    <x v="0"/>
    <n v="2976804.2539999997"/>
    <n v="297680.42540000001"/>
    <n v="3274484.6793999998"/>
  </r>
  <r>
    <x v="298"/>
    <s v="Oluwatosin"/>
    <s v="Effiong"/>
    <x v="6"/>
    <x v="1"/>
    <s v="Payroll"/>
    <x v="2"/>
    <n v="5195316.3080000002"/>
    <n v="519531.63080000004"/>
    <n v="5714847.9388000006"/>
  </r>
  <r>
    <x v="299"/>
    <s v="Sunday"/>
    <s v="Owokoniran"/>
    <x v="8"/>
    <x v="2"/>
    <s v="MD's Office"/>
    <x v="4"/>
    <n v="1907099.53"/>
    <n v="190709.95300000001"/>
    <n v="2097809.483"/>
  </r>
  <r>
    <x v="300"/>
    <s v="Gbenga"/>
    <s v="sokunbi"/>
    <x v="22"/>
    <x v="9"/>
    <s v="Training"/>
    <x v="5"/>
    <n v="2959335.2420000001"/>
    <n v="295933.52420000004"/>
    <n v="3255268.7662"/>
  </r>
  <r>
    <x v="301"/>
    <s v="Damilola"/>
    <s v="Okolio"/>
    <x v="28"/>
    <x v="1"/>
    <s v="Training &amp; Development"/>
    <x v="4"/>
    <n v="626523.70600000001"/>
    <n v="31326.185300000001"/>
    <n v="657849.89130000002"/>
  </r>
  <r>
    <x v="302"/>
    <s v="Bola"/>
    <s v="Aderinsola"/>
    <x v="1"/>
    <x v="1"/>
    <s v="Benefits Admin."/>
    <x v="2"/>
    <n v="4362279.2680000002"/>
    <n v="436227.92680000002"/>
    <n v="4798507.1948000006"/>
  </r>
  <r>
    <x v="303"/>
    <s v="Kingsley"/>
    <s v="Alabi"/>
    <x v="13"/>
    <x v="7"/>
    <s v="Planning"/>
    <x v="1"/>
    <n v="5522127.4520000005"/>
    <n v="552212.74520000012"/>
    <n v="6074340.1972000003"/>
  </r>
  <r>
    <x v="304"/>
    <s v="Ekpn"/>
    <s v="Akingbade"/>
    <x v="24"/>
    <x v="9"/>
    <s v="Maintenance"/>
    <x v="0"/>
    <n v="3635186.1540000001"/>
    <n v="363518.61540000001"/>
    <n v="3998704.7694000001"/>
  </r>
  <r>
    <x v="305"/>
    <s v="Eniola"/>
    <s v="Adetosoye"/>
    <x v="10"/>
    <x v="6"/>
    <s v="Logistics"/>
    <x v="0"/>
    <n v="4927376.5040000007"/>
    <n v="492737.6504000001"/>
    <n v="5420114.1544000003"/>
  </r>
  <r>
    <x v="306"/>
    <s v="Alex"/>
    <s v="Mbah"/>
    <x v="13"/>
    <x v="2"/>
    <s v="Expenditure"/>
    <x v="2"/>
    <n v="391304.19400000002"/>
    <n v="19565.209700000003"/>
    <n v="410869.40370000002"/>
  </r>
  <r>
    <x v="307"/>
    <s v="Olamide"/>
    <s v="Edikan"/>
    <x v="0"/>
    <x v="5"/>
    <s v="Design"/>
    <x v="5"/>
    <n v="3019186.0220000003"/>
    <n v="301918.60220000002"/>
    <n v="3321104.6242000004"/>
  </r>
  <r>
    <x v="308"/>
    <s v="Lee"/>
    <s v="Alli"/>
    <x v="25"/>
    <x v="9"/>
    <s v="Research"/>
    <x v="3"/>
    <n v="3471631.3339999998"/>
    <n v="347163.13339999999"/>
    <n v="3818794.4674"/>
  </r>
  <r>
    <x v="309"/>
    <s v="Chris"/>
    <s v="Adewunmi"/>
    <x v="17"/>
    <x v="5"/>
    <s v="Planning &amp; Development"/>
    <x v="0"/>
    <n v="1130604.162"/>
    <n v="113060.41620000001"/>
    <n v="1243664.5782000001"/>
  </r>
  <r>
    <x v="310"/>
    <s v="Blessing"/>
    <s v="Osho"/>
    <x v="32"/>
    <x v="9"/>
    <s v="Training"/>
    <x v="1"/>
    <n v="5317043.21"/>
    <n v="531704.321"/>
    <n v="5848747.5309999995"/>
  </r>
  <r>
    <x v="311"/>
    <s v="Uju"/>
    <s v="Akuro"/>
    <x v="31"/>
    <x v="1"/>
    <s v="Payroll"/>
    <x v="4"/>
    <n v="1646303.808"/>
    <n v="164630.38080000001"/>
    <n v="1810934.1887999999"/>
  </r>
  <r>
    <x v="312"/>
    <s v="David"/>
    <s v="Ahenjir"/>
    <x v="27"/>
    <x v="5"/>
    <s v="Analysis"/>
    <x v="0"/>
    <n v="3349783.1679999996"/>
    <n v="334978.31679999997"/>
    <n v="3684761.4847999997"/>
  </r>
  <r>
    <x v="313"/>
    <s v="Dan"/>
    <s v="Nwajei"/>
    <x v="0"/>
    <x v="3"/>
    <s v="Compliance"/>
    <x v="3"/>
    <n v="3082034.588"/>
    <n v="308203.45880000002"/>
    <n v="3390238.0468000001"/>
  </r>
  <r>
    <x v="314"/>
    <s v="Peter"/>
    <s v="Ogbuka"/>
    <x v="15"/>
    <x v="7"/>
    <s v="Technical Design"/>
    <x v="3"/>
    <n v="2574513.2660000003"/>
    <n v="257451.32660000003"/>
    <n v="2831964.5926000001"/>
  </r>
  <r>
    <x v="315"/>
    <s v="Kolawole"/>
    <s v="Nwosa"/>
    <x v="21"/>
    <x v="1"/>
    <s v="Training &amp; Development"/>
    <x v="5"/>
    <n v="3448555.0279999999"/>
    <n v="344855.50280000002"/>
    <n v="3793410.5307999998"/>
  </r>
  <r>
    <x v="316"/>
    <s v="Jibril"/>
    <s v="Megedu"/>
    <x v="32"/>
    <x v="6"/>
    <s v="Call Center"/>
    <x v="0"/>
    <n v="2659592.7879999997"/>
    <n v="265959.27879999997"/>
    <n v="2925552.0667999997"/>
  </r>
  <r>
    <x v="317"/>
    <s v="charles"/>
    <s v="Uzu"/>
    <x v="35"/>
    <x v="5"/>
    <s v="Design"/>
    <x v="2"/>
    <n v="5933632.1720000003"/>
    <n v="593363.21720000007"/>
    <n v="6526995.3892000001"/>
  </r>
  <r>
    <x v="318"/>
    <s v="Nkechi"/>
    <s v="Okwu"/>
    <x v="11"/>
    <x v="8"/>
    <s v="Call Center"/>
    <x v="5"/>
    <n v="5391987.8600000003"/>
    <n v="539198.78600000008"/>
    <n v="5931186.6460000006"/>
  </r>
  <r>
    <x v="319"/>
    <s v="Olarenwaju"/>
    <s v="Abisoye"/>
    <x v="17"/>
    <x v="1"/>
    <s v="Benefits Admin."/>
    <x v="0"/>
    <n v="3237027.47"/>
    <n v="323702.74700000003"/>
    <n v="3560730.2170000002"/>
  </r>
  <r>
    <x v="320"/>
    <s v="Kate"/>
    <s v="Adigwe"/>
    <x v="27"/>
    <x v="1"/>
    <s v="Payroll"/>
    <x v="3"/>
    <n v="2981926.4920000001"/>
    <n v="298192.64920000004"/>
    <n v="3280119.1412"/>
  </r>
  <r>
    <x v="321"/>
    <s v="Stephen"/>
    <s v="Amobi"/>
    <x v="35"/>
    <x v="9"/>
    <s v="Maintenance"/>
    <x v="5"/>
    <n v="2152143.7579999999"/>
    <n v="215214.37580000001"/>
    <n v="2367358.1338"/>
  </r>
  <r>
    <x v="322"/>
    <s v="Kayode"/>
    <s v="Olopo"/>
    <x v="27"/>
    <x v="1"/>
    <s v="Training &amp; Development"/>
    <x v="1"/>
    <n v="2461881.1639999999"/>
    <n v="246188.1164"/>
    <n v="2708069.2804"/>
  </r>
  <r>
    <x v="323"/>
    <s v="Nana"/>
    <s v="Mbanefo"/>
    <x v="9"/>
    <x v="1"/>
    <s v="Benefits Admin."/>
    <x v="5"/>
    <n v="5371385.8059999999"/>
    <n v="537138.58059999999"/>
    <n v="5908524.3865999999"/>
  </r>
  <r>
    <x v="324"/>
    <s v="Zachariah"/>
    <s v="Onwu"/>
    <x v="19"/>
    <x v="4"/>
    <s v="Desktop Support"/>
    <x v="2"/>
    <n v="1430705.7439999999"/>
    <n v="143070.57440000001"/>
    <n v="1573776.3184"/>
  </r>
  <r>
    <x v="325"/>
    <s v="John"/>
    <s v="Tochu"/>
    <x v="5"/>
    <x v="8"/>
    <s v="Social Media"/>
    <x v="0"/>
    <n v="2248294.4500000002"/>
    <n v="224829.44500000004"/>
    <n v="2473123.895"/>
  </r>
  <r>
    <x v="326"/>
    <s v="Suleimon"/>
    <s v="Owolabi"/>
    <x v="19"/>
    <x v="4"/>
    <s v="Connectivity"/>
    <x v="4"/>
    <n v="5830205.6399999997"/>
    <n v="583020.56400000001"/>
    <n v="6413226.2039999999"/>
  </r>
  <r>
    <x v="327"/>
    <s v="Lawrence"/>
    <s v="Yesu"/>
    <x v="29"/>
    <x v="9"/>
    <s v="Research"/>
    <x v="1"/>
    <n v="1998876.5560000001"/>
    <n v="199887.65560000003"/>
    <n v="2198764.2116"/>
  </r>
  <r>
    <x v="328"/>
    <s v="Olusesan"/>
    <s v="Akwe"/>
    <x v="2"/>
    <x v="4"/>
    <s v="Business Application Support"/>
    <x v="5"/>
    <n v="1263043.1060000001"/>
    <n v="126304.31060000003"/>
    <n v="1389347.4166000001"/>
  </r>
  <r>
    <x v="329"/>
    <s v="Bosun"/>
    <s v="Jete"/>
    <x v="9"/>
    <x v="3"/>
    <s v="Fraud Control"/>
    <x v="1"/>
    <n v="1336986.162"/>
    <n v="133698.61620000002"/>
    <n v="1470684.7782000001"/>
  </r>
  <r>
    <x v="330"/>
    <s v="Sam"/>
    <s v="Ramalan"/>
    <x v="21"/>
    <x v="7"/>
    <s v="Maintenance"/>
    <x v="0"/>
    <n v="749051.65"/>
    <n v="37452.582500000004"/>
    <n v="786504.23250000004"/>
  </r>
  <r>
    <x v="331"/>
    <s v="Yusuf"/>
    <s v="Akinruli"/>
    <x v="14"/>
    <x v="5"/>
    <s v="Planning &amp; Development"/>
    <x v="4"/>
    <n v="5564400.7820000006"/>
    <n v="556440.07820000011"/>
    <n v="6120840.8602000009"/>
  </r>
  <r>
    <x v="332"/>
    <s v="Aminu"/>
    <s v="Mulua"/>
    <x v="25"/>
    <x v="8"/>
    <s v="Help Desk"/>
    <x v="3"/>
    <n v="3263400.0579999997"/>
    <n v="326340.00579999998"/>
    <n v="3589740.0637999997"/>
  </r>
  <r>
    <x v="333"/>
    <s v="Oluwabusola"/>
    <s v="Ogunmola"/>
    <x v="36"/>
    <x v="6"/>
    <s v="Courier"/>
    <x v="2"/>
    <n v="1371573.22"/>
    <n v="137157.32200000001"/>
    <n v="1508730.5419999999"/>
  </r>
  <r>
    <x v="334"/>
    <s v="Abraham"/>
    <s v="Aba"/>
    <x v="8"/>
    <x v="2"/>
    <s v="Supplies"/>
    <x v="4"/>
    <n v="2932629.1779999998"/>
    <n v="293262.9178"/>
    <n v="3225892.0957999998"/>
  </r>
  <r>
    <x v="335"/>
    <s v="Hamzat"/>
    <s v="Lawal"/>
    <x v="2"/>
    <x v="4"/>
    <s v="Desktop Support"/>
    <x v="0"/>
    <n v="2045971.2960000001"/>
    <n v="204597.12960000001"/>
    <n v="2250568.4256000002"/>
  </r>
  <r>
    <x v="336"/>
    <s v="Bernard"/>
    <s v="Abubakar"/>
    <x v="34"/>
    <x v="1"/>
    <s v="Payroll"/>
    <x v="0"/>
    <n v="5869123.2220000001"/>
    <n v="586912.32220000005"/>
    <n v="6456035.5442000004"/>
  </r>
  <r>
    <x v="337"/>
    <s v="Ahmed"/>
    <s v="Abe"/>
    <x v="17"/>
    <x v="7"/>
    <s v="Planning"/>
    <x v="5"/>
    <n v="3178277.3939999999"/>
    <n v="317827.73940000002"/>
    <n v="3496105.1333999997"/>
  </r>
  <r>
    <x v="338"/>
    <s v="Olufunke"/>
    <s v="Kogi"/>
    <x v="27"/>
    <x v="2"/>
    <s v="MD's Office"/>
    <x v="5"/>
    <n v="4623972.8099999996"/>
    <n v="462397.28099999996"/>
    <n v="5086370.091"/>
  </r>
  <r>
    <x v="339"/>
    <s v="Olajumoke"/>
    <s v="Mikhail"/>
    <x v="12"/>
    <x v="2"/>
    <s v="Expenditure"/>
    <x v="0"/>
    <n v="1338451.8239999998"/>
    <n v="133845.18239999999"/>
    <n v="1472297.0063999998"/>
  </r>
  <r>
    <x v="340"/>
    <s v="Philip"/>
    <s v="Nwobo"/>
    <x v="7"/>
    <x v="1"/>
    <s v="Training &amp; Development"/>
    <x v="3"/>
    <n v="4268621.4840000002"/>
    <n v="426862.14840000006"/>
    <n v="4695483.6324000005"/>
  </r>
  <r>
    <x v="341"/>
    <s v="Kayode"/>
    <s v="Abubakar"/>
    <x v="29"/>
    <x v="1"/>
    <s v="Benefits Admin."/>
    <x v="1"/>
    <n v="4419027.3220000006"/>
    <n v="441902.73220000009"/>
    <n v="4860930.0542000011"/>
  </r>
  <r>
    <x v="342"/>
    <s v="Adeniyi"/>
    <s v="Sulu"/>
    <x v="36"/>
    <x v="2"/>
    <s v="Supplies"/>
    <x v="3"/>
    <n v="3329469.1159999999"/>
    <n v="332946.91159999999"/>
    <n v="3662416.0275999997"/>
  </r>
  <r>
    <x v="343"/>
    <s v="Toyin"/>
    <s v="Dere"/>
    <x v="24"/>
    <x v="2"/>
    <s v="MD's Office"/>
    <x v="1"/>
    <n v="3096287.7720000003"/>
    <n v="309628.77720000007"/>
    <n v="3405916.5492000002"/>
  </r>
  <r>
    <x v="344"/>
    <s v="Chimezie"/>
    <s v="Kuma"/>
    <x v="36"/>
    <x v="1"/>
    <s v="Payroll"/>
    <x v="5"/>
    <n v="3287383.5120000001"/>
    <n v="328738.35120000003"/>
    <n v="3616121.8632"/>
  </r>
  <r>
    <x v="345"/>
    <s v="Seun"/>
    <s v="Akintayo"/>
    <x v="13"/>
    <x v="4"/>
    <s v="Connectivity"/>
    <x v="3"/>
    <n v="1116394.1200000001"/>
    <n v="111639.41200000001"/>
    <n v="1228033.5320000001"/>
  </r>
  <r>
    <x v="346"/>
    <s v="Tina"/>
    <s v="Atekoja"/>
    <x v="17"/>
    <x v="5"/>
    <s v="Analysis"/>
    <x v="2"/>
    <n v="3580348.0079999999"/>
    <n v="358034.80080000003"/>
    <n v="3938382.8087999998"/>
  </r>
  <r>
    <x v="347"/>
    <s v="Adebola"/>
    <s v="Omikunle"/>
    <x v="17"/>
    <x v="1"/>
    <s v="Training &amp; Development"/>
    <x v="1"/>
    <n v="5924224.8840000005"/>
    <n v="592422.48840000003"/>
    <n v="6516647.3724000007"/>
  </r>
  <r>
    <x v="348"/>
    <s v="Sekeenat"/>
    <s v="Nwabueze"/>
    <x v="9"/>
    <x v="8"/>
    <s v="Call Center"/>
    <x v="1"/>
    <n v="4166372.6120000002"/>
    <n v="416637.26120000007"/>
    <n v="4583009.8732000003"/>
  </r>
  <r>
    <x v="349"/>
    <s v="Adeniyi"/>
    <s v="Omole"/>
    <x v="19"/>
    <x v="6"/>
    <s v="Logistics"/>
    <x v="4"/>
    <n v="4176212.486"/>
    <n v="417621.24860000005"/>
    <n v="4593833.7346000001"/>
  </r>
  <r>
    <x v="350"/>
    <s v="Peter"/>
    <s v="Mbagwu"/>
    <x v="32"/>
    <x v="1"/>
    <s v="Benefits Admin."/>
    <x v="0"/>
    <n v="5927425.5540000005"/>
    <n v="592742.55540000007"/>
    <n v="6520168.1094000004"/>
  </r>
  <r>
    <x v="351"/>
    <s v="Ademola"/>
    <s v="Adegbayi"/>
    <x v="19"/>
    <x v="9"/>
    <s v="Training"/>
    <x v="0"/>
    <n v="2558565.8840000001"/>
    <n v="255856.58840000001"/>
    <n v="2814422.4724000003"/>
  </r>
  <r>
    <x v="352"/>
    <s v="Lasisi"/>
    <s v="Bakare"/>
    <x v="2"/>
    <x v="4"/>
    <s v="Business Application Support"/>
    <x v="1"/>
    <n v="3498863.264"/>
    <n v="349886.32640000002"/>
    <n v="3848749.5904000001"/>
  </r>
  <r>
    <x v="353"/>
    <s v="Aderonke"/>
    <s v="Ajayi"/>
    <x v="27"/>
    <x v="1"/>
    <s v="Payroll"/>
    <x v="1"/>
    <n v="2563565.6920000003"/>
    <n v="256356.56920000003"/>
    <n v="2819922.2612000005"/>
  </r>
  <r>
    <x v="354"/>
    <s v="Femi"/>
    <s v="Shodipe"/>
    <x v="18"/>
    <x v="3"/>
    <s v="Risk Management"/>
    <x v="3"/>
    <n v="1054269.6399999999"/>
    <n v="105426.96399999999"/>
    <n v="1159696.6039999998"/>
  </r>
  <r>
    <x v="355"/>
    <s v="funmi"/>
    <s v="Giwa"/>
    <x v="14"/>
    <x v="1"/>
    <s v="Training &amp; Development"/>
    <x v="2"/>
    <n v="5788108.3759999992"/>
    <n v="578810.83759999997"/>
    <n v="6366919.2135999994"/>
  </r>
  <r>
    <x v="356"/>
    <s v="Oluranti"/>
    <s v="Musibau"/>
    <x v="3"/>
    <x v="6"/>
    <s v="Call Center"/>
    <x v="2"/>
    <n v="5878120.0779999997"/>
    <n v="587812.00780000002"/>
    <n v="6465932.0857999995"/>
  </r>
  <r>
    <x v="357"/>
    <s v="Akeem"/>
    <s v="Adedokun"/>
    <x v="18"/>
    <x v="2"/>
    <s v="Expenditure"/>
    <x v="5"/>
    <n v="1371307.372"/>
    <n v="137130.7372"/>
    <n v="1508438.1092000001"/>
  </r>
  <r>
    <x v="358"/>
    <s v="Lumme"/>
    <s v="Ajayi"/>
    <x v="6"/>
    <x v="9"/>
    <s v="Maintenance"/>
    <x v="1"/>
    <n v="2976021.8679999998"/>
    <n v="297602.18679999997"/>
    <n v="3273624.0547999996"/>
  </r>
  <r>
    <x v="359"/>
    <s v="Ummis"/>
    <s v="Oluyao"/>
    <x v="34"/>
    <x v="6"/>
    <s v="Courier"/>
    <x v="4"/>
    <n v="5608434.7719999999"/>
    <n v="560843.47719999996"/>
    <n v="6169278.2491999995"/>
  </r>
  <r>
    <x v="360"/>
    <s v="Babayo"/>
    <s v="Owolabi"/>
    <x v="0"/>
    <x v="8"/>
    <s v="Social Media"/>
    <x v="5"/>
    <n v="3275661.7139999997"/>
    <n v="327566.17139999999"/>
    <n v="3603227.8853999996"/>
  </r>
  <r>
    <x v="361"/>
    <s v="feyisayo"/>
    <s v="Adedeji"/>
    <x v="1"/>
    <x v="5"/>
    <s v="Design"/>
    <x v="4"/>
    <n v="949628.13599999994"/>
    <n v="47481.406799999997"/>
    <n v="997109.54279999994"/>
  </r>
  <r>
    <x v="362"/>
    <s v="Osasere"/>
    <s v="Ekene"/>
    <x v="2"/>
    <x v="1"/>
    <s v="Benefits Admin."/>
    <x v="0"/>
    <n v="3937810.96"/>
    <n v="393781.09600000002"/>
    <n v="4331592.0559999999"/>
  </r>
  <r>
    <x v="363"/>
    <s v="adewunmi"/>
    <s v="Ilu"/>
    <x v="4"/>
    <x v="4"/>
    <s v="Desktop Support"/>
    <x v="5"/>
    <n v="3888745.68"/>
    <n v="388874.56800000003"/>
    <n v="4277620.2480000006"/>
  </r>
  <r>
    <x v="364"/>
    <s v="Moses"/>
    <s v="Umar"/>
    <x v="2"/>
    <x v="3"/>
    <s v="Compliance"/>
    <x v="0"/>
    <n v="4722945.2220000001"/>
    <n v="472294.52220000001"/>
    <n v="5195239.7442000005"/>
  </r>
  <r>
    <x v="365"/>
    <s v="Femi"/>
    <s v="Emuhare"/>
    <x v="7"/>
    <x v="2"/>
    <s v="Supplies"/>
    <x v="0"/>
    <n v="3224027.736"/>
    <n v="322402.77360000001"/>
    <n v="3546430.5096"/>
  </r>
  <r>
    <x v="366"/>
    <s v="Uyi"/>
    <s v="Solanke"/>
    <x v="0"/>
    <x v="7"/>
    <s v="Technical Design"/>
    <x v="5"/>
    <n v="4563080.7920000004"/>
    <n v="456308.07920000004"/>
    <n v="5019388.8712000009"/>
  </r>
  <r>
    <x v="367"/>
    <s v="Olusoji"/>
    <s v="Uzoegbie"/>
    <x v="5"/>
    <x v="4"/>
    <s v="Connectivity"/>
    <x v="0"/>
    <n v="1970233.7660000001"/>
    <n v="197023.37660000002"/>
    <n v="2167257.1425999999"/>
  </r>
  <r>
    <x v="368"/>
    <s v="Omoike"/>
    <s v="Balogun"/>
    <x v="9"/>
    <x v="7"/>
    <s v="Maintenance"/>
    <x v="0"/>
    <n v="493379.33199999999"/>
    <n v="24668.9666"/>
    <n v="518048.29859999998"/>
  </r>
  <r>
    <x v="369"/>
    <s v="Taiwo"/>
    <s v="Onaghise"/>
    <x v="7"/>
    <x v="1"/>
    <s v="Payroll"/>
    <x v="3"/>
    <n v="2291508.7420000001"/>
    <n v="229150.87420000002"/>
    <n v="2520659.6162"/>
  </r>
  <r>
    <x v="370"/>
    <s v="Abraham"/>
    <s v="Obasanya"/>
    <x v="9"/>
    <x v="8"/>
    <s v="Help Desk"/>
    <x v="0"/>
    <n v="2337002.5639999998"/>
    <n v="233700.25639999998"/>
    <n v="2570702.8203999996"/>
  </r>
  <r>
    <x v="371"/>
    <s v="Lawrence"/>
    <s v="Ehimare"/>
    <x v="7"/>
    <x v="9"/>
    <s v="Research"/>
    <x v="2"/>
    <n v="2657600.094"/>
    <n v="265760.00940000004"/>
    <n v="2923360.1033999999"/>
  </r>
  <r>
    <x v="372"/>
    <s v="Joseph"/>
    <s v="Isaac"/>
    <x v="14"/>
    <x v="1"/>
    <s v="Training &amp; Development"/>
    <x v="1"/>
    <n v="5876202.0079999994"/>
    <n v="587620.20079999999"/>
    <n v="6463822.2087999992"/>
  </r>
  <r>
    <x v="373"/>
    <s v="Mbomo"/>
    <s v="Ogundipe"/>
    <x v="0"/>
    <x v="6"/>
    <s v="Logistics"/>
    <x v="5"/>
    <n v="3491883.588"/>
    <n v="349188.35880000005"/>
    <n v="3841071.9468"/>
  </r>
  <r>
    <x v="374"/>
    <s v="Monday"/>
    <s v="Uwaifo"/>
    <x v="9"/>
    <x v="7"/>
    <s v="Planning"/>
    <x v="0"/>
    <n v="3098633.764"/>
    <n v="309863.37640000001"/>
    <n v="3408497.1403999999"/>
  </r>
  <r>
    <x v="375"/>
    <s v="Abdulwahab"/>
    <s v="Mordi"/>
    <x v="0"/>
    <x v="1"/>
    <s v="Benefits Admin."/>
    <x v="3"/>
    <n v="5306571.3640000001"/>
    <n v="530657.13640000008"/>
    <n v="5837228.5004000003"/>
  </r>
  <r>
    <x v="376"/>
    <s v="omotola"/>
    <s v="Ugo"/>
    <x v="3"/>
    <x v="7"/>
    <s v="Technical Design"/>
    <x v="2"/>
    <n v="3508899.0260000001"/>
    <n v="350889.90260000003"/>
    <n v="3859788.9286000002"/>
  </r>
  <r>
    <x v="377"/>
    <s v="Obumneme"/>
    <s v="Ogboalo"/>
    <x v="5"/>
    <x v="4"/>
    <s v="Business Application Support"/>
    <x v="3"/>
    <n v="674805.43400000001"/>
    <n v="33740.271700000005"/>
    <n v="708545.70570000005"/>
  </r>
  <r>
    <x v="378"/>
    <s v="Martins"/>
    <s v="Omole"/>
    <x v="18"/>
    <x v="1"/>
    <s v="Payroll"/>
    <x v="0"/>
    <n v="5061134.1940000001"/>
    <n v="506113.41940000001"/>
    <n v="5567247.6134000001"/>
  </r>
  <r>
    <x v="379"/>
    <s v="Ajibola"/>
    <s v="Ikwumelu"/>
    <x v="16"/>
    <x v="1"/>
    <s v="Training &amp; Development"/>
    <x v="5"/>
    <n v="1729929.328"/>
    <n v="172992.93280000001"/>
    <n v="1902922.2608"/>
  </r>
  <r>
    <x v="380"/>
    <s v="Chioma"/>
    <s v="Olowu"/>
    <x v="5"/>
    <x v="8"/>
    <s v="Call Center"/>
    <x v="3"/>
    <n v="5582726.8040000005"/>
    <n v="558272.68040000007"/>
    <n v="6140999.4844000004"/>
  </r>
  <r>
    <x v="381"/>
    <s v="Godson"/>
    <s v="Saliu"/>
    <x v="11"/>
    <x v="9"/>
    <s v="Training"/>
    <x v="0"/>
    <n v="665362"/>
    <n v="33268.1"/>
    <n v="698630.1"/>
  </r>
  <r>
    <x v="382"/>
    <s v="Gloria"/>
    <s v="Abumwenre"/>
    <x v="28"/>
    <x v="2"/>
    <s v="MD's Office"/>
    <x v="3"/>
    <n v="5793884.7400000002"/>
    <n v="579388.47400000005"/>
    <n v="6373273.2140000006"/>
  </r>
  <r>
    <x v="383"/>
    <s v="Francis"/>
    <s v="Ibitola"/>
    <x v="23"/>
    <x v="6"/>
    <s v="Call Center"/>
    <x v="0"/>
    <n v="1285121.3160000001"/>
    <n v="128512.13160000002"/>
    <n v="1413633.4476000001"/>
  </r>
  <r>
    <x v="384"/>
    <s v="Bamidele"/>
    <s v="Ukandu"/>
    <x v="3"/>
    <x v="3"/>
    <s v="Fraud Control"/>
    <x v="5"/>
    <n v="2576456.9879999999"/>
    <n v="257645.69880000001"/>
    <n v="2834102.6867999998"/>
  </r>
  <r>
    <x v="385"/>
    <s v="Uchenna"/>
    <s v="Agu"/>
    <x v="1"/>
    <x v="2"/>
    <s v="Expenditure"/>
    <x v="1"/>
    <n v="4380672.9179999996"/>
    <n v="438067.29180000001"/>
    <n v="4818740.2097999994"/>
  </r>
  <r>
    <x v="386"/>
    <s v="Emeledoh"/>
    <s v="Emmanuel"/>
    <x v="10"/>
    <x v="1"/>
    <s v="Benefits Admin."/>
    <x v="5"/>
    <n v="5690974.7459999993"/>
    <n v="569097.47459999996"/>
    <n v="6260072.2205999997"/>
  </r>
  <r>
    <x v="387"/>
    <s v="Danladi"/>
    <s v="Okoye"/>
    <x v="30"/>
    <x v="1"/>
    <s v="Payroll"/>
    <x v="0"/>
    <n v="5554844.2459999993"/>
    <n v="555484.42459999991"/>
    <n v="6110328.6705999989"/>
  </r>
  <r>
    <x v="388"/>
    <s v="Akenobo"/>
    <s v="Egelube"/>
    <x v="13"/>
    <x v="8"/>
    <s v="Social Media"/>
    <x v="1"/>
    <n v="4653936.6779999994"/>
    <n v="465393.66779999994"/>
    <n v="5119330.3457999993"/>
  </r>
  <r>
    <x v="389"/>
    <s v="Victoria"/>
    <s v="Akachukwu"/>
    <x v="0"/>
    <x v="6"/>
    <s v="Courier"/>
    <x v="3"/>
    <n v="2861672.2479999997"/>
    <n v="286167.22479999997"/>
    <n v="3147839.4727999996"/>
  </r>
  <r>
    <x v="390"/>
    <s v="John"/>
    <s v="Teinilajela"/>
    <x v="25"/>
    <x v="3"/>
    <s v="Risk Management"/>
    <x v="5"/>
    <n v="1935851.9239999999"/>
    <n v="193585.1924"/>
    <n v="2129437.1163999997"/>
  </r>
  <r>
    <x v="391"/>
    <s v="Henrietta"/>
    <s v="Hamza"/>
    <x v="17"/>
    <x v="7"/>
    <s v="Maintenance"/>
    <x v="4"/>
    <n v="2032020.1060000001"/>
    <n v="203202.01060000004"/>
    <n v="2235222.1166000003"/>
  </r>
  <r>
    <x v="392"/>
    <s v="Akachukwu"/>
    <s v="Bello"/>
    <x v="31"/>
    <x v="9"/>
    <s v="Maintenance"/>
    <x v="3"/>
    <n v="3425142.9139999999"/>
    <n v="342514.29139999999"/>
    <n v="3767657.2053999999"/>
  </r>
  <r>
    <x v="393"/>
    <s v="Nnanna"/>
    <s v="Onyia"/>
    <x v="27"/>
    <x v="2"/>
    <s v="Supplies"/>
    <x v="5"/>
    <n v="841212.29"/>
    <n v="42060.614500000003"/>
    <n v="883272.90450000006"/>
  </r>
  <r>
    <x v="394"/>
    <s v="Cynthia"/>
    <s v="Achigbue"/>
    <x v="15"/>
    <x v="2"/>
    <s v="MD's Office"/>
    <x v="1"/>
    <n v="5605480.1279999996"/>
    <n v="560548.01280000003"/>
    <n v="6166028.1407999992"/>
  </r>
  <r>
    <x v="395"/>
    <s v="Cookey"/>
    <s v="Igwe"/>
    <x v="23"/>
    <x v="1"/>
    <s v="Training &amp; Development"/>
    <x v="0"/>
    <n v="3183522.0620000004"/>
    <n v="318352.20620000007"/>
    <n v="3501874.2682000003"/>
  </r>
  <r>
    <x v="396"/>
    <s v="Sefi"/>
    <s v="Aminu"/>
    <x v="3"/>
    <x v="1"/>
    <s v="Benefits Admin."/>
    <x v="2"/>
    <n v="5158882.3059999999"/>
    <n v="515888.23060000001"/>
    <n v="5674770.5366000002"/>
  </r>
  <r>
    <x v="397"/>
    <s v="A"/>
    <s v="Kurah"/>
    <x v="1"/>
    <x v="2"/>
    <s v="Expenditure"/>
    <x v="0"/>
    <n v="4730541.7120000003"/>
    <n v="473054.17120000004"/>
    <n v="5203595.8832"/>
  </r>
  <r>
    <x v="398"/>
    <s v="Peter"/>
    <s v="Ugwuowo"/>
    <x v="13"/>
    <x v="1"/>
    <s v="Payroll"/>
    <x v="4"/>
    <n v="4041618.7739999997"/>
    <n v="404161.8774"/>
    <n v="4445780.6513999999"/>
  </r>
  <r>
    <x v="399"/>
    <s v="John"/>
    <s v="Adoibi"/>
    <x v="24"/>
    <x v="5"/>
    <s v="Planning &amp; Development"/>
    <x v="5"/>
    <n v="2570998.9420000003"/>
    <n v="257099.89420000004"/>
    <n v="2828098.8362000003"/>
  </r>
  <r>
    <x v="400"/>
    <s v="Audu"/>
    <s v="Ojika"/>
    <x v="30"/>
    <x v="1"/>
    <s v="Training &amp; Development"/>
    <x v="2"/>
    <n v="2999611.2139999997"/>
    <n v="299961.1214"/>
    <n v="3299572.3353999997"/>
  </r>
  <r>
    <x v="401"/>
    <s v="Friday"/>
    <s v="Eronmene"/>
    <x v="13"/>
    <x v="8"/>
    <s v="Help Desk"/>
    <x v="5"/>
    <n v="811583.06400000001"/>
    <n v="40579.153200000001"/>
    <n v="852162.21720000007"/>
  </r>
  <r>
    <x v="402"/>
    <s v="Unity"/>
    <s v="Onyia"/>
    <x v="0"/>
    <x v="6"/>
    <s v="Logistics"/>
    <x v="1"/>
    <n v="5649146.8279999997"/>
    <n v="564914.68279999995"/>
    <n v="6214061.5107999993"/>
  </r>
  <r>
    <x v="403"/>
    <s v="Chidozie"/>
    <s v="Lemmy-Johnson"/>
    <x v="25"/>
    <x v="6"/>
    <s v="Call Center"/>
    <x v="5"/>
    <n v="2226110.1340000001"/>
    <n v="222611.01340000003"/>
    <n v="2448721.1474000001"/>
  </r>
  <r>
    <x v="404"/>
    <s v="Bob-Manuel"/>
    <s v="Shedrach"/>
    <x v="17"/>
    <x v="3"/>
    <s v="Compliance"/>
    <x v="0"/>
    <n v="3808282.352"/>
    <n v="380828.2352"/>
    <n v="4189110.5872"/>
  </r>
  <r>
    <x v="405"/>
    <s v="Ahmed"/>
    <s v="Daniel"/>
    <x v="32"/>
    <x v="1"/>
    <s v="Benefits Admin."/>
    <x v="4"/>
    <n v="3108390.852"/>
    <n v="310839.08520000003"/>
    <n v="3419229.9372"/>
  </r>
  <r>
    <x v="406"/>
    <s v="Oreoluwa"/>
    <s v="Ivongbe"/>
    <x v="31"/>
    <x v="9"/>
    <s v="Research"/>
    <x v="1"/>
    <n v="3178856.8960000002"/>
    <n v="317885.68960000004"/>
    <n v="3496742.5856000003"/>
  </r>
  <r>
    <x v="407"/>
    <s v="Ogbodu"/>
    <s v="Garba"/>
    <x v="15"/>
    <x v="2"/>
    <s v="Supplies"/>
    <x v="1"/>
    <n v="5518460.3820000002"/>
    <n v="551846.03820000007"/>
    <n v="6070306.4202000005"/>
  </r>
  <r>
    <x v="408"/>
    <s v="Nwachukwu"/>
    <s v="Igwe"/>
    <x v="35"/>
    <x v="6"/>
    <s v="Courier"/>
    <x v="0"/>
    <n v="5308343.6840000004"/>
    <n v="530834.36840000004"/>
    <n v="5839178.0524000004"/>
  </r>
  <r>
    <x v="409"/>
    <s v="Victoria"/>
    <s v="Oghenetesiri"/>
    <x v="11"/>
    <x v="5"/>
    <s v="Analysis"/>
    <x v="0"/>
    <n v="1128234.8500000001"/>
    <n v="112823.48500000002"/>
    <n v="1241058.3350000002"/>
  </r>
  <r>
    <x v="410"/>
    <s v="Cynthia"/>
    <s v="Ibiam"/>
    <x v="17"/>
    <x v="2"/>
    <s v="MD's Office"/>
    <x v="2"/>
    <n v="1888230.152"/>
    <n v="188823.01520000002"/>
    <n v="2077053.1672"/>
  </r>
  <r>
    <x v="411"/>
    <s v="Daniel"/>
    <s v="Awanife"/>
    <x v="27"/>
    <x v="6"/>
    <s v="Logistics"/>
    <x v="3"/>
    <n v="3037292.8360000001"/>
    <n v="303729.28360000002"/>
    <n v="3341022.1196000003"/>
  </r>
  <r>
    <x v="412"/>
    <s v="Akachukwu"/>
    <s v="Obichukwu"/>
    <x v="35"/>
    <x v="5"/>
    <s v="Design"/>
    <x v="3"/>
    <n v="4775543.4819999998"/>
    <n v="477554.34820000001"/>
    <n v="5253097.8301999997"/>
  </r>
  <r>
    <x v="413"/>
    <s v="Johnson"/>
    <s v="Bello"/>
    <x v="11"/>
    <x v="4"/>
    <s v="Desktop Support"/>
    <x v="1"/>
    <n v="5172402.0759999994"/>
    <n v="517240.20759999997"/>
    <n v="5689642.2835999997"/>
  </r>
  <r>
    <x v="414"/>
    <s v="Ann"/>
    <s v="Friday"/>
    <x v="27"/>
    <x v="1"/>
    <s v="Payroll"/>
    <x v="5"/>
    <n v="1477744.5160000001"/>
    <n v="147774.4516"/>
    <n v="1625518.9676000001"/>
  </r>
  <r>
    <x v="415"/>
    <s v="Libaratu"/>
    <s v="Ibiam"/>
    <x v="9"/>
    <x v="3"/>
    <s v="Fraud Control"/>
    <x v="0"/>
    <n v="5476861"/>
    <n v="547686.1"/>
    <n v="6024547.0999999996"/>
  </r>
  <r>
    <x v="416"/>
    <s v="Danladi"/>
    <s v="Ikpa"/>
    <x v="19"/>
    <x v="1"/>
    <s v="Training &amp; Development"/>
    <x v="0"/>
    <n v="4276675.0460000001"/>
    <n v="427667.50460000004"/>
    <n v="4704342.5505999997"/>
  </r>
  <r>
    <x v="417"/>
    <s v="David"/>
    <s v="Morphy"/>
    <x v="5"/>
    <x v="8"/>
    <s v="Call Center"/>
    <x v="1"/>
    <n v="3875601.3620000002"/>
    <n v="387560.13620000007"/>
    <n v="4263161.4982000003"/>
  </r>
  <r>
    <x v="418"/>
    <s v="Moses"/>
    <s v="Ochonma"/>
    <x v="19"/>
    <x v="9"/>
    <s v="Training"/>
    <x v="3"/>
    <n v="2494334.4420000003"/>
    <n v="249433.44420000003"/>
    <n v="2743767.8862000005"/>
  </r>
  <r>
    <x v="419"/>
    <s v="Francis"/>
    <s v="Isa"/>
    <x v="29"/>
    <x v="7"/>
    <s v="Planning"/>
    <x v="2"/>
    <n v="2757913.406"/>
    <n v="275791.3406"/>
    <n v="3033704.7466000002"/>
  </r>
  <r>
    <x v="420"/>
    <s v="Adelaja"/>
    <s v="Hamza"/>
    <x v="2"/>
    <x v="9"/>
    <s v="Maintenance"/>
    <x v="0"/>
    <n v="5829159.7379999999"/>
    <n v="582915.97380000004"/>
    <n v="6412075.7117999997"/>
  </r>
  <r>
    <x v="421"/>
    <s v="Emmanuel"/>
    <s v="Mamman"/>
    <x v="9"/>
    <x v="4"/>
    <s v="Connectivity"/>
    <x v="5"/>
    <n v="4765050.648"/>
    <n v="476505.06480000005"/>
    <n v="5241555.7127999999"/>
  </r>
  <r>
    <x v="422"/>
    <s v="Rosemary"/>
    <s v="Prince"/>
    <x v="21"/>
    <x v="7"/>
    <s v="Technical Design"/>
    <x v="4"/>
    <n v="4927620.1979999999"/>
    <n v="492762.01980000001"/>
    <n v="5420382.2177999998"/>
  </r>
  <r>
    <x v="423"/>
    <s v="Oghenetejiri"/>
    <s v="Ohagulike"/>
    <x v="14"/>
    <x v="2"/>
    <s v="Expenditure"/>
    <x v="0"/>
    <n v="5455134.9220000003"/>
    <n v="545513.4922000001"/>
    <n v="6000648.4142000005"/>
  </r>
  <r>
    <x v="424"/>
    <s v="Cynthia"/>
    <s v="Omonsegho"/>
    <x v="25"/>
    <x v="7"/>
    <s v="Maintenance"/>
    <x v="5"/>
    <n v="554977.946"/>
    <n v="27748.897300000001"/>
    <n v="582726.84329999995"/>
  </r>
  <r>
    <x v="425"/>
    <s v="Iyabode"/>
    <s v="Okpechi"/>
    <x v="36"/>
    <x v="1"/>
    <s v="Benefits Admin."/>
    <x v="3"/>
    <n v="2638785.5179999997"/>
    <n v="263878.55179999996"/>
    <n v="2902664.0697999997"/>
  </r>
  <r>
    <x v="426"/>
    <s v="Victoria"/>
    <s v="Nimyel"/>
    <x v="8"/>
    <x v="5"/>
    <s v="Planning &amp; Development"/>
    <x v="1"/>
    <n v="1025879.872"/>
    <n v="102587.9872"/>
    <n v="1128467.8592000001"/>
  </r>
  <r>
    <x v="427"/>
    <s v="Danladi"/>
    <s v="Ogbodu"/>
    <x v="2"/>
    <x v="1"/>
    <s v="Payroll"/>
    <x v="1"/>
    <n v="1572249.9819999998"/>
    <n v="157224.9982"/>
    <n v="1729474.9801999999"/>
  </r>
  <r>
    <x v="428"/>
    <s v="Sefi"/>
    <s v="Kurah"/>
    <x v="34"/>
    <x v="1"/>
    <s v="Training &amp; Development"/>
    <x v="5"/>
    <n v="5163734.0320000006"/>
    <n v="516373.40320000006"/>
    <n v="5680107.4352000002"/>
  </r>
  <r>
    <x v="429"/>
    <s v="Effiong"/>
    <s v="Bello"/>
    <x v="27"/>
    <x v="7"/>
    <s v="Planning"/>
    <x v="0"/>
    <n v="3194452.1460000002"/>
    <n v="319445.21460000006"/>
    <n v="3513897.3606000002"/>
  </r>
  <r>
    <x v="430"/>
    <s v="Oluwakemi"/>
    <s v="Hamza"/>
    <x v="12"/>
    <x v="1"/>
    <s v="Benefits Admin."/>
    <x v="0"/>
    <n v="2069391.5719999999"/>
    <n v="206939.15720000002"/>
    <n v="2276330.7291999999"/>
  </r>
  <r>
    <x v="431"/>
    <s v="Rosemary"/>
    <s v="Abubakar"/>
    <x v="7"/>
    <x v="4"/>
    <s v="Business Application Support"/>
    <x v="1"/>
    <n v="5735672.1900000004"/>
    <n v="573567.21900000004"/>
    <n v="6309239.409"/>
  </r>
  <r>
    <x v="432"/>
    <s v="Ugochukwu"/>
    <s v="Nzemeke"/>
    <x v="29"/>
    <x v="2"/>
    <s v="Supplies"/>
    <x v="3"/>
    <n v="4591623.3059999999"/>
    <n v="459162.33059999999"/>
    <n v="5050785.6365999999"/>
  </r>
  <r>
    <x v="433"/>
    <s v="Folari-Babatunde"/>
    <s v="Ejehiwease"/>
    <x v="36"/>
    <x v="1"/>
    <s v="Payroll"/>
    <x v="3"/>
    <n v="3991892.372"/>
    <n v="399189.23720000003"/>
    <n v="4391081.6091999998"/>
  </r>
  <r>
    <x v="434"/>
    <s v="Kalu"/>
    <s v="Ogunrotimi"/>
    <x v="24"/>
    <x v="6"/>
    <s v="Call Center"/>
    <x v="1"/>
    <n v="4631016.6159999995"/>
    <n v="463101.66159999999"/>
    <n v="5094118.2775999997"/>
  </r>
  <r>
    <x v="435"/>
    <s v="Phillips"/>
    <s v="Okafor"/>
    <x v="0"/>
    <x v="8"/>
    <s v="Social Media"/>
    <x v="0"/>
    <n v="810143.054"/>
    <n v="40507.152700000006"/>
    <n v="850650.20669999998"/>
  </r>
  <r>
    <x v="436"/>
    <s v="Igwe"/>
    <s v="Uwanaka"/>
    <x v="1"/>
    <x v="7"/>
    <s v="Technical Design"/>
    <x v="3"/>
    <n v="488791.12200000003"/>
    <n v="24439.556100000002"/>
    <n v="513230.67810000002"/>
  </r>
  <r>
    <x v="437"/>
    <s v="Isabelle"/>
    <s v="Chukwu"/>
    <x v="2"/>
    <x v="5"/>
    <s v="Analysis"/>
    <x v="5"/>
    <n v="4934886.71"/>
    <n v="493488.67100000003"/>
    <n v="5428375.3810000001"/>
  </r>
  <r>
    <x v="438"/>
    <s v="Oluwasegun"/>
    <s v="Tobias"/>
    <x v="7"/>
    <x v="1"/>
    <s v="Training &amp; Development"/>
    <x v="1"/>
    <n v="2518569.7520000003"/>
    <n v="251856.97520000004"/>
    <n v="2770426.7272000005"/>
  </r>
  <r>
    <x v="439"/>
    <s v="Funto"/>
    <s v="Woko"/>
    <x v="0"/>
    <x v="6"/>
    <s v="Courier"/>
    <x v="5"/>
    <n v="3276182.9160000002"/>
    <n v="327618.29160000006"/>
    <n v="3603801.2076000003"/>
  </r>
  <r>
    <x v="440"/>
    <s v="Toyin"/>
    <s v="Dika"/>
    <x v="5"/>
    <x v="7"/>
    <s v="Maintenance"/>
    <x v="1"/>
    <n v="4918605.852"/>
    <n v="491860.58520000003"/>
    <n v="5410466.4371999996"/>
  </r>
  <r>
    <x v="441"/>
    <s v="Francis"/>
    <s v="Lasserre"/>
    <x v="9"/>
    <x v="3"/>
    <s v="Risk Management"/>
    <x v="2"/>
    <n v="833751.05599999998"/>
    <n v="41687.552800000005"/>
    <n v="875438.60880000005"/>
  </r>
  <r>
    <x v="442"/>
    <s v="Onohnosen"/>
    <s v="Aborisade"/>
    <x v="0"/>
    <x v="5"/>
    <s v="Design"/>
    <x v="0"/>
    <n v="5848422.0580000002"/>
    <n v="584842.2058"/>
    <n v="6433264.2637999998"/>
  </r>
  <r>
    <x v="443"/>
    <s v="Luis"/>
    <s v="Oyefodun"/>
    <x v="7"/>
    <x v="2"/>
    <s v="MD's Office"/>
    <x v="1"/>
    <n v="2438863.1579999998"/>
    <n v="243886.31579999998"/>
    <n v="2682749.4737999998"/>
  </r>
  <r>
    <x v="444"/>
    <s v="Collins"/>
    <s v="Ike"/>
    <x v="9"/>
    <x v="8"/>
    <s v="Help Desk"/>
    <x v="1"/>
    <n v="2439927.716"/>
    <n v="243992.77160000001"/>
    <n v="2683920.4876000001"/>
  </r>
  <r>
    <x v="445"/>
    <s v="Sikiru"/>
    <s v="Oshare"/>
    <x v="7"/>
    <x v="4"/>
    <s v="Desktop Support"/>
    <x v="0"/>
    <n v="2615682.3939999999"/>
    <n v="261568.23939999999"/>
    <n v="2877250.6333999997"/>
  </r>
  <r>
    <x v="446"/>
    <s v="Christian"/>
    <s v="Ebore"/>
    <x v="14"/>
    <x v="6"/>
    <s v="Logistics"/>
    <x v="1"/>
    <n v="1970896.054"/>
    <n v="197089.6054"/>
    <n v="2167985.6594000002"/>
  </r>
  <r>
    <x v="447"/>
    <s v="Ewuola"/>
    <s v="Martinez"/>
    <x v="0"/>
    <x v="1"/>
    <s v="Benefits Admin."/>
    <x v="5"/>
    <n v="5611830.1640000008"/>
    <n v="561183.01640000008"/>
    <n v="6173013.1804000009"/>
  </r>
  <r>
    <x v="448"/>
    <s v="Tina"/>
    <s v="Fabiyi"/>
    <x v="9"/>
    <x v="2"/>
    <s v="Expenditure"/>
    <x v="3"/>
    <n v="3823347.0720000002"/>
    <n v="382334.70720000006"/>
    <n v="4205681.7792000007"/>
  </r>
  <r>
    <x v="449"/>
    <s v="Uchenna"/>
    <s v="Musa"/>
    <x v="0"/>
    <x v="2"/>
    <s v="Supplies"/>
    <x v="0"/>
    <n v="2468283.67"/>
    <n v="246828.367"/>
    <n v="2715112.037"/>
  </r>
  <r>
    <x v="450"/>
    <s v="Uche"/>
    <s v="Uchegbu"/>
    <x v="3"/>
    <x v="5"/>
    <s v="Planning &amp; Development"/>
    <x v="3"/>
    <n v="1677686.6980000001"/>
    <n v="167768.66980000003"/>
    <n v="1845455.3678000001"/>
  </r>
  <r>
    <x v="451"/>
    <s v="Collins"/>
    <s v="Ajibayo"/>
    <x v="7"/>
    <x v="7"/>
    <s v="Planning"/>
    <x v="5"/>
    <n v="2456678.4720000001"/>
    <n v="245667.84720000002"/>
    <n v="2702346.3192000003"/>
  </r>
  <r>
    <x v="452"/>
    <s v="Peter"/>
    <s v="Okoye"/>
    <x v="18"/>
    <x v="1"/>
    <s v="Payroll"/>
    <x v="1"/>
    <n v="1275428.358"/>
    <n v="127542.8358"/>
    <n v="1402971.1938"/>
  </r>
  <r>
    <x v="453"/>
    <s v="Chinedu"/>
    <s v="Nneoma"/>
    <x v="15"/>
    <x v="2"/>
    <s v="MD's Office"/>
    <x v="5"/>
    <n v="1938824.058"/>
    <n v="193882.40580000001"/>
    <n v="2132706.4638"/>
  </r>
  <r>
    <x v="454"/>
    <s v="Bovi"/>
    <s v="Ozoemena"/>
    <x v="18"/>
    <x v="2"/>
    <s v="Expenditure"/>
    <x v="5"/>
    <n v="2137761.148"/>
    <n v="213776.11480000001"/>
    <n v="2351537.2628000001"/>
  </r>
  <r>
    <x v="455"/>
    <s v="Christopher"/>
    <s v="Utulor"/>
    <x v="16"/>
    <x v="1"/>
    <s v="Training &amp; Development"/>
    <x v="0"/>
    <n v="1631183.12"/>
    <n v="163118.31200000003"/>
    <n v="1794301.432"/>
  </r>
  <r>
    <x v="456"/>
    <s v="Olufunmilayo"/>
    <s v="Eronmene"/>
    <x v="5"/>
    <x v="1"/>
    <s v="Benefits Admin."/>
    <x v="1"/>
    <n v="2931535.47"/>
    <n v="293153.54700000002"/>
    <n v="3224689.017"/>
  </r>
  <r>
    <x v="457"/>
    <s v="Doris"/>
    <s v="Udebuwu"/>
    <x v="11"/>
    <x v="1"/>
    <s v="Payroll"/>
    <x v="2"/>
    <n v="1256609.118"/>
    <n v="125660.9118"/>
    <n v="1382270.0298000001"/>
  </r>
  <r>
    <x v="458"/>
    <s v="Margaret"/>
    <s v="Mbah"/>
    <x v="12"/>
    <x v="3"/>
    <s v="Compliance"/>
    <x v="4"/>
    <n v="3558834.142"/>
    <n v="355883.4142"/>
    <n v="3914717.5562"/>
  </r>
  <r>
    <x v="459"/>
    <s v="Grateful"/>
    <s v="Olomolatan"/>
    <x v="3"/>
    <x v="4"/>
    <s v="Connectivity"/>
    <x v="1"/>
    <n v="5564445.0899999999"/>
    <n v="556444.50899999996"/>
    <n v="6120889.5989999995"/>
  </r>
  <r>
    <x v="460"/>
    <s v="Angela"/>
    <s v="Azeke"/>
    <x v="1"/>
    <x v="4"/>
    <s v="Business Application Support"/>
    <x v="2"/>
    <n v="550881.78799999994"/>
    <n v="27544.089399999997"/>
    <n v="578425.87739999988"/>
  </r>
  <r>
    <x v="461"/>
    <s v="Angela"/>
    <s v="Moses"/>
    <x v="21"/>
    <x v="9"/>
    <s v="Research"/>
    <x v="5"/>
    <n v="4339162.1519999998"/>
    <n v="433916.21519999998"/>
    <n v="4773078.3672000002"/>
  </r>
  <r>
    <x v="462"/>
    <s v="Uche"/>
    <s v="Lawson"/>
    <x v="25"/>
    <x v="2"/>
    <s v="Supplies"/>
    <x v="0"/>
    <n v="5424999.6519999998"/>
    <n v="542499.96519999998"/>
    <n v="5967499.6172000002"/>
  </r>
  <r>
    <x v="463"/>
    <s v="Philomena"/>
    <s v="Ajewole"/>
    <x v="21"/>
    <x v="7"/>
    <s v="Technical Design"/>
    <x v="0"/>
    <n v="2527518.8020000001"/>
    <n v="252751.88020000001"/>
    <n v="2780270.6822000002"/>
  </r>
  <r>
    <x v="464"/>
    <s v="Daniel"/>
    <s v="Okoyomo"/>
    <x v="26"/>
    <x v="5"/>
    <s v="Analysis"/>
    <x v="1"/>
    <n v="2197453.352"/>
    <n v="219745.3352"/>
    <n v="2417198.6872"/>
  </r>
  <r>
    <x v="465"/>
    <s v="Kalu"/>
    <s v="Oghenejode"/>
    <x v="6"/>
    <x v="1"/>
    <s v="Training &amp; Development"/>
    <x v="0"/>
    <n v="1733605.726"/>
    <n v="173360.57260000001"/>
    <n v="1906966.2986000001"/>
  </r>
  <r>
    <x v="466"/>
    <s v="Nkechi"/>
    <s v="Matthew"/>
    <x v="8"/>
    <x v="2"/>
    <s v="MD's Office"/>
    <x v="0"/>
    <n v="5425724.9040000001"/>
    <n v="542572.49040000001"/>
    <n v="5968297.3944000006"/>
  </r>
  <r>
    <x v="467"/>
    <s v="Peter"/>
    <s v="Obasi"/>
    <x v="22"/>
    <x v="9"/>
    <s v="Training"/>
    <x v="5"/>
    <n v="3756180.8079999997"/>
    <n v="375618.0808"/>
    <n v="4131798.8887999998"/>
  </r>
  <r>
    <x v="468"/>
    <s v="Funmilola"/>
    <s v="Dents"/>
    <x v="28"/>
    <x v="1"/>
    <s v="Benefits Admin."/>
    <x v="3"/>
    <n v="5262954.8020000001"/>
    <n v="526295.48019999999"/>
    <n v="5789250.2822000002"/>
  </r>
  <r>
    <x v="469"/>
    <s v="Kingsley"/>
    <s v="Ume"/>
    <x v="23"/>
    <x v="1"/>
    <s v="Payroll"/>
    <x v="1"/>
    <n v="2106768.8680000002"/>
    <n v="210676.88680000004"/>
    <n v="2317445.7548000002"/>
  </r>
  <r>
    <x v="470"/>
    <s v="Matilda"/>
    <s v="Ilorah"/>
    <x v="3"/>
    <x v="6"/>
    <s v="Call Center"/>
    <x v="0"/>
    <n v="464688.73599999998"/>
    <n v="23234.436799999999"/>
    <n v="487923.1728"/>
  </r>
  <r>
    <x v="471"/>
    <s v="Ekelemu"/>
    <s v="Bufazi"/>
    <x v="1"/>
    <x v="1"/>
    <s v="Training &amp; Development"/>
    <x v="3"/>
    <n v="4252762.7179999994"/>
    <n v="425276.27179999999"/>
    <n v="4678038.9897999996"/>
  </r>
  <r>
    <x v="472"/>
    <s v="Ibinabo"/>
    <s v="Shobowale"/>
    <x v="13"/>
    <x v="1"/>
    <s v="Benefits Admin."/>
    <x v="0"/>
    <n v="5534161.7379999999"/>
    <n v="553416.17379999999"/>
    <n v="6087577.9117999999"/>
  </r>
  <r>
    <x v="473"/>
    <s v="Ngozi"/>
    <s v="Oribaabor"/>
    <x v="10"/>
    <x v="8"/>
    <s v="Call Center"/>
    <x v="2"/>
    <n v="1520094.8019999999"/>
    <n v="152009.48019999999"/>
    <n v="1672104.2821999998"/>
  </r>
  <r>
    <x v="474"/>
    <s v="Ambrose"/>
    <s v="Ono"/>
    <x v="30"/>
    <x v="8"/>
    <s v="Social Media"/>
    <x v="0"/>
    <n v="1941226.0180000002"/>
    <n v="194122.60180000003"/>
    <n v="2135348.6198"/>
  </r>
  <r>
    <x v="475"/>
    <s v="Muhammed"/>
    <s v="Oyibo"/>
    <x v="13"/>
    <x v="9"/>
    <s v="Maintenance"/>
    <x v="0"/>
    <n v="659659.09400000004"/>
    <n v="32982.954700000002"/>
    <n v="692642.04870000004"/>
  </r>
  <r>
    <x v="476"/>
    <s v="Pauline"/>
    <s v="Aniagboro"/>
    <x v="0"/>
    <x v="2"/>
    <s v="Expenditure"/>
    <x v="2"/>
    <n v="4154207.7339999997"/>
    <n v="415420.77340000001"/>
    <n v="4569628.5073999995"/>
  </r>
  <r>
    <x v="477"/>
    <s v="Tobias"/>
    <s v="Samuel"/>
    <x v="25"/>
    <x v="1"/>
    <s v="Payroll"/>
    <x v="5"/>
    <n v="1447819.1260000002"/>
    <n v="144781.91260000001"/>
    <n v="1592601.0386000001"/>
  </r>
  <r>
    <x v="478"/>
    <s v="Olanrewaju"/>
    <s v="Pepple"/>
    <x v="32"/>
    <x v="1"/>
    <s v="Training &amp; Development"/>
    <x v="5"/>
    <n v="2320231.986"/>
    <n v="232023.1986"/>
    <n v="2552255.1846000003"/>
  </r>
  <r>
    <x v="479"/>
    <s v="Rosemary"/>
    <s v="Igwe"/>
    <x v="31"/>
    <x v="1"/>
    <s v="Benefits Admin."/>
    <x v="0"/>
    <n v="2261330.33"/>
    <n v="226133.03300000002"/>
    <n v="2487463.3629999999"/>
  </r>
  <r>
    <x v="480"/>
    <s v="Rosemary"/>
    <s v="Udenyi"/>
    <x v="27"/>
    <x v="1"/>
    <s v="Payroll"/>
    <x v="0"/>
    <n v="4240786.7319999998"/>
    <n v="424078.67320000002"/>
    <n v="4664865.4051999999"/>
  </r>
  <r>
    <x v="481"/>
    <s v="Cecilia"/>
    <s v="Bello"/>
    <x v="0"/>
    <x v="1"/>
    <s v="Training &amp; Development"/>
    <x v="2"/>
    <n v="3526645.5460000001"/>
    <n v="352664.55460000003"/>
    <n v="3879310.1006"/>
  </r>
  <r>
    <x v="482"/>
    <s v="Stella"/>
    <s v="Xia"/>
    <x v="15"/>
    <x v="2"/>
    <s v="Supplies"/>
    <x v="4"/>
    <n v="3824242.56"/>
    <n v="382424.25600000005"/>
    <n v="4206666.8159999996"/>
  </r>
  <r>
    <x v="483"/>
    <s v="Patrick"/>
    <s v="Nimyel"/>
    <x v="21"/>
    <x v="6"/>
    <s v="Courier"/>
    <x v="1"/>
    <n v="1304029.172"/>
    <n v="130402.91720000001"/>
    <n v="1434432.0892"/>
  </r>
  <r>
    <x v="484"/>
    <s v="Wilson"/>
    <s v="Ukazim"/>
    <x v="32"/>
    <x v="8"/>
    <s v="Help Desk"/>
    <x v="3"/>
    <n v="2820701.34"/>
    <n v="282070.13400000002"/>
    <n v="3102771.4739999999"/>
  </r>
  <r>
    <x v="485"/>
    <s v="Adetiloye"/>
    <s v="Keno"/>
    <x v="18"/>
    <x v="3"/>
    <s v="Fraud Control"/>
    <x v="2"/>
    <n v="4998712.3840000005"/>
    <n v="499871.23840000009"/>
    <n v="5498583.6224000007"/>
  </r>
  <r>
    <x v="486"/>
    <s v="Godwin"/>
    <s v="Ugbaja"/>
    <x v="16"/>
    <x v="8"/>
    <s v="Call Center"/>
    <x v="1"/>
    <n v="2069672.578"/>
    <n v="206967.25780000002"/>
    <n v="2276639.8358"/>
  </r>
  <r>
    <x v="487"/>
    <s v="Nnamdi"/>
    <s v="Alabere"/>
    <x v="11"/>
    <x v="5"/>
    <s v="Design"/>
    <x v="5"/>
    <n v="1025608.194"/>
    <n v="102560.81940000001"/>
    <n v="1128169.0134000001"/>
  </r>
  <r>
    <x v="488"/>
    <s v="Nanya"/>
    <s v="Bami"/>
    <x v="18"/>
    <x v="9"/>
    <s v="Research"/>
    <x v="0"/>
    <n v="4067408.3620000002"/>
    <n v="406740.83620000002"/>
    <n v="4474149.1982000005"/>
  </r>
  <r>
    <x v="489"/>
    <s v="Thompson"/>
    <s v="Woha"/>
    <x v="12"/>
    <x v="7"/>
    <s v="Maintenance"/>
    <x v="3"/>
    <n v="1140370.578"/>
    <n v="114037.05780000001"/>
    <n v="1254407.6358"/>
  </r>
  <r>
    <x v="490"/>
    <s v="Tochukwu"/>
    <s v="Ani"/>
    <x v="3"/>
    <x v="8"/>
    <s v="Social Media"/>
    <x v="3"/>
    <n v="436660.42799999996"/>
    <n v="21833.021399999998"/>
    <n v="458493.44939999992"/>
  </r>
  <r>
    <x v="491"/>
    <s v="Eyitayo"/>
    <s v="Ikeanyi"/>
    <x v="1"/>
    <x v="2"/>
    <s v="MD's Office"/>
    <x v="2"/>
    <n v="4241648.4060000004"/>
    <n v="424164.84060000005"/>
    <n v="4665813.2466000002"/>
  </r>
  <r>
    <x v="492"/>
    <s v="Oyeyemi"/>
    <s v="Chidi"/>
    <x v="21"/>
    <x v="5"/>
    <s v="Planning &amp; Development"/>
    <x v="1"/>
    <n v="2774354.0060000001"/>
    <n v="277435.40059999999"/>
    <n v="3051789.4065999999"/>
  </r>
  <r>
    <x v="493"/>
    <s v="Iyi"/>
    <s v="Nwajinba"/>
    <x v="25"/>
    <x v="1"/>
    <s v="Benefits Admin."/>
    <x v="4"/>
    <n v="5501755.0999999996"/>
    <n v="550175.51"/>
    <n v="6051930.6099999994"/>
  </r>
  <r>
    <x v="494"/>
    <s v="Akintola"/>
    <s v="Anozie"/>
    <x v="21"/>
    <x v="5"/>
    <s v="Analysis"/>
    <x v="0"/>
    <n v="1419819.9680000001"/>
    <n v="141981.99680000002"/>
    <n v="1561801.9648000002"/>
  </r>
  <r>
    <x v="495"/>
    <s v="Eseosa"/>
    <s v="Orifowomo"/>
    <x v="26"/>
    <x v="8"/>
    <s v="Help Desk"/>
    <x v="0"/>
    <n v="4893968.2719999999"/>
    <n v="489396.8272"/>
    <n v="5383365.0992000001"/>
  </r>
  <r>
    <x v="496"/>
    <s v="Ayodele"/>
    <s v="Adefesobi"/>
    <x v="6"/>
    <x v="2"/>
    <s v="Expenditure"/>
    <x v="4"/>
    <n v="3802251.8"/>
    <n v="380225.18"/>
    <n v="4182476.98"/>
  </r>
  <r>
    <x v="497"/>
    <s v="Tosin"/>
    <s v="Runsewe"/>
    <x v="8"/>
    <x v="8"/>
    <s v="Call Center"/>
    <x v="5"/>
    <n v="4478390.7140000006"/>
    <n v="447839.07140000007"/>
    <n v="4926229.7854000004"/>
  </r>
  <r>
    <x v="498"/>
    <s v="Abdulsalami"/>
    <s v="Olatunde"/>
    <x v="22"/>
    <x v="5"/>
    <s v="Design"/>
    <x v="1"/>
    <n v="835685.45"/>
    <n v="41784.272499999999"/>
    <n v="877469.72249999992"/>
  </r>
  <r>
    <x v="499"/>
    <s v="Tayo"/>
    <s v="Ekhaguere"/>
    <x v="28"/>
    <x v="6"/>
    <s v="Logistics"/>
    <x v="2"/>
    <n v="1015252.9480000001"/>
    <n v="101525.29480000002"/>
    <n v="1116778.2428000001"/>
  </r>
  <r>
    <x v="500"/>
    <s v="Oladapo"/>
    <s v="Allu"/>
    <x v="23"/>
    <x v="5"/>
    <s v="Planning &amp; Development"/>
    <x v="2"/>
    <n v="2690773.96"/>
    <n v="269077.39600000001"/>
    <n v="2959851.3560000001"/>
  </r>
  <r>
    <x v="501"/>
    <s v="Peters"/>
    <s v="Faniro-Dada"/>
    <x v="3"/>
    <x v="1"/>
    <s v="Payroll"/>
    <x v="2"/>
    <n v="3012663.4179999996"/>
    <n v="301266.34179999999"/>
    <n v="3313929.7597999997"/>
  </r>
  <r>
    <x v="502"/>
    <s v="Cheta"/>
    <s v="Makanjuola"/>
    <x v="13"/>
    <x v="1"/>
    <s v="Training &amp; Development"/>
    <x v="4"/>
    <n v="2841812.9360000002"/>
    <n v="284181.29360000003"/>
    <n v="3125994.2296000002"/>
  </r>
  <r>
    <x v="503"/>
    <s v="Abosede"/>
    <s v="Erikitola"/>
    <x v="24"/>
    <x v="2"/>
    <s v="Supplies"/>
    <x v="5"/>
    <n v="5271236.9000000004"/>
    <n v="527123.69000000006"/>
    <n v="5798360.5900000008"/>
  </r>
  <r>
    <x v="504"/>
    <s v="Anthony"/>
    <s v="Oluwaseun"/>
    <x v="10"/>
    <x v="1"/>
    <s v="Benefits Admin."/>
    <x v="5"/>
    <n v="2602870.3859999999"/>
    <n v="260287.0386"/>
    <n v="2863157.4246"/>
  </r>
  <r>
    <x v="505"/>
    <s v="Maureen"/>
    <s v="Olagbami"/>
    <x v="30"/>
    <x v="9"/>
    <s v="Training"/>
    <x v="2"/>
    <n v="4715600.5879999995"/>
    <n v="471560.0588"/>
    <n v="5187160.6467999993"/>
  </r>
  <r>
    <x v="506"/>
    <s v="Sam"/>
    <s v="Elleh"/>
    <x v="13"/>
    <x v="6"/>
    <s v="Call Center"/>
    <x v="0"/>
    <n v="5199211.9140000008"/>
    <n v="519921.19140000013"/>
    <n v="5719133.1054000007"/>
  </r>
  <r>
    <x v="507"/>
    <s v="Osagie"/>
    <s v="Isokpehi"/>
    <x v="0"/>
    <x v="4"/>
    <s v="Desktop Support"/>
    <x v="0"/>
    <n v="4153665.5439999998"/>
    <n v="415366.55440000002"/>
    <n v="4569032.0983999996"/>
  </r>
  <r>
    <x v="508"/>
    <s v="Alimi"/>
    <s v="Okubo"/>
    <x v="0"/>
    <x v="7"/>
    <s v="Planning"/>
    <x v="1"/>
    <n v="2763864.67"/>
    <n v="276386.467"/>
    <n v="3040251.1370000001"/>
  </r>
  <r>
    <x v="509"/>
    <s v="Bolawole"/>
    <s v="Okonkwo"/>
    <x v="1"/>
    <x v="9"/>
    <s v="Maintenance"/>
    <x v="4"/>
    <n v="3490571.838"/>
    <n v="349057.1838"/>
    <n v="3839629.0218000002"/>
  </r>
  <r>
    <x v="510"/>
    <s v="Adanna"/>
    <s v="Ikhihe"/>
    <x v="4"/>
    <x v="1"/>
    <s v="Payroll"/>
    <x v="0"/>
    <n v="1649573.2719999999"/>
    <n v="164957.3272"/>
    <n v="1814530.5991999998"/>
  </r>
  <r>
    <x v="511"/>
    <s v="Biola"/>
    <s v="Omotoye"/>
    <x v="7"/>
    <x v="2"/>
    <s v="MD's Office"/>
    <x v="0"/>
    <n v="1678234.7180000001"/>
    <n v="167823.47180000003"/>
    <n v="1846058.1898000001"/>
  </r>
  <r>
    <x v="512"/>
    <s v="Akinola"/>
    <s v="Njoku"/>
    <x v="5"/>
    <x v="2"/>
    <s v="Expenditure"/>
    <x v="3"/>
    <n v="2784254.5120000001"/>
    <n v="278425.45120000001"/>
    <n v="3062679.9632000001"/>
  </r>
  <r>
    <x v="513"/>
    <s v="Hafeez"/>
    <s v="Odedokun"/>
    <x v="9"/>
    <x v="1"/>
    <s v="Training &amp; Development"/>
    <x v="3"/>
    <n v="1807302.7560000001"/>
    <n v="180730.27560000002"/>
    <n v="1988033.0316000001"/>
  </r>
  <r>
    <x v="514"/>
    <s v="Ajibola"/>
    <s v="Oghumo"/>
    <x v="7"/>
    <x v="2"/>
    <s v="Supplies"/>
    <x v="1"/>
    <n v="3479139.2079999996"/>
    <n v="347913.92079999996"/>
    <n v="3827053.1287999996"/>
  </r>
  <r>
    <x v="515"/>
    <s v="Adebayo"/>
    <s v="Akinboboye"/>
    <x v="9"/>
    <x v="1"/>
    <s v="Benefits Admin."/>
    <x v="1"/>
    <n v="579949.00199999998"/>
    <n v="28997.450100000002"/>
    <n v="608946.45209999999"/>
  </r>
  <r>
    <x v="516"/>
    <s v="Chijioke"/>
    <s v="Adeboye"/>
    <x v="7"/>
    <x v="4"/>
    <s v="Connectivity"/>
    <x v="3"/>
    <n v="4776837.7420000006"/>
    <n v="477683.7742000001"/>
    <n v="5254521.5162000004"/>
  </r>
  <r>
    <x v="517"/>
    <s v="Joseph"/>
    <s v="Ayoola"/>
    <x v="14"/>
    <x v="7"/>
    <s v="Technical Design"/>
    <x v="5"/>
    <n v="2358454.6320000002"/>
    <n v="235845.46320000003"/>
    <n v="2594300.0952000003"/>
  </r>
  <r>
    <x v="518"/>
    <s v="Nelson"/>
    <s v="Bamgbade"/>
    <x v="0"/>
    <x v="3"/>
    <s v="Risk Management"/>
    <x v="4"/>
    <n v="1372242.504"/>
    <n v="137224.25039999999"/>
    <n v="1509466.7544"/>
  </r>
  <r>
    <x v="519"/>
    <s v="Oluwafolakemi"/>
    <s v="Ademola"/>
    <x v="9"/>
    <x v="8"/>
    <s v="Social Media"/>
    <x v="5"/>
    <n v="6001579.6559999995"/>
    <n v="600157.9656"/>
    <n v="6601737.6215999993"/>
  </r>
  <r>
    <x v="520"/>
    <s v="Oluwaseun"/>
    <s v="Udokporo"/>
    <x v="0"/>
    <x v="7"/>
    <s v="Maintenance"/>
    <x v="1"/>
    <n v="4975119.54"/>
    <n v="497511.95400000003"/>
    <n v="5472631.4939999999"/>
  </r>
  <r>
    <x v="521"/>
    <s v="Olubode"/>
    <s v="Olabode"/>
    <x v="3"/>
    <x v="3"/>
    <s v="Compliance"/>
    <x v="5"/>
    <n v="2401843.824"/>
    <n v="240184.3824"/>
    <n v="2642028.2064"/>
  </r>
  <r>
    <x v="522"/>
    <s v="Fola"/>
    <s v="Olatunji"/>
    <x v="5"/>
    <x v="1"/>
    <s v="Payroll"/>
    <x v="5"/>
    <n v="4724856.2960000001"/>
    <n v="472485.62960000004"/>
    <n v="5197341.9255999997"/>
  </r>
  <r>
    <x v="523"/>
    <s v="Isaac"/>
    <s v="Fajemirokan"/>
    <x v="18"/>
    <x v="1"/>
    <s v="Training &amp; Development"/>
    <x v="0"/>
    <n v="3130500.5439999998"/>
    <n v="313050.05439999996"/>
    <n v="3443550.5983999996"/>
  </r>
  <r>
    <x v="524"/>
    <s v="Emmanuel"/>
    <s v="Ujene"/>
    <x v="15"/>
    <x v="4"/>
    <s v="Business Application Support"/>
    <x v="1"/>
    <n v="4307807.2460000003"/>
    <n v="430780.72460000007"/>
    <n v="4738587.9706000006"/>
  </r>
  <r>
    <x v="525"/>
    <s v="Oladele"/>
    <s v="Nwokocha"/>
    <x v="18"/>
    <x v="6"/>
    <s v="Courier"/>
    <x v="3"/>
    <n v="3261753.6660000002"/>
    <n v="326175.36660000007"/>
    <n v="3587929.0326000005"/>
  </r>
  <r>
    <x v="526"/>
    <s v="Uchenna"/>
    <s v="Okoh"/>
    <x v="16"/>
    <x v="5"/>
    <s v="Analysis"/>
    <x v="0"/>
    <n v="3456855.7820000001"/>
    <n v="345685.57820000005"/>
    <n v="3802541.3602"/>
  </r>
  <r>
    <x v="527"/>
    <s v="Adiya"/>
    <s v="Akinsanya"/>
    <x v="5"/>
    <x v="1"/>
    <s v="Benefits Admin."/>
    <x v="3"/>
    <n v="1054547.148"/>
    <n v="105454.71480000002"/>
    <n v="1160001.8628"/>
  </r>
  <r>
    <x v="528"/>
    <s v="Ngozi"/>
    <s v="Faith"/>
    <x v="11"/>
    <x v="2"/>
    <s v="MD's Office"/>
    <x v="5"/>
    <n v="2084869.0560000001"/>
    <n v="208486.90560000003"/>
    <n v="2293355.9616"/>
  </r>
  <r>
    <x v="529"/>
    <s v="Adesuwa"/>
    <s v="Igbokwe"/>
    <x v="15"/>
    <x v="7"/>
    <s v="Planning"/>
    <x v="0"/>
    <n v="1679418.2080000001"/>
    <n v="167941.82080000002"/>
    <n v="1847360.0288000002"/>
  </r>
  <r>
    <x v="530"/>
    <s v="Oxteen"/>
    <s v="Atulu"/>
    <x v="13"/>
    <x v="4"/>
    <s v="Desktop Support"/>
    <x v="3"/>
    <n v="2384665.1460000002"/>
    <n v="238466.51460000002"/>
    <n v="2623131.6606000001"/>
  </r>
  <r>
    <x v="531"/>
    <s v="Ore"/>
    <s v="Olotu"/>
    <x v="21"/>
    <x v="5"/>
    <s v="Design"/>
    <x v="3"/>
    <n v="5609427.0379999997"/>
    <n v="560942.70380000002"/>
    <n v="6170369.7418"/>
  </r>
  <r>
    <x v="532"/>
    <s v="Dennis"/>
    <s v="Ile"/>
    <x v="17"/>
    <x v="8"/>
    <s v="Help Desk"/>
    <x v="0"/>
    <n v="5098391.392"/>
    <n v="509839.13920000003"/>
    <n v="5608230.5312000001"/>
  </r>
  <r>
    <x v="533"/>
    <s v="Faro"/>
    <s v="Idumwonyi"/>
    <x v="33"/>
    <x v="7"/>
    <s v="Technical Design"/>
    <x v="1"/>
    <n v="1968018.3660000002"/>
    <n v="196801.83660000004"/>
    <n v="2164820.2026000004"/>
  </r>
  <r>
    <x v="534"/>
    <s v="Joel"/>
    <s v="Agoba"/>
    <x v="2"/>
    <x v="2"/>
    <s v="Expenditure"/>
    <x v="0"/>
    <n v="529140.55200000003"/>
    <n v="26457.027600000001"/>
    <n v="555597.57960000006"/>
  </r>
  <r>
    <x v="535"/>
    <s v="Henry"/>
    <s v="Dalmeida"/>
    <x v="10"/>
    <x v="8"/>
    <s v="Call Center"/>
    <x v="0"/>
    <n v="3556429.85"/>
    <n v="355642.98500000004"/>
    <n v="3912072.835"/>
  </r>
  <r>
    <x v="536"/>
    <s v="Irene"/>
    <s v="Echeng"/>
    <x v="0"/>
    <x v="5"/>
    <s v="Planning &amp; Development"/>
    <x v="1"/>
    <n v="4780869.7699999996"/>
    <n v="478086.97699999996"/>
    <n v="5258956.7469999995"/>
  </r>
  <r>
    <x v="537"/>
    <s v="Chinenye"/>
    <s v="Afolayan"/>
    <x v="35"/>
    <x v="6"/>
    <s v="Logistics"/>
    <x v="1"/>
    <n v="566860.652"/>
    <n v="28343.032600000002"/>
    <n v="595203.68460000004"/>
  </r>
  <r>
    <x v="538"/>
    <s v="Uche"/>
    <s v="Adarighofua"/>
    <x v="34"/>
    <x v="1"/>
    <s v="Payroll"/>
    <x v="1"/>
    <n v="2230755.4779999997"/>
    <n v="223075.54779999997"/>
    <n v="2453831.0257999995"/>
  </r>
  <r>
    <x v="539"/>
    <s v="Dennis"/>
    <s v="Ugiagbe"/>
    <x v="1"/>
    <x v="2"/>
    <s v="Supplies"/>
    <x v="3"/>
    <n v="2372804.594"/>
    <n v="237280.45940000002"/>
    <n v="2610085.0534000001"/>
  </r>
  <r>
    <x v="540"/>
    <s v="Jean-christophe"/>
    <s v="Ojo"/>
    <x v="25"/>
    <x v="6"/>
    <s v="Call Center"/>
    <x v="3"/>
    <n v="5119501.8220000006"/>
    <n v="511950.1822000001"/>
    <n v="5631452.0042000003"/>
  </r>
  <r>
    <x v="541"/>
    <s v="Irene"/>
    <s v="Udeh"/>
    <x v="12"/>
    <x v="9"/>
    <s v="Research"/>
    <x v="2"/>
    <n v="629642.75599999994"/>
    <n v="31482.137799999997"/>
    <n v="661124.89379999996"/>
  </r>
  <r>
    <x v="542"/>
    <s v="Shola"/>
    <s v="Nwankwo"/>
    <x v="19"/>
    <x v="4"/>
    <s v="Connectivity"/>
    <x v="0"/>
    <n v="1228305.6339999998"/>
    <n v="122830.56339999998"/>
    <n v="1351136.1973999999"/>
  </r>
  <r>
    <x v="543"/>
    <s v="Ngozi"/>
    <s v="Clement-Ugiagbe"/>
    <x v="1"/>
    <x v="2"/>
    <s v="MD's Office"/>
    <x v="1"/>
    <n v="1523610.2919999999"/>
    <n v="152361.02919999999"/>
    <n v="1675971.3211999999"/>
  </r>
  <r>
    <x v="544"/>
    <s v="Mary"/>
    <s v="Ado"/>
    <x v="2"/>
    <x v="8"/>
    <s v="Social Media"/>
    <x v="2"/>
    <n v="350660.93200000003"/>
    <n v="17533.046600000001"/>
    <n v="368193.97860000003"/>
  </r>
  <r>
    <x v="545"/>
    <s v="Sidi"/>
    <s v="Akalamudo"/>
    <x v="4"/>
    <x v="5"/>
    <s v="Analysis"/>
    <x v="3"/>
    <n v="2991224.176"/>
    <n v="299122.41759999999"/>
    <n v="3290346.5935999998"/>
  </r>
  <r>
    <x v="546"/>
    <s v="Comfort"/>
    <s v="Ile"/>
    <x v="2"/>
    <x v="2"/>
    <s v="Expenditure"/>
    <x v="5"/>
    <n v="4923122.9359999998"/>
    <n v="492312.29359999998"/>
    <n v="5415435.2295999993"/>
  </r>
  <r>
    <x v="547"/>
    <s v="Dare"/>
    <s v="Danjuma"/>
    <x v="7"/>
    <x v="1"/>
    <s v="Training &amp; Development"/>
    <x v="5"/>
    <n v="5161667.88"/>
    <n v="516166.788"/>
    <n v="5677834.6679999996"/>
  </r>
  <r>
    <x v="548"/>
    <s v="Adewunmi"/>
    <s v="Adeko"/>
    <x v="0"/>
    <x v="2"/>
    <s v="Supplies"/>
    <x v="1"/>
    <n v="2174190.486"/>
    <n v="217419.04860000001"/>
    <n v="2391609.5345999999"/>
  </r>
  <r>
    <x v="549"/>
    <s v="Ibraheem"/>
    <s v="Iafidon"/>
    <x v="5"/>
    <x v="4"/>
    <s v="Business Application Support"/>
    <x v="5"/>
    <n v="1953955.24"/>
    <n v="195395.524"/>
    <n v="2149350.764"/>
  </r>
  <r>
    <x v="550"/>
    <s v="Omolola"/>
    <s v="Mustafa"/>
    <x v="9"/>
    <x v="5"/>
    <s v="Design"/>
    <x v="0"/>
    <n v="4258672.0060000001"/>
    <n v="425867.20060000004"/>
    <n v="4684539.2066000002"/>
  </r>
  <r>
    <x v="551"/>
    <s v="Charles"/>
    <s v="Owoeye"/>
    <x v="7"/>
    <x v="1"/>
    <s v="Benefits Admin."/>
    <x v="1"/>
    <n v="840526.68199999991"/>
    <n v="42026.3341"/>
    <n v="882553.01609999989"/>
  </r>
  <r>
    <x v="552"/>
    <s v="Eseosa"/>
    <s v="Babalola"/>
    <x v="9"/>
    <x v="2"/>
    <s v="MD's Office"/>
    <x v="0"/>
    <n v="4077130.47"/>
    <n v="407713.04700000002"/>
    <n v="4484843.517"/>
  </r>
  <r>
    <x v="553"/>
    <s v="Olubunmi"/>
    <s v="Awelewa"/>
    <x v="7"/>
    <x v="6"/>
    <s v="Courier"/>
    <x v="0"/>
    <n v="4102805.79"/>
    <n v="410280.57900000003"/>
    <n v="4513086.3689999999"/>
  </r>
  <r>
    <x v="554"/>
    <s v="Chukwuma"/>
    <s v="Akindunni"/>
    <x v="14"/>
    <x v="5"/>
    <s v="Planning &amp; Development"/>
    <x v="5"/>
    <n v="2432657.7060000002"/>
    <n v="243265.77060000005"/>
    <n v="2675923.4766000002"/>
  </r>
  <r>
    <x v="555"/>
    <s v="Ibilola"/>
    <s v="Udechukwu"/>
    <x v="0"/>
    <x v="8"/>
    <s v="Help Desk"/>
    <x v="4"/>
    <n v="2020702.91"/>
    <n v="202070.291"/>
    <n v="2222773.2009999999"/>
  </r>
  <r>
    <x v="556"/>
    <s v="Chiamaka"/>
    <s v="Okhiona"/>
    <x v="9"/>
    <x v="3"/>
    <s v="Fraud Control"/>
    <x v="0"/>
    <n v="5941003.6240000008"/>
    <n v="594100.3624000001"/>
    <n v="6535103.9864000008"/>
  </r>
  <r>
    <x v="557"/>
    <s v="Chioma"/>
    <s v="Jinadu"/>
    <x v="0"/>
    <x v="7"/>
    <s v="Maintenance"/>
    <x v="2"/>
    <n v="1297583.524"/>
    <n v="129758.3524"/>
    <n v="1427341.8764"/>
  </r>
  <r>
    <x v="558"/>
    <s v="Monilola"/>
    <s v="Okorie"/>
    <x v="3"/>
    <x v="4"/>
    <s v="Desktop Support"/>
    <x v="5"/>
    <n v="5227531.7220000001"/>
    <n v="522753.17220000003"/>
    <n v="5750284.8942"/>
  </r>
  <r>
    <x v="559"/>
    <s v="Francis"/>
    <s v="Fabunmi"/>
    <x v="7"/>
    <x v="5"/>
    <s v="Analysis"/>
    <x v="5"/>
    <n v="2286360.852"/>
    <n v="228636.0852"/>
    <n v="2514996.9372"/>
  </r>
  <r>
    <x v="560"/>
    <s v="Taye"/>
    <s v="Abasilim"/>
    <x v="5"/>
    <x v="1"/>
    <s v="Payroll"/>
    <x v="0"/>
    <n v="4690809.0959999999"/>
    <n v="469080.90960000001"/>
    <n v="5159890.0055999998"/>
  </r>
  <r>
    <x v="561"/>
    <s v="Itoje"/>
    <s v="Ogbuefi"/>
    <x v="18"/>
    <x v="6"/>
    <s v="Logistics"/>
    <x v="5"/>
    <n v="4690705.3220000006"/>
    <n v="469070.53220000007"/>
    <n v="5159775.8542000009"/>
  </r>
  <r>
    <x v="562"/>
    <s v="Oluwatobi"/>
    <s v="Olowu"/>
    <x v="15"/>
    <x v="1"/>
    <s v="Training &amp; Development"/>
    <x v="1"/>
    <n v="4622988.7059999993"/>
    <n v="462298.87059999997"/>
    <n v="5085287.5765999993"/>
  </r>
  <r>
    <x v="563"/>
    <s v="Nancy"/>
    <s v="Jonathan"/>
    <x v="18"/>
    <x v="9"/>
    <s v="Training"/>
    <x v="4"/>
    <n v="4167710.014"/>
    <n v="416771.00140000001"/>
    <n v="4584481.0153999999"/>
  </r>
  <r>
    <x v="564"/>
    <s v="Jacob"/>
    <s v="Alomoge"/>
    <x v="16"/>
    <x v="1"/>
    <s v="Benefits Admin."/>
    <x v="2"/>
    <n v="5491915.2259999998"/>
    <n v="549191.52260000003"/>
    <n v="6041106.7485999996"/>
  </r>
  <r>
    <x v="565"/>
    <s v="Banjo"/>
    <s v="Eseoghene"/>
    <x v="5"/>
    <x v="7"/>
    <s v="Planning"/>
    <x v="0"/>
    <n v="1291289.456"/>
    <n v="129128.94560000001"/>
    <n v="1420418.4016"/>
  </r>
  <r>
    <x v="566"/>
    <s v="Katherine"/>
    <s v="Phillips"/>
    <x v="36"/>
    <x v="7"/>
    <s v="Technical Design"/>
    <x v="3"/>
    <n v="974909.348"/>
    <n v="48745.467400000001"/>
    <n v="1023654.8154"/>
  </r>
  <r>
    <x v="567"/>
    <s v="Michael"/>
    <s v="Agbogu"/>
    <x v="13"/>
    <x v="1"/>
    <s v="Payroll"/>
    <x v="0"/>
    <n v="4952574.93"/>
    <n v="495257.49300000002"/>
    <n v="5447832.4229999995"/>
  </r>
  <r>
    <x v="568"/>
    <s v="Christian"/>
    <s v="Olalekan"/>
    <x v="17"/>
    <x v="3"/>
    <s v="Risk Management"/>
    <x v="3"/>
    <n v="4816614.6659999993"/>
    <n v="481661.46659999993"/>
    <n v="5298276.1325999992"/>
  </r>
  <r>
    <x v="569"/>
    <s v="Onyedikachi"/>
    <s v="Braide"/>
    <x v="17"/>
    <x v="2"/>
    <s v="Expenditure"/>
    <x v="1"/>
    <n v="1292609.368"/>
    <n v="129260.93680000001"/>
    <n v="1421870.3048"/>
  </r>
  <r>
    <x v="570"/>
    <s v="Janet"/>
    <s v="Nwachukwu"/>
    <x v="9"/>
    <x v="5"/>
    <s v="Design"/>
    <x v="0"/>
    <n v="2623775.6"/>
    <n v="262377.56"/>
    <n v="2886153.16"/>
  </r>
  <r>
    <x v="571"/>
    <s v="Chidozie"/>
    <s v="Ejide"/>
    <x v="19"/>
    <x v="3"/>
    <s v="Compliance"/>
    <x v="1"/>
    <n v="4272542.7420000006"/>
    <n v="427254.2742000001"/>
    <n v="4699797.0162000004"/>
  </r>
  <r>
    <x v="572"/>
    <s v="Ayodeji"/>
    <s v="Chukwuzilere"/>
    <x v="32"/>
    <x v="7"/>
    <s v="Maintenance"/>
    <x v="1"/>
    <n v="377095.31799999997"/>
    <n v="18854.765899999999"/>
    <n v="395950.08389999997"/>
  </r>
  <r>
    <x v="573"/>
    <s v="Mary"/>
    <s v="Onwuachuke"/>
    <x v="19"/>
    <x v="9"/>
    <s v="Maintenance"/>
    <x v="5"/>
    <n v="1260677.2919999999"/>
    <n v="126067.7292"/>
    <n v="1386745.0211999998"/>
  </r>
  <r>
    <x v="574"/>
    <s v="Ime"/>
    <s v="Ogunkoya"/>
    <x v="2"/>
    <x v="6"/>
    <s v="Call Center"/>
    <x v="5"/>
    <n v="5349010.2659999998"/>
    <n v="534901.02659999998"/>
    <n v="5883911.2926000003"/>
  </r>
  <r>
    <x v="575"/>
    <s v="Yewande"/>
    <s v="Oka"/>
    <x v="18"/>
    <x v="8"/>
    <s v="Call Center"/>
    <x v="2"/>
    <n v="5128244.49"/>
    <n v="512824.44900000002"/>
    <n v="5641068.9390000002"/>
  </r>
  <r>
    <x v="576"/>
    <s v="Anita"/>
    <s v="Oderinde"/>
    <x v="3"/>
    <x v="2"/>
    <s v="Supplies"/>
    <x v="2"/>
    <n v="5506690.7779999999"/>
    <n v="550669.07779999997"/>
    <n v="6057359.8558"/>
  </r>
  <r>
    <x v="577"/>
    <s v="Adebukola"/>
    <s v="Akande"/>
    <x v="6"/>
    <x v="1"/>
    <s v="Training &amp; Development"/>
    <x v="3"/>
    <n v="3456699.5379999997"/>
    <n v="345669.95380000002"/>
    <n v="3802369.4918"/>
  </r>
  <r>
    <x v="578"/>
    <s v="Obinna"/>
    <s v="Anyasi"/>
    <x v="11"/>
    <x v="1"/>
    <s v="Benefits Admin."/>
    <x v="1"/>
    <n v="1218046"/>
    <n v="121804.6"/>
    <n v="1339850.6000000001"/>
  </r>
  <r>
    <x v="579"/>
    <s v="Samson"/>
    <s v="ogunkoya"/>
    <x v="28"/>
    <x v="2"/>
    <s v="MD's Office"/>
    <x v="0"/>
    <n v="5371216.7359999996"/>
    <n v="537121.67359999998"/>
    <n v="5908338.4095999999"/>
  </r>
  <r>
    <x v="580"/>
    <s v="Adebola"/>
    <s v="Oderinde"/>
    <x v="9"/>
    <x v="2"/>
    <s v="Expenditure"/>
    <x v="3"/>
    <n v="1745431.298"/>
    <n v="174543.1298"/>
    <n v="1919974.4277999999"/>
  </r>
  <r>
    <x v="581"/>
    <s v="Nancy"/>
    <s v="Uhegbu"/>
    <x v="7"/>
    <x v="2"/>
    <s v="Supplies"/>
    <x v="1"/>
    <n v="4374686.6739999996"/>
    <n v="437468.66739999998"/>
    <n v="4812155.3413999993"/>
  </r>
  <r>
    <x v="582"/>
    <s v="Michael"/>
    <s v="Oka"/>
    <x v="20"/>
    <x v="2"/>
    <s v="MD's Office"/>
    <x v="3"/>
    <n v="1523295.4720000001"/>
    <n v="152329.5472"/>
    <n v="1675625.0192"/>
  </r>
  <r>
    <x v="583"/>
    <s v="Mary"/>
    <s v="Mustapha"/>
    <x v="12"/>
    <x v="2"/>
    <s v="Expenditure"/>
    <x v="0"/>
    <n v="2583758.48"/>
    <n v="258375.848"/>
    <n v="2842134.3279999997"/>
  </r>
  <r>
    <x v="584"/>
    <s v="Onyedikachi"/>
    <s v="Phillips"/>
    <x v="22"/>
    <x v="9"/>
    <s v="Research"/>
    <x v="0"/>
    <n v="1858740.8460000001"/>
    <n v="185874.08460000003"/>
    <n v="2044614.9306000001"/>
  </r>
  <r>
    <x v="585"/>
    <s v="Christian"/>
    <s v="Alokwe"/>
    <x v="13"/>
    <x v="1"/>
    <s v="Payroll"/>
    <x v="3"/>
    <n v="1556872.774"/>
    <n v="155687.27739999999"/>
    <n v="1712560.0514"/>
  </r>
  <r>
    <x v="586"/>
    <s v="Edward"/>
    <s v="Onwuachuke"/>
    <x v="21"/>
    <x v="5"/>
    <s v="Planning &amp; Development"/>
    <x v="0"/>
    <n v="5279050.2659999998"/>
    <n v="527905.02659999998"/>
    <n v="5806955.2926000003"/>
  </r>
  <r>
    <x v="587"/>
    <s v="Comfort"/>
    <s v="Oludele"/>
    <x v="11"/>
    <x v="3"/>
    <s v="Fraud Control"/>
    <x v="5"/>
    <n v="2134593.1260000002"/>
    <n v="213459.31260000003"/>
    <n v="2348052.4386"/>
  </r>
  <r>
    <x v="588"/>
    <s v="Francis"/>
    <s v="Babalola"/>
    <x v="18"/>
    <x v="3"/>
    <s v="Risk Management"/>
    <x v="0"/>
    <n v="5998833.7259999998"/>
    <n v="599883.3726"/>
    <n v="6598717.0986000001"/>
  </r>
  <r>
    <x v="589"/>
    <s v="Chiamaka"/>
    <s v="Chukwuzilere"/>
    <x v="12"/>
    <x v="8"/>
    <s v="Social Media"/>
    <x v="4"/>
    <n v="1635281.61"/>
    <n v="163528.16100000002"/>
    <n v="1798809.7710000002"/>
  </r>
  <r>
    <x v="590"/>
    <s v="Olubunmi"/>
    <s v="Okorie"/>
    <x v="3"/>
    <x v="4"/>
    <s v="Connectivity"/>
    <x v="0"/>
    <n v="725036.71400000004"/>
    <n v="36251.835700000003"/>
    <n v="761288.54970000009"/>
  </r>
  <r>
    <x v="591"/>
    <s v="Pamilia"/>
    <s v="Adeko"/>
    <x v="1"/>
    <x v="3"/>
    <s v="Compliance"/>
    <x v="3"/>
    <n v="1239974.9619999998"/>
    <n v="123997.49619999999"/>
    <n v="1363972.4581999998"/>
  </r>
  <r>
    <x v="592"/>
    <s v="Eseosa"/>
    <s v="Jonathan"/>
    <x v="21"/>
    <x v="8"/>
    <s v="Help Desk"/>
    <x v="5"/>
    <n v="5045022.4059999995"/>
    <n v="504502.24059999996"/>
    <n v="5549524.6465999996"/>
  </r>
  <r>
    <x v="593"/>
    <s v="Taye"/>
    <s v="Braide"/>
    <x v="26"/>
    <x v="1"/>
    <s v="Training &amp; Development"/>
    <x v="0"/>
    <n v="3657425.2720000003"/>
    <n v="365742.52720000007"/>
    <n v="4023167.7992000002"/>
  </r>
  <r>
    <x v="594"/>
    <s v="Mary"/>
    <s v="Okhiona"/>
    <x v="6"/>
    <x v="1"/>
    <s v="Benefits Admin."/>
    <x v="5"/>
    <n v="5737221.8040000005"/>
    <n v="573722.18040000007"/>
    <n v="6310943.9844000004"/>
  </r>
  <r>
    <x v="595"/>
    <s v="Katherine"/>
    <s v="Agbogu"/>
    <x v="8"/>
    <x v="1"/>
    <s v="Payroll"/>
    <x v="5"/>
    <n v="3356156.5239999997"/>
    <n v="335615.65240000002"/>
    <n v="3691772.1763999998"/>
  </r>
  <r>
    <x v="596"/>
    <s v="Danjuma"/>
    <s v="Banjo"/>
    <x v="22"/>
    <x v="2"/>
    <s v="Supplies"/>
    <x v="5"/>
    <n v="635652.31999999995"/>
    <n v="31782.615999999998"/>
    <n v="667434.93599999999"/>
  </r>
  <r>
    <x v="597"/>
    <s v="Oluwatobi"/>
    <s v="Alomoge"/>
    <x v="28"/>
    <x v="1"/>
    <s v="Training &amp; Development"/>
    <x v="0"/>
    <n v="1070144.73"/>
    <n v="107014.473"/>
    <n v="1177159.203"/>
  </r>
  <r>
    <x v="598"/>
    <s v="Chioma"/>
    <s v="Iafidon"/>
    <x v="23"/>
    <x v="4"/>
    <s v="Business Application Support"/>
    <x v="0"/>
    <n v="382384.29399999999"/>
    <n v="19119.2147"/>
    <n v="401503.50870000001"/>
  </r>
  <r>
    <x v="599"/>
    <s v="Eseoghene"/>
    <s v="Nwachukwu"/>
    <x v="3"/>
    <x v="3"/>
    <s v="Fraud Control"/>
    <x v="1"/>
    <n v="2601585.4539999999"/>
    <n v="260158.5454"/>
    <n v="2861743.9994000001"/>
  </r>
  <r>
    <x v="600"/>
    <s v="Olubunmi"/>
    <s v="Sidi"/>
    <x v="1"/>
    <x v="1"/>
    <s v="Benefits Admin."/>
    <x v="0"/>
    <n v="3538207.602"/>
    <n v="353820.76020000002"/>
    <n v="3892028.3621999999"/>
  </r>
  <r>
    <x v="601"/>
    <s v="Charles"/>
    <s v="Shofu"/>
    <x v="13"/>
    <x v="1"/>
    <s v="Payroll"/>
    <x v="2"/>
    <n v="1125683.642"/>
    <n v="112568.36420000001"/>
    <n v="1238252.0061999999"/>
  </r>
  <r>
    <x v="602"/>
    <s v="Ibraheem"/>
    <s v="Ogbuefi"/>
    <x v="24"/>
    <x v="2"/>
    <s v="MD's Office"/>
    <x v="5"/>
    <n v="802916.18599999999"/>
    <n v="40145.809300000001"/>
    <n v="843061.99529999995"/>
  </r>
  <r>
    <x v="603"/>
    <s v="Olalekan"/>
    <s v="itoje"/>
    <x v="10"/>
    <x v="1"/>
    <s v="Training &amp; Development"/>
    <x v="4"/>
    <n v="3088212.0559999999"/>
    <n v="308821.20559999999"/>
    <n v="3397033.2615999999"/>
  </r>
  <r>
    <x v="604"/>
    <s v="Dare"/>
    <s v="Alonge"/>
    <x v="30"/>
    <x v="5"/>
    <s v="Analysis"/>
    <x v="2"/>
    <n v="1505292.432"/>
    <n v="150529.2432"/>
    <n v="1655821.6751999999"/>
  </r>
  <r>
    <x v="605"/>
    <s v="Daniel"/>
    <s v="Udechukwu"/>
    <x v="13"/>
    <x v="3"/>
    <s v="Risk Management"/>
    <x v="5"/>
    <n v="2345380.2739999997"/>
    <n v="234538.02739999999"/>
    <n v="2579918.3013999998"/>
  </r>
  <r>
    <x v="606"/>
    <s v="Omolola"/>
    <s v="babalola"/>
    <x v="0"/>
    <x v="1"/>
    <s v="Benefits Admin."/>
    <x v="2"/>
    <n v="1301930.372"/>
    <n v="130193.03720000001"/>
    <n v="1432123.4091999999"/>
  </r>
  <r>
    <x v="607"/>
    <s v="Oluwatobi"/>
    <s v="Banjo"/>
    <x v="25"/>
    <x v="6"/>
    <s v="Courier"/>
    <x v="0"/>
    <n v="4175757.7460000003"/>
    <n v="417575.77460000006"/>
    <n v="4593333.5206000004"/>
  </r>
  <r>
    <x v="608"/>
    <s v="Esesosa"/>
    <s v="oludele"/>
    <x v="17"/>
    <x v="1"/>
    <s v="Payroll"/>
    <x v="4"/>
    <n v="4763907.9679999994"/>
    <n v="476390.79679999995"/>
    <n v="5240298.7647999991"/>
  </r>
  <r>
    <x v="609"/>
    <s v="Charles"/>
    <s v="Akindunni"/>
    <x v="32"/>
    <x v="2"/>
    <s v="Expenditure"/>
    <x v="0"/>
    <n v="3752296.8620000002"/>
    <n v="375229.68620000005"/>
    <n v="4127526.5482000001"/>
  </r>
  <r>
    <x v="610"/>
    <s v="Edward"/>
    <s v="Awelele"/>
    <x v="31"/>
    <x v="1"/>
    <s v="Training &amp; Development"/>
    <x v="5"/>
    <n v="1810706.31"/>
    <n v="181070.63100000002"/>
    <n v="1991776.9410000001"/>
  </r>
  <r>
    <x v="611"/>
    <s v="Salim"/>
    <s v="Udechukwu"/>
    <x v="15"/>
    <x v="1"/>
    <s v="Benefits Admin."/>
    <x v="0"/>
    <n v="5182430.8420000002"/>
    <n v="518243.08420000004"/>
    <n v="5700673.9262000006"/>
  </r>
  <r>
    <x v="612"/>
    <s v="Nancy"/>
    <s v="Okorie"/>
    <x v="21"/>
    <x v="2"/>
    <s v="Supplies"/>
    <x v="0"/>
    <n v="1558633.4339999999"/>
    <n v="155863.34339999998"/>
    <n v="1714496.7773999998"/>
  </r>
  <r>
    <x v="613"/>
    <s v="Adebola"/>
    <s v="Ayomaya"/>
    <x v="11"/>
    <x v="1"/>
    <s v="Payroll"/>
    <x v="3"/>
    <n v="1183123.1339999998"/>
    <n v="118312.31339999998"/>
    <n v="1301435.4473999999"/>
  </r>
  <r>
    <x v="614"/>
    <s v="Adebimpe"/>
    <s v="Braide"/>
    <x v="9"/>
    <x v="1"/>
    <s v="Training &amp; Development"/>
    <x v="1"/>
    <n v="564057.58799999999"/>
    <n v="28202.879400000002"/>
    <n v="592260.46739999996"/>
  </r>
  <r>
    <x v="615"/>
    <s v="Chioma"/>
    <s v="Mustafa"/>
    <x v="19"/>
    <x v="1"/>
    <s v="Benefits Admin."/>
    <x v="5"/>
    <n v="3050247.0959999999"/>
    <n v="305024.7096"/>
    <n v="3355271.8056000001"/>
  </r>
  <r>
    <x v="616"/>
    <s v="Taye"/>
    <s v="Anyasi"/>
    <x v="19"/>
    <x v="1"/>
    <s v="Payroll"/>
    <x v="0"/>
    <n v="662494.80599999998"/>
    <n v="33124.740299999998"/>
    <n v="695619.54629999993"/>
  </r>
  <r>
    <x v="617"/>
    <s v="Onyedikachi"/>
    <s v="Alonge"/>
    <x v="29"/>
    <x v="6"/>
    <s v="Logistics"/>
    <x v="0"/>
    <n v="2653854.9020000002"/>
    <n v="265385.49020000006"/>
    <n v="2919240.3922000001"/>
  </r>
  <r>
    <x v="618"/>
    <s v="Danjuma"/>
    <s v="Ogbuefi"/>
    <x v="2"/>
    <x v="5"/>
    <s v="Design"/>
    <x v="4"/>
    <n v="325099.88"/>
    <n v="16254.994000000001"/>
    <n v="341354.87400000001"/>
  </r>
  <r>
    <x v="619"/>
    <s v="Samson"/>
    <s v="Alomoge"/>
    <x v="21"/>
    <x v="9"/>
    <s v="Training"/>
    <x v="3"/>
    <n v="2264034.284"/>
    <n v="226403.4284"/>
    <n v="2490437.7124000001"/>
  </r>
  <r>
    <x v="620"/>
    <s v="Mary"/>
    <s v="Onwuachuke"/>
    <x v="14"/>
    <x v="3"/>
    <s v="Compliance"/>
    <x v="1"/>
    <n v="1074369.148"/>
    <n v="107436.91480000001"/>
    <n v="1181806.0628"/>
  </r>
  <r>
    <x v="621"/>
    <s v="Yewande"/>
    <s v="Sidi"/>
    <x v="25"/>
    <x v="4"/>
    <s v="Desktop Support"/>
    <x v="2"/>
    <n v="2274823.2820000001"/>
    <n v="227482.32820000002"/>
    <n v="2502305.6102"/>
  </r>
  <r>
    <x v="622"/>
    <s v="Chidozie"/>
    <s v="Adeko"/>
    <x v="36"/>
    <x v="8"/>
    <s v="Call Center"/>
    <x v="0"/>
    <n v="5990177.3420000002"/>
    <n v="599017.73420000006"/>
    <n v="6589195.0762"/>
  </r>
  <r>
    <x v="623"/>
    <s v="Janet"/>
    <s v="Oka"/>
    <x v="8"/>
    <x v="4"/>
    <s v="Connectivity"/>
    <x v="4"/>
    <n v="1808279.8639999998"/>
    <n v="180827.98639999999"/>
    <n v="1989107.8503999999"/>
  </r>
  <r>
    <x v="624"/>
    <s v="Michael"/>
    <s v="Iafidon"/>
    <x v="2"/>
    <x v="8"/>
    <s v="Social Media"/>
    <x v="3"/>
    <n v="4383149.5020000003"/>
    <n v="438314.95020000008"/>
    <n v="4821464.4522000002"/>
  </r>
  <r>
    <x v="625"/>
    <s v="Foluke"/>
    <s v="Akande"/>
    <x v="34"/>
    <x v="3"/>
    <s v="Fraud Control"/>
    <x v="0"/>
    <n v="3113277.5579999997"/>
    <n v="311327.75579999998"/>
    <n v="3424605.3137999997"/>
  </r>
  <r>
    <x v="626"/>
    <s v="Mary"/>
    <s v="Uhegbu"/>
    <x v="17"/>
    <x v="6"/>
    <s v="Call Center"/>
    <x v="2"/>
    <n v="4911728.784"/>
    <n v="491172.87840000005"/>
    <n v="5402901.6623999998"/>
  </r>
  <r>
    <x v="627"/>
    <s v="Eseoghene"/>
    <s v="Ogunkoya"/>
    <x v="27"/>
    <x v="3"/>
    <s v="Risk Management"/>
    <x v="1"/>
    <n v="5477094.2000000002"/>
    <n v="547709.42000000004"/>
    <n v="6024803.6200000001"/>
  </r>
  <r>
    <x v="628"/>
    <s v="Alicho"/>
    <s v="Oderinde"/>
    <x v="7"/>
    <x v="8"/>
    <s v="Help Desk"/>
    <x v="1"/>
    <n v="4156023.196"/>
    <n v="415602.31960000005"/>
    <n v="4571625.5155999996"/>
  </r>
  <r>
    <x v="629"/>
    <s v="Monilola"/>
    <s v="Alokwe"/>
    <x v="29"/>
    <x v="6"/>
    <s v="Courier"/>
    <x v="4"/>
    <n v="3363477.838"/>
    <n v="336347.78380000003"/>
    <n v="3699825.6217999998"/>
  </r>
  <r>
    <x v="630"/>
    <s v="Ibilola"/>
    <s v="Itoje"/>
    <x v="36"/>
    <x v="2"/>
    <s v="MD's Office"/>
    <x v="2"/>
    <n v="1984117.328"/>
    <n v="198411.7328"/>
    <n v="2182529.0608000001"/>
  </r>
  <r>
    <x v="631"/>
    <s v="Kene"/>
    <s v="Agbobu"/>
    <x v="24"/>
    <x v="4"/>
    <s v="Business Application Support"/>
    <x v="2"/>
    <n v="1350508.264"/>
    <n v="135050.82639999999"/>
    <n v="1485559.0903999999"/>
  </r>
  <r>
    <x v="632"/>
    <s v="Modupe"/>
    <s v="Onyebuchi"/>
    <x v="0"/>
    <x v="9"/>
    <s v="Maintenance"/>
    <x v="1"/>
    <n v="2328992.1439999999"/>
    <n v="232899.2144"/>
    <n v="2561891.3583999998"/>
  </r>
  <r>
    <x v="633"/>
    <s v="Philomena"/>
    <s v="Olowu"/>
    <x v="9"/>
    <x v="1"/>
    <s v="Training &amp; Development"/>
    <x v="3"/>
    <n v="5265902.45"/>
    <n v="526590.245"/>
    <n v="5792492.6950000003"/>
  </r>
  <r>
    <x v="634"/>
    <s v="Jovita"/>
    <s v="Fabunmi"/>
    <x v="0"/>
    <x v="1"/>
    <s v="Benefits Admin."/>
    <x v="1"/>
    <n v="2330011.2279999997"/>
    <n v="233001.12279999998"/>
    <n v="2563012.3507999997"/>
  </r>
  <r>
    <x v="635"/>
    <s v="Buddy"/>
    <s v="Obianagha"/>
    <x v="3"/>
    <x v="7"/>
    <s v="Planning"/>
    <x v="3"/>
    <n v="1273444.9919999999"/>
    <n v="127344.49919999999"/>
    <n v="1400789.4911999998"/>
  </r>
  <r>
    <x v="636"/>
    <s v="Emmanuel"/>
    <s v="Babalola"/>
    <x v="7"/>
    <x v="9"/>
    <s v="Research"/>
    <x v="5"/>
    <n v="1016971.632"/>
    <n v="101697.16320000001"/>
    <n v="1118668.7952000001"/>
  </r>
  <r>
    <x v="637"/>
    <s v="Kayode"/>
    <s v="Amaliri"/>
    <x v="18"/>
    <x v="8"/>
    <s v="Call Center"/>
    <x v="5"/>
    <n v="2676814.608"/>
    <n v="267681.4608"/>
    <n v="2944496.0688"/>
  </r>
  <r>
    <x v="638"/>
    <s v="Titilola"/>
    <s v="Amenechi"/>
    <x v="18"/>
    <x v="2"/>
    <s v="Expenditure"/>
    <x v="4"/>
    <n v="4061925.83"/>
    <n v="406192.58300000004"/>
    <n v="4468118.4129999997"/>
  </r>
  <r>
    <x v="639"/>
    <s v="Farouk"/>
    <s v="Solaru"/>
    <x v="16"/>
    <x v="1"/>
    <s v="Payroll"/>
    <x v="5"/>
    <n v="706317.75"/>
    <n v="35315.887500000004"/>
    <n v="741633.63749999995"/>
  </r>
  <r>
    <x v="640"/>
    <s v="Adesanmi"/>
    <s v="Soile"/>
    <x v="5"/>
    <x v="1"/>
    <s v="Training &amp; Development"/>
    <x v="1"/>
    <n v="639572.41199999989"/>
    <n v="31978.620599999995"/>
    <n v="671551.03259999992"/>
  </r>
  <r>
    <x v="641"/>
    <s v="Sakiru"/>
    <s v="Umurieho"/>
    <x v="11"/>
    <x v="1"/>
    <s v="Benefits Admin."/>
    <x v="0"/>
    <n v="5350880.53"/>
    <n v="535088.05300000007"/>
    <n v="5885968.5830000006"/>
  </r>
  <r>
    <x v="642"/>
    <s v="Folashade"/>
    <s v="Osinowo"/>
    <x v="36"/>
    <x v="7"/>
    <s v="Technical Design"/>
    <x v="0"/>
    <n v="4843232.1140000001"/>
    <n v="484323.21140000003"/>
    <n v="5327555.3254000004"/>
  </r>
  <r>
    <x v="643"/>
    <s v="Riliwan"/>
    <s v="Adekusibe"/>
    <x v="17"/>
    <x v="1"/>
    <s v="Payroll"/>
    <x v="1"/>
    <n v="3477923.07"/>
    <n v="347792.30700000003"/>
    <n v="3825715.3769999999"/>
  </r>
  <r>
    <x v="644"/>
    <s v="Samson"/>
    <s v="Adeyanju"/>
    <x v="17"/>
    <x v="1"/>
    <s v="Training &amp; Development"/>
    <x v="2"/>
    <n v="2086626.2180000001"/>
    <n v="208662.62180000002"/>
    <n v="2295288.8398000002"/>
  </r>
  <r>
    <x v="645"/>
    <s v="Okereke"/>
    <s v="Soneye"/>
    <x v="9"/>
    <x v="1"/>
    <s v="Benefits Admin."/>
    <x v="0"/>
    <n v="4837335.6519999998"/>
    <n v="483733.56520000001"/>
    <n v="5321069.2171999998"/>
  </r>
  <r>
    <x v="646"/>
    <s v="Ayo"/>
    <s v="Bungudu"/>
    <x v="19"/>
    <x v="1"/>
    <s v="Payroll"/>
    <x v="3"/>
    <n v="1283431.7819999999"/>
    <n v="128343.17819999999"/>
    <n v="1411774.9601999999"/>
  </r>
  <r>
    <x v="647"/>
    <s v="Selema"/>
    <s v="Abdusalami"/>
    <x v="32"/>
    <x v="4"/>
    <s v="Desktop Support"/>
    <x v="4"/>
    <n v="549385.81000000006"/>
    <n v="27469.290500000003"/>
    <n v="576855.10050000006"/>
  </r>
  <r>
    <x v="648"/>
    <s v="Oladeinde"/>
    <s v="Abutu"/>
    <x v="19"/>
    <x v="7"/>
    <s v="Maintenance"/>
    <x v="5"/>
    <n v="3861476.4379999996"/>
    <n v="386147.64379999996"/>
    <n v="4247624.0817999998"/>
  </r>
  <r>
    <x v="649"/>
    <s v="Anjola"/>
    <s v="Uguru"/>
    <x v="2"/>
    <x v="9"/>
    <s v="Training"/>
    <x v="0"/>
    <n v="2075585.3639999998"/>
    <n v="207558.53639999998"/>
    <n v="2283143.9003999997"/>
  </r>
  <r>
    <x v="650"/>
    <s v="Babatunde"/>
    <s v="Bisah"/>
    <x v="27"/>
    <x v="3"/>
    <s v="Compliance"/>
    <x v="2"/>
    <n v="324432.92799999996"/>
    <n v="16221.646399999998"/>
    <n v="340654.57439999992"/>
  </r>
  <r>
    <x v="651"/>
    <s v="Funso"/>
    <s v="Sobere"/>
    <x v="18"/>
    <x v="1"/>
    <s v="Training &amp; Development"/>
    <x v="1"/>
    <n v="2085956.9339999999"/>
    <n v="208595.69339999999"/>
    <n v="2294552.6273999996"/>
  </r>
  <r>
    <x v="652"/>
    <s v="Valerie"/>
    <s v="Ojo"/>
    <x v="14"/>
    <x v="1"/>
    <s v="Benefits Admin."/>
    <x v="3"/>
    <n v="1887726.44"/>
    <n v="188772.644"/>
    <n v="2076499.084"/>
  </r>
  <r>
    <x v="653"/>
    <s v="Rukaiya"/>
    <s v="Ayoola"/>
    <x v="3"/>
    <x v="4"/>
    <s v="Connectivity"/>
    <x v="5"/>
    <n v="2823450.7679999997"/>
    <n v="282345.07679999998"/>
    <n v="3105795.8447999996"/>
  </r>
  <r>
    <x v="654"/>
    <s v="Damilola"/>
    <s v="Ero"/>
    <x v="18"/>
    <x v="4"/>
    <s v="Business Application Support"/>
    <x v="0"/>
    <n v="4570241.1979999999"/>
    <n v="457024.11979999999"/>
    <n v="5027265.3178000003"/>
  </r>
  <r>
    <x v="655"/>
    <s v="Ifeoma"/>
    <s v="Nkemdirim"/>
    <x v="6"/>
    <x v="6"/>
    <s v="Logistics"/>
    <x v="2"/>
    <n v="3803529.736"/>
    <n v="380352.97360000003"/>
    <n v="4183882.7096000002"/>
  </r>
  <r>
    <x v="656"/>
    <s v="Seyi"/>
    <s v="Nwandu"/>
    <x v="34"/>
    <x v="7"/>
    <s v="Planning"/>
    <x v="5"/>
    <n v="3863730.3160000001"/>
    <n v="386373.03160000005"/>
    <n v="4250103.3476"/>
  </r>
  <r>
    <x v="657"/>
    <s v="Sanni"/>
    <s v="Mohammed"/>
    <x v="11"/>
    <x v="9"/>
    <s v="Maintenance"/>
    <x v="3"/>
    <n v="1181367.138"/>
    <n v="118136.71380000001"/>
    <n v="1299503.8518000001"/>
  </r>
  <r>
    <x v="658"/>
    <s v="Tosin"/>
    <s v="Macaulay"/>
    <x v="13"/>
    <x v="8"/>
    <s v="Social Media"/>
    <x v="0"/>
    <n v="1932385.4060000002"/>
    <n v="193238.54060000004"/>
    <n v="2125623.9466000004"/>
  </r>
  <r>
    <x v="659"/>
    <s v="Soseleye"/>
    <s v="Ojogbo"/>
    <x v="28"/>
    <x v="7"/>
    <s v="Technical Design"/>
    <x v="0"/>
    <n v="651670.8280000001"/>
    <n v="32583.541400000006"/>
    <n v="684254.36940000008"/>
  </r>
  <r>
    <x v="660"/>
    <s v="Adedoyin"/>
    <s v="Akamo"/>
    <x v="9"/>
    <x v="2"/>
    <s v="Supplies"/>
    <x v="2"/>
    <n v="3833282.5579999997"/>
    <n v="383328.25579999998"/>
    <n v="4216610.8137999997"/>
  </r>
  <r>
    <x v="661"/>
    <s v="Chidiebere"/>
    <s v="onayimi"/>
    <x v="7"/>
    <x v="2"/>
    <s v="MD's Office"/>
    <x v="4"/>
    <n v="1792417.6"/>
    <n v="179241.76"/>
    <n v="1971659.36"/>
  </r>
  <r>
    <x v="662"/>
    <s v="Adejoke"/>
    <s v="Oluwaleye"/>
    <x v="12"/>
    <x v="8"/>
    <s v="Help Desk"/>
    <x v="3"/>
    <n v="5203636.8840000005"/>
    <n v="520363.6884000001"/>
    <n v="5724000.5724000009"/>
  </r>
  <r>
    <x v="663"/>
    <s v="Toyin"/>
    <s v="Ideriah"/>
    <x v="20"/>
    <x v="5"/>
    <s v="Planning &amp; Development"/>
    <x v="2"/>
    <n v="3201069.196"/>
    <n v="320106.91960000002"/>
    <n v="3521176.1156000001"/>
  </r>
  <r>
    <x v="664"/>
    <s v="Bukola"/>
    <s v="Ogunsalu"/>
    <x v="12"/>
    <x v="3"/>
    <s v="Fraud Control"/>
    <x v="0"/>
    <n v="2835079.2860000003"/>
    <n v="283507.92860000004"/>
    <n v="3118587.2146000005"/>
  </r>
  <r>
    <x v="665"/>
    <s v="Grace"/>
    <s v="Okocha"/>
    <x v="22"/>
    <x v="1"/>
    <s v="Payroll"/>
    <x v="0"/>
    <n v="3942666.1839999999"/>
    <n v="394266.61840000004"/>
    <n v="4336932.8024000004"/>
  </r>
  <r>
    <x v="666"/>
    <s v="Ngozi"/>
    <s v="Akindolie"/>
    <x v="6"/>
    <x v="2"/>
    <s v="Expenditure"/>
    <x v="5"/>
    <n v="5530994.8820000002"/>
    <n v="553099.48820000002"/>
    <n v="6084094.3702000007"/>
  </r>
  <r>
    <x v="667"/>
    <s v="Queenie"/>
    <s v="Yuong"/>
    <x v="15"/>
    <x v="1"/>
    <s v="Training &amp; Development"/>
    <x v="5"/>
    <n v="4446899.3859999999"/>
    <n v="444689.93859999999"/>
    <n v="4891589.3245999999"/>
  </r>
  <r>
    <x v="668"/>
    <s v="Onayimi"/>
    <s v="Kogbe"/>
    <x v="13"/>
    <x v="2"/>
    <s v="Supplies"/>
    <x v="0"/>
    <n v="2621026.1720000003"/>
    <n v="262102.61720000004"/>
    <n v="2883128.7892000005"/>
  </r>
  <r>
    <x v="669"/>
    <s v="Akin"/>
    <s v="Abia"/>
    <x v="18"/>
    <x v="2"/>
    <s v="MD's Office"/>
    <x v="3"/>
    <n v="2875097.5720000002"/>
    <n v="287509.75720000005"/>
    <n v="3162607.3292"/>
  </r>
  <r>
    <x v="670"/>
    <s v="Hilary"/>
    <s v="Sanni"/>
    <x v="12"/>
    <x v="1"/>
    <s v="Benefits Admin."/>
    <x v="5"/>
    <n v="2669021.0639999998"/>
    <n v="266902.10639999999"/>
    <n v="2935923.1703999997"/>
  </r>
  <r>
    <x v="671"/>
    <s v="Olukayode"/>
    <s v="Ajibola"/>
    <x v="3"/>
    <x v="7"/>
    <s v="Maintenance"/>
    <x v="0"/>
    <n v="5077994.5540000005"/>
    <n v="507799.45540000009"/>
    <n v="5585794.0094000008"/>
  </r>
  <r>
    <x v="672"/>
    <s v="Opeyemi"/>
    <s v="Omolokun"/>
    <x v="1"/>
    <x v="6"/>
    <s v="Call Center"/>
    <x v="4"/>
    <n v="5593541.4539999999"/>
    <n v="559354.14540000004"/>
    <n v="6152895.5993999997"/>
  </r>
  <r>
    <x v="673"/>
    <s v="Dayo"/>
    <s v="Daudu"/>
    <x v="25"/>
    <x v="6"/>
    <s v="Courier"/>
    <x v="5"/>
    <n v="939689.152"/>
    <n v="46984.457600000002"/>
    <n v="986673.60959999997"/>
  </r>
  <r>
    <x v="674"/>
    <s v="Ebosetale"/>
    <s v="Olutimayin"/>
    <x v="21"/>
    <x v="1"/>
    <s v="Payroll"/>
    <x v="0"/>
    <n v="3188865.84"/>
    <n v="318886.58400000003"/>
    <n v="3507752.4239999996"/>
  </r>
  <r>
    <x v="675"/>
    <s v="Olumide"/>
    <s v="Odeleye"/>
    <x v="26"/>
    <x v="9"/>
    <s v="Research"/>
    <x v="1"/>
    <n v="406930.92599999998"/>
    <n v="20346.546300000002"/>
    <n v="427277.47229999996"/>
  </r>
  <r>
    <x v="676"/>
    <s v="Vitto"/>
    <s v="Rino"/>
    <x v="6"/>
    <x v="5"/>
    <s v="Analysis"/>
    <x v="4"/>
    <n v="2297311.9240000001"/>
    <n v="229731.19240000003"/>
    <n v="2527043.1164000002"/>
  </r>
  <r>
    <x v="677"/>
    <s v="Ngozi"/>
    <s v="Akintunde"/>
    <x v="28"/>
    <x v="3"/>
    <s v="Risk Management"/>
    <x v="3"/>
    <n v="4302195.2879999997"/>
    <n v="430219.52879999997"/>
    <n v="4732414.8168000001"/>
  </r>
  <r>
    <x v="678"/>
    <s v="Patrick"/>
    <s v="Warryn"/>
    <x v="23"/>
    <x v="1"/>
    <s v="Training &amp; Development"/>
    <x v="0"/>
    <n v="1108674.034"/>
    <n v="110867.40340000001"/>
    <n v="1219541.4373999999"/>
  </r>
  <r>
    <x v="679"/>
    <s v="Kemisola"/>
    <s v="Adejumo"/>
    <x v="3"/>
    <x v="1"/>
    <s v="Benefits Admin."/>
    <x v="2"/>
    <n v="2153029.9180000001"/>
    <n v="215302.99180000002"/>
    <n v="2368332.9098"/>
  </r>
  <r>
    <x v="680"/>
    <s v="Ukeme"/>
    <s v="Obigne"/>
    <x v="1"/>
    <x v="8"/>
    <s v="Call Center"/>
    <x v="1"/>
    <n v="2989919.4220000003"/>
    <n v="298991.94220000005"/>
    <n v="3288911.3642000002"/>
  </r>
  <r>
    <x v="681"/>
    <s v="Edomwonyi"/>
    <s v="Akinyele"/>
    <x v="30"/>
    <x v="7"/>
    <s v="Planning"/>
    <x v="2"/>
    <n v="4267712.0039999997"/>
    <n v="426771.20039999997"/>
    <n v="4694483.2043999992"/>
  </r>
  <r>
    <x v="682"/>
    <s v="Rivson"/>
    <s v="Eyito"/>
    <x v="13"/>
    <x v="3"/>
    <s v="Compliance"/>
    <x v="1"/>
    <n v="4597176.9640000006"/>
    <n v="459717.69640000007"/>
    <n v="5056894.6604000004"/>
  </r>
  <r>
    <x v="683"/>
    <s v="Jackson"/>
    <s v="Odetola"/>
    <x v="0"/>
    <x v="5"/>
    <s v="Design"/>
    <x v="5"/>
    <n v="4806302.5619999999"/>
    <n v="480630.2562"/>
    <n v="5286932.8181999996"/>
  </r>
  <r>
    <x v="684"/>
    <s v="Kemisola"/>
    <s v="Onovuhede"/>
    <x v="2"/>
    <x v="2"/>
    <s v="Expenditure"/>
    <x v="1"/>
    <n v="4958547.182"/>
    <n v="495854.7182"/>
    <n v="5454401.9002"/>
  </r>
  <r>
    <x v="685"/>
    <s v="Patrick"/>
    <s v="Okpetu"/>
    <x v="4"/>
    <x v="1"/>
    <s v="Payroll"/>
    <x v="4"/>
    <n v="5258256.9879999999"/>
    <n v="525825.69880000001"/>
    <n v="5784082.6868000003"/>
  </r>
  <r>
    <x v="686"/>
    <s v="Kokonne"/>
    <s v="Ebiegberi"/>
    <x v="2"/>
    <x v="2"/>
    <s v="Supplies"/>
    <x v="5"/>
    <n v="1942156.486"/>
    <n v="194215.64860000001"/>
    <n v="2136372.1346"/>
  </r>
  <r>
    <x v="687"/>
    <s v="Jackson"/>
    <s v="Odetola"/>
    <x v="0"/>
    <x v="1"/>
    <s v="Training &amp; Development"/>
    <x v="2"/>
    <n v="2982320.6"/>
    <n v="298232.06"/>
    <n v="3280552.66"/>
  </r>
  <r>
    <x v="688"/>
    <s v="Jania"/>
    <s v="Ugbomeh"/>
    <x v="9"/>
    <x v="2"/>
    <s v="MD's Office"/>
    <x v="0"/>
    <n v="5914154.142"/>
    <n v="591415.4142"/>
    <n v="6505569.5561999995"/>
  </r>
  <r>
    <x v="689"/>
    <s v="Samuel"/>
    <s v="Laniyan"/>
    <x v="0"/>
    <x v="6"/>
    <s v="Logistics"/>
    <x v="0"/>
    <n v="4215767.87"/>
    <n v="421576.78700000001"/>
    <n v="4637344.6569999997"/>
  </r>
  <r>
    <x v="690"/>
    <s v="Kola"/>
    <s v="Okpetu"/>
    <x v="7"/>
    <x v="1"/>
    <s v="Benefits Admin."/>
    <x v="4"/>
    <n v="3904969.4040000001"/>
    <n v="390496.94040000002"/>
    <n v="4295466.3443999998"/>
  </r>
  <r>
    <x v="691"/>
    <s v="Lape"/>
    <s v="Fajobi"/>
    <x v="9"/>
    <x v="8"/>
    <s v="Social Media"/>
    <x v="5"/>
    <n v="1494028.872"/>
    <n v="149402.8872"/>
    <n v="1643431.7592"/>
  </r>
  <r>
    <x v="692"/>
    <s v="Idowu"/>
    <s v="Ifeosame"/>
    <x v="14"/>
    <x v="2"/>
    <s v="Expenditure"/>
    <x v="3"/>
    <n v="1270773.686"/>
    <n v="127077.3686"/>
    <n v="1397851.0545999999"/>
  </r>
  <r>
    <x v="693"/>
    <s v="Ijeoma"/>
    <s v="Abudu"/>
    <x v="0"/>
    <x v="3"/>
    <s v="Fraud Control"/>
    <x v="3"/>
    <n v="3190177.59"/>
    <n v="319017.75900000002"/>
    <n v="3509195.3489999999"/>
  </r>
  <r>
    <x v="694"/>
    <s v="Akinola"/>
    <s v="Oyebanjo"/>
    <x v="9"/>
    <x v="8"/>
    <s v="Help Desk"/>
    <x v="1"/>
    <n v="2283126.3679999998"/>
    <n v="228312.63679999998"/>
    <n v="2511439.0047999998"/>
  </r>
  <r>
    <x v="695"/>
    <s v="Ademola"/>
    <s v="owokoniran"/>
    <x v="0"/>
    <x v="5"/>
    <s v="Planning &amp; Development"/>
    <x v="0"/>
    <n v="2916389.13"/>
    <n v="291638.913"/>
    <n v="3208028.0430000001"/>
  </r>
  <r>
    <x v="696"/>
    <s v="Bolatito"/>
    <s v="Sanni"/>
    <x v="3"/>
    <x v="8"/>
    <s v="Call Center"/>
    <x v="0"/>
    <n v="2011229.16"/>
    <n v="201122.916"/>
    <n v="2212352.0759999999"/>
  </r>
  <r>
    <x v="697"/>
    <s v="Clara"/>
    <s v="Jokosenumi"/>
    <x v="5"/>
    <x v="6"/>
    <s v="Call Center"/>
    <x v="3"/>
    <n v="4503001.4759999998"/>
    <n v="450300.14760000003"/>
    <n v="4953301.6235999996"/>
  </r>
  <r>
    <x v="698"/>
    <s v="Angela"/>
    <s v="Ogunnaike"/>
    <x v="18"/>
    <x v="5"/>
    <s v="Analysis"/>
    <x v="3"/>
    <n v="1171378.0160000001"/>
    <n v="117137.80160000001"/>
    <n v="1288515.8176000002"/>
  </r>
  <r>
    <x v="699"/>
    <s v="Kufreabasi"/>
    <s v="Balogun"/>
    <x v="15"/>
    <x v="2"/>
    <s v="Supplies"/>
    <x v="1"/>
    <n v="3060878.6839999999"/>
    <n v="306087.86839999998"/>
    <n v="3366966.5523999999"/>
  </r>
  <r>
    <x v="700"/>
    <s v="Stanley"/>
    <s v="Coker"/>
    <x v="18"/>
    <x v="4"/>
    <s v="Desktop Support"/>
    <x v="3"/>
    <n v="357395.74799999996"/>
    <n v="17869.787399999997"/>
    <n v="375265.53539999994"/>
  </r>
  <r>
    <x v="701"/>
    <s v="Ebere"/>
    <s v="Okeke"/>
    <x v="16"/>
    <x v="7"/>
    <s v="Technical Design"/>
    <x v="4"/>
    <n v="2770085.28"/>
    <n v="277008.52799999999"/>
    <n v="3047093.8079999997"/>
  </r>
  <r>
    <x v="702"/>
    <s v="Stella"/>
    <s v="Ngoye"/>
    <x v="5"/>
    <x v="1"/>
    <s v="Payroll"/>
    <x v="5"/>
    <n v="5631694.1399999997"/>
    <n v="563169.41399999999"/>
    <n v="6194863.5539999995"/>
  </r>
  <r>
    <x v="703"/>
    <s v="Moiks"/>
    <s v="Usen"/>
    <x v="11"/>
    <x v="1"/>
    <s v="Training &amp; Development"/>
    <x v="0"/>
    <n v="2314186.2760000001"/>
    <n v="231418.62760000001"/>
    <n v="2545604.9035999998"/>
  </r>
  <r>
    <x v="704"/>
    <s v="Stephen"/>
    <s v="Ernest"/>
    <x v="15"/>
    <x v="1"/>
    <s v="Benefits Admin."/>
    <x v="3"/>
    <n v="2005279.0619999999"/>
    <n v="200527.9062"/>
    <n v="2205806.9682"/>
  </r>
  <r>
    <x v="705"/>
    <s v="Kufreabasi"/>
    <s v="Enoch"/>
    <x v="13"/>
    <x v="1"/>
    <s v="Payroll"/>
    <x v="1"/>
    <n v="3056598.298"/>
    <n v="305659.82980000001"/>
    <n v="3362258.1277999999"/>
  </r>
  <r>
    <x v="706"/>
    <s v="Rivson"/>
    <s v="Nze"/>
    <x v="21"/>
    <x v="2"/>
    <s v="MD's Office"/>
    <x v="5"/>
    <n v="2796028.78"/>
    <n v="279602.87799999997"/>
    <n v="3075631.6579999998"/>
  </r>
  <r>
    <x v="707"/>
    <s v="Stephen"/>
    <s v="Martins"/>
    <x v="0"/>
    <x v="1"/>
    <s v="Training &amp; Development"/>
    <x v="5"/>
    <n v="3946152.5239999997"/>
    <n v="394615.2524"/>
    <n v="4340767.7763999999"/>
  </r>
  <r>
    <x v="708"/>
    <s v="Adejare"/>
    <s v="stanley"/>
    <x v="35"/>
    <x v="8"/>
    <s v="Social Media"/>
    <x v="1"/>
    <n v="627047.24"/>
    <n v="31352.362000000001"/>
    <n v="658399.60199999996"/>
  </r>
  <r>
    <x v="709"/>
    <s v="Michael"/>
    <s v="Adams"/>
    <x v="1"/>
    <x v="6"/>
    <s v="Courier"/>
    <x v="1"/>
    <n v="1073338.4040000001"/>
    <n v="107333.84040000002"/>
    <n v="1180672.2444000002"/>
  </r>
  <r>
    <x v="710"/>
    <s v="Oluwaseun"/>
    <s v="Enoch"/>
    <x v="25"/>
    <x v="2"/>
    <s v="Expenditure"/>
    <x v="1"/>
    <n v="1860637.9280000001"/>
    <n v="186063.79280000002"/>
    <n v="2046701.7208"/>
  </r>
  <r>
    <x v="711"/>
    <s v="Ovie"/>
    <s v="Ashanke"/>
    <x v="12"/>
    <x v="4"/>
    <s v="Connectivity"/>
    <x v="1"/>
    <n v="1303597.7519999999"/>
    <n v="130359.77519999999"/>
    <n v="1433957.5271999999"/>
  </r>
  <r>
    <x v="712"/>
    <s v="Adewale"/>
    <s v="Okafor"/>
    <x v="19"/>
    <x v="1"/>
    <s v="Benefits Admin."/>
    <x v="0"/>
    <n v="2200312.3840000001"/>
    <n v="220031.23840000003"/>
    <n v="2420343.6224000002"/>
  </r>
  <r>
    <x v="713"/>
    <s v="Olurotimi"/>
    <s v="Akinbosotu"/>
    <x v="22"/>
    <x v="1"/>
    <s v="Payroll"/>
    <x v="3"/>
    <n v="1820511.2039999999"/>
    <n v="182051.12040000001"/>
    <n v="2002562.3243999998"/>
  </r>
  <r>
    <x v="714"/>
    <s v="Adebisi"/>
    <s v="Adedayo"/>
    <x v="0"/>
    <x v="2"/>
    <s v="Supplies"/>
    <x v="0"/>
    <n v="4047895.352"/>
    <n v="404789.53520000004"/>
    <n v="4452684.8871999998"/>
  </r>
  <r>
    <x v="715"/>
    <s v="Olubusola"/>
    <s v="erhimedre"/>
    <x v="1"/>
    <x v="2"/>
    <s v="MD's Office"/>
    <x v="1"/>
    <n v="4726133.0659999996"/>
    <n v="472613.30660000001"/>
    <n v="5198746.3725999994"/>
  </r>
  <r>
    <x v="716"/>
    <s v="Innocent"/>
    <s v="Adeeko"/>
    <x v="4"/>
    <x v="5"/>
    <s v="Design"/>
    <x v="1"/>
    <n v="1670325.74"/>
    <n v="167032.57400000002"/>
    <n v="1837358.314"/>
  </r>
  <r>
    <x v="717"/>
    <s v="Oluseun"/>
    <s v="Afolayan"/>
    <x v="2"/>
    <x v="9"/>
    <s v="Training"/>
    <x v="5"/>
    <n v="351044.54599999997"/>
    <n v="17552.227299999999"/>
    <n v="368596.7733"/>
  </r>
  <r>
    <x v="718"/>
    <s v="omotunde"/>
    <s v="Martins"/>
    <x v="7"/>
    <x v="7"/>
    <s v="Maintenance"/>
    <x v="2"/>
    <n v="5130443.5659999996"/>
    <n v="513044.3566"/>
    <n v="5643487.9225999992"/>
  </r>
  <r>
    <x v="719"/>
    <s v="Oluseun"/>
    <s v="Olokodana"/>
    <x v="0"/>
    <x v="2"/>
    <s v="Expenditure"/>
    <x v="2"/>
    <n v="930961.64199999999"/>
    <n v="46548.0821"/>
    <n v="977509.72409999999"/>
  </r>
  <r>
    <x v="720"/>
    <s v="Adekunle"/>
    <s v="Nana"/>
    <x v="7"/>
    <x v="8"/>
    <s v="Help Desk"/>
    <x v="2"/>
    <n v="4013302.4639999997"/>
    <n v="401330.2464"/>
    <n v="4414632.7103999993"/>
  </r>
  <r>
    <x v="721"/>
    <s v="Rachael"/>
    <s v="Maliki"/>
    <x v="9"/>
    <x v="2"/>
    <s v="Supplies"/>
    <x v="0"/>
    <n v="5136764.4520000005"/>
    <n v="513676.44520000007"/>
    <n v="5650440.8972000005"/>
  </r>
  <r>
    <x v="722"/>
    <s v="Anietie"/>
    <s v="Bank-Lawani"/>
    <x v="7"/>
    <x v="9"/>
    <s v="Maintenance"/>
    <x v="1"/>
    <n v="5415031.5180000002"/>
    <n v="541503.15179999999"/>
    <n v="5956534.6698000003"/>
  </r>
  <r>
    <x v="723"/>
    <s v="Patricia"/>
    <s v="Taiwo"/>
    <x v="14"/>
    <x v="4"/>
    <s v="Business Application Support"/>
    <x v="5"/>
    <n v="1209003.67"/>
    <n v="120900.367"/>
    <n v="1329904.037"/>
  </r>
  <r>
    <x v="724"/>
    <s v="Confidence"/>
    <s v="Bashorun"/>
    <x v="0"/>
    <x v="8"/>
    <s v="Call Center"/>
    <x v="0"/>
    <n v="3828971.8560000001"/>
    <n v="382897.18560000003"/>
    <n v="4211869.0416000001"/>
  </r>
  <r>
    <x v="725"/>
    <s v="Charles"/>
    <s v="Okpetu"/>
    <x v="9"/>
    <x v="5"/>
    <s v="Planning &amp; Development"/>
    <x v="5"/>
    <n v="1463839.966"/>
    <n v="146383.99660000001"/>
    <n v="1610223.9626"/>
  </r>
  <r>
    <x v="726"/>
    <s v="Anietie"/>
    <s v="Udoh"/>
    <x v="0"/>
    <x v="6"/>
    <s v="Logistics"/>
    <x v="5"/>
    <n v="5620415.4220000003"/>
    <n v="562041.54220000003"/>
    <n v="6182456.9642000003"/>
  </r>
  <r>
    <x v="727"/>
    <s v="Patricia"/>
    <s v="Okoroafor"/>
    <x v="3"/>
    <x v="4"/>
    <s v="Desktop Support"/>
    <x v="0"/>
    <n v="5513826.6979999999"/>
    <n v="551382.66980000003"/>
    <n v="6065209.3678000001"/>
  </r>
  <r>
    <x v="728"/>
    <s v="Adebowale"/>
    <s v="Archibong"/>
    <x v="5"/>
    <x v="6"/>
    <s v="Call Center"/>
    <x v="0"/>
    <n v="4726874.642"/>
    <n v="472687.46420000005"/>
    <n v="5199562.1062000003"/>
  </r>
  <r>
    <x v="729"/>
    <s v="Oluwaseun"/>
    <s v="Okoroafor"/>
    <x v="15"/>
    <x v="1"/>
    <s v="Training &amp; Development"/>
    <x v="1"/>
    <n v="4824602.932"/>
    <n v="482460.29320000001"/>
    <n v="5307063.2252000002"/>
  </r>
  <r>
    <x v="730"/>
    <s v="Tosin"/>
    <s v="Odebiyi"/>
    <x v="18"/>
    <x v="1"/>
    <s v="Benefits Admin."/>
    <x v="5"/>
    <n v="660089.348"/>
    <n v="33004.467400000001"/>
    <n v="693093.81539999996"/>
  </r>
  <r>
    <x v="731"/>
    <s v="Ezike"/>
    <s v="Ojekale"/>
    <x v="16"/>
    <x v="1"/>
    <s v="Payroll"/>
    <x v="1"/>
    <n v="4299792.1620000005"/>
    <n v="429979.21620000008"/>
    <n v="4729771.3782000002"/>
  </r>
  <r>
    <x v="732"/>
    <s v="Shahidul"/>
    <s v="Dibosa-Osadolor"/>
    <x v="5"/>
    <x v="2"/>
    <s v="MD's Office"/>
    <x v="3"/>
    <n v="5934405.2300000004"/>
    <n v="593440.52300000004"/>
    <n v="6527845.7530000005"/>
  </r>
  <r>
    <x v="733"/>
    <s v="Charles"/>
    <s v="Opajobi"/>
    <x v="11"/>
    <x v="6"/>
    <s v="Courier"/>
    <x v="3"/>
    <n v="3399659.9839999997"/>
    <n v="339965.99839999998"/>
    <n v="3739625.9823999996"/>
  </r>
  <r>
    <x v="734"/>
    <s v="Olakunle"/>
    <s v="Omotosho"/>
    <x v="36"/>
    <x v="5"/>
    <s v="Analysis"/>
    <x v="0"/>
    <n v="549313.51800000004"/>
    <n v="27465.675900000002"/>
    <n v="576779.19390000007"/>
  </r>
  <r>
    <x v="735"/>
    <s v="Nkechi"/>
    <s v="Nkemdirim"/>
    <x v="13"/>
    <x v="8"/>
    <s v="Social Media"/>
    <x v="3"/>
    <n v="4835149.4019999998"/>
    <n v="483514.94020000001"/>
    <n v="5318664.3421999998"/>
  </r>
  <r>
    <x v="736"/>
    <s v="Ifeanyi"/>
    <s v="Ohioze"/>
    <x v="12"/>
    <x v="7"/>
    <s v="Planning"/>
    <x v="4"/>
    <n v="1686908.5919999999"/>
    <n v="168690.85920000001"/>
    <n v="1855599.4512"/>
  </r>
  <r>
    <x v="737"/>
    <s v="Precious"/>
    <s v="Adeite"/>
    <x v="22"/>
    <x v="2"/>
    <s v="Expenditure"/>
    <x v="1"/>
    <n v="3920276.6520000002"/>
    <n v="392027.66520000005"/>
    <n v="4312304.3172000004"/>
  </r>
  <r>
    <x v="738"/>
    <s v="Tasiru"/>
    <s v="Nwankwo"/>
    <x v="6"/>
    <x v="3"/>
    <s v="Risk Management"/>
    <x v="0"/>
    <n v="787116.88599999994"/>
    <n v="39355.844299999997"/>
    <n v="826472.73029999994"/>
  </r>
  <r>
    <x v="739"/>
    <s v="Bisoye"/>
    <s v="Shaibu"/>
    <x v="15"/>
    <x v="8"/>
    <s v="Help Desk"/>
    <x v="1"/>
    <n v="3375645.048"/>
    <n v="337564.5048"/>
    <n v="3713209.5527999997"/>
  </r>
  <r>
    <x v="740"/>
    <s v="Chibuike"/>
    <s v="Nwadialo"/>
    <x v="13"/>
    <x v="4"/>
    <s v="Connectivity"/>
    <x v="3"/>
    <n v="3281473.0579999997"/>
    <n v="328147.30579999997"/>
    <n v="3609620.3637999995"/>
  </r>
  <r>
    <x v="741"/>
    <s v="Adegboyega"/>
    <s v="Ezenwa"/>
    <x v="21"/>
    <x v="6"/>
    <s v="Logistics"/>
    <x v="1"/>
    <n v="1469288.6839999999"/>
    <n v="146928.86840000001"/>
    <n v="1616217.5523999999"/>
  </r>
  <r>
    <x v="742"/>
    <s v="Damilola"/>
    <s v="Hassan"/>
    <x v="11"/>
    <x v="5"/>
    <s v="Design"/>
    <x v="3"/>
    <n v="2935745.8960000002"/>
    <n v="293574.58960000001"/>
    <n v="3229320.4856000002"/>
  </r>
  <r>
    <x v="743"/>
    <s v="Oladayo"/>
    <s v="Okedeyi"/>
    <x v="18"/>
    <x v="4"/>
    <s v="Business Application Support"/>
    <x v="1"/>
    <n v="3567989.574"/>
    <n v="356798.95740000001"/>
    <n v="3924788.5314000002"/>
  </r>
  <r>
    <x v="744"/>
    <s v="Chiamaka"/>
    <s v="Oguike"/>
    <x v="12"/>
    <x v="3"/>
    <s v="Compliance"/>
    <x v="5"/>
    <n v="1269395.4739999999"/>
    <n v="126939.5474"/>
    <n v="1396335.0214"/>
  </r>
  <r>
    <x v="745"/>
    <s v="Gloria"/>
    <s v="Onagbola"/>
    <x v="3"/>
    <x v="9"/>
    <s v="Research"/>
    <x v="0"/>
    <n v="962954.35"/>
    <n v="48147.717499999999"/>
    <n v="1011102.0675"/>
  </r>
  <r>
    <x v="746"/>
    <s v="Olusoji"/>
    <s v="Oke"/>
    <x v="21"/>
    <x v="1"/>
    <s v="Training &amp; Development"/>
    <x v="0"/>
    <n v="3376034.4920000001"/>
    <n v="337603.44920000003"/>
    <n v="3713637.9412000002"/>
  </r>
  <r>
    <x v="747"/>
    <s v="Foluso"/>
    <s v="Onyenze"/>
    <x v="25"/>
    <x v="9"/>
    <s v="Training"/>
    <x v="1"/>
    <n v="5248053.3220000006"/>
    <n v="524805.33220000006"/>
    <n v="5772858.6542000007"/>
  </r>
  <r>
    <x v="748"/>
    <s v="Oluwafisayo"/>
    <s v="Nwokike"/>
    <x v="21"/>
    <x v="8"/>
    <s v="Call Center"/>
    <x v="3"/>
    <n v="2267246.6140000001"/>
    <n v="226724.66140000001"/>
    <n v="2493971.2754000002"/>
  </r>
  <r>
    <x v="749"/>
    <s v="Adebisi"/>
    <s v="Dikeocha"/>
    <x v="26"/>
    <x v="8"/>
    <s v="Social Media"/>
    <x v="0"/>
    <n v="588291.73199999996"/>
    <n v="29414.586599999999"/>
    <n v="617706.3186"/>
  </r>
  <r>
    <x v="750"/>
    <s v="Jael"/>
    <s v="Owolabi"/>
    <x v="6"/>
    <x v="7"/>
    <s v="Technical Design"/>
    <x v="5"/>
    <n v="1971889.486"/>
    <n v="197188.9486"/>
    <n v="2169078.4346000003"/>
  </r>
  <r>
    <x v="751"/>
    <s v="A.A."/>
    <s v="Oke"/>
    <x v="8"/>
    <x v="9"/>
    <s v="Maintenance"/>
    <x v="2"/>
    <n v="5911277.6200000001"/>
    <n v="591127.76199999999"/>
    <n v="6502405.3820000002"/>
  </r>
  <r>
    <x v="752"/>
    <s v="Oluwagbemiga"/>
    <s v="Adebanjo"/>
    <x v="28"/>
    <x v="8"/>
    <s v="Help Desk"/>
    <x v="5"/>
    <n v="3344561.82"/>
    <n v="334456.18200000003"/>
    <n v="3679018.0019999999"/>
  </r>
  <r>
    <x v="753"/>
    <s v="Adedoyin"/>
    <s v="Amana"/>
    <x v="23"/>
    <x v="7"/>
    <s v="Maintenance"/>
    <x v="0"/>
    <n v="5491956.0359999994"/>
    <n v="549195.60359999991"/>
    <n v="6041151.6395999994"/>
  </r>
  <r>
    <x v="754"/>
    <s v="Adekunle"/>
    <s v="Shomefun"/>
    <x v="3"/>
    <x v="9"/>
    <s v="Research"/>
    <x v="0"/>
    <n v="5813492.1959999995"/>
    <n v="581349.21959999995"/>
    <n v="6394841.4155999999"/>
  </r>
  <r>
    <x v="755"/>
    <s v="Esther"/>
    <s v="Elusakin"/>
    <x v="1"/>
    <x v="6"/>
    <s v="Call Center"/>
    <x v="5"/>
    <n v="3849774.4620000003"/>
    <n v="384977.44620000006"/>
    <n v="4234751.9082000004"/>
  </r>
  <r>
    <x v="756"/>
    <s v="Tunde"/>
    <s v="Yusuff"/>
    <x v="13"/>
    <x v="1"/>
    <s v="Benefits Admin."/>
    <x v="1"/>
    <n v="2113690.2439999999"/>
    <n v="211369.02439999999"/>
    <n v="2325059.2683999999"/>
  </r>
  <r>
    <x v="757"/>
    <s v="Emmanuel"/>
    <s v="Aderinto"/>
    <x v="24"/>
    <x v="5"/>
    <s v="Planning &amp; Development"/>
    <x v="1"/>
    <n v="2299417.7200000002"/>
    <n v="229941.77200000003"/>
    <n v="2529359.4920000001"/>
  </r>
  <r>
    <x v="758"/>
    <s v="Edith"/>
    <s v="Ogungbile"/>
    <x v="10"/>
    <x v="4"/>
    <s v="Desktop Support"/>
    <x v="5"/>
    <n v="1082412.216"/>
    <n v="108241.2216"/>
    <n v="1190653.4376000001"/>
  </r>
  <r>
    <x v="759"/>
    <s v="Titilola"/>
    <s v="Ademowo"/>
    <x v="13"/>
    <x v="2"/>
    <s v="Supplies"/>
    <x v="3"/>
    <n v="4035468.1239999998"/>
    <n v="403546.8124"/>
    <n v="4439014.9364"/>
  </r>
  <r>
    <x v="760"/>
    <s v="Olive"/>
    <s v="Oboh"/>
    <x v="25"/>
    <x v="2"/>
    <s v="MD's Office"/>
    <x v="0"/>
    <n v="3985472.3760000002"/>
    <n v="398547.23760000005"/>
    <n v="4384019.6135999998"/>
  </r>
  <r>
    <x v="761"/>
    <s v="Bright"/>
    <s v="Ajao"/>
    <x v="17"/>
    <x v="2"/>
    <s v="Expenditure"/>
    <x v="5"/>
    <n v="2412530.2139999997"/>
    <n v="241253.02139999997"/>
    <n v="2653783.2353999997"/>
  </r>
  <r>
    <x v="762"/>
    <s v="Tosin"/>
    <s v="Opeyemi"/>
    <x v="32"/>
    <x v="2"/>
    <s v="Supplies"/>
    <x v="5"/>
    <n v="3559801.9220000003"/>
    <n v="355980.19220000005"/>
    <n v="3915782.1142000002"/>
  </r>
  <r>
    <x v="763"/>
    <s v="Temitope"/>
    <s v="Ughelu"/>
    <x v="31"/>
    <x v="2"/>
    <s v="MD's Office"/>
    <x v="0"/>
    <n v="1871641.47"/>
    <n v="187164.147"/>
    <n v="2058805.6170000001"/>
  </r>
  <r>
    <x v="764"/>
    <s v="Kelechi"/>
    <s v="Okafor"/>
    <x v="27"/>
    <x v="5"/>
    <s v="Analysis"/>
    <x v="5"/>
    <n v="2211933.906"/>
    <n v="221193.39060000001"/>
    <n v="2433127.2966"/>
  </r>
  <r>
    <x v="765"/>
    <s v="Nneka"/>
    <s v="Aghoro"/>
    <x v="0"/>
    <x v="3"/>
    <s v="Fraud Control"/>
    <x v="5"/>
    <n v="1607092.3939999999"/>
    <n v="160709.23939999999"/>
    <n v="1767801.6333999999"/>
  </r>
  <r>
    <x v="766"/>
    <s v="Adegoke"/>
    <s v="Igbede"/>
    <x v="15"/>
    <x v="2"/>
    <s v="Expenditure"/>
    <x v="0"/>
    <n v="4897015.03"/>
    <n v="489701.50300000003"/>
    <n v="5386716.5329999998"/>
  </r>
  <r>
    <x v="767"/>
    <s v="Tosin"/>
    <s v="Keshinro"/>
    <x v="21"/>
    <x v="2"/>
    <s v="Supplies"/>
    <x v="2"/>
    <n v="4962736.62"/>
    <n v="496273.66200000001"/>
    <n v="5459010.2819999997"/>
  </r>
  <r>
    <x v="768"/>
    <s v="Olubunmi"/>
    <s v="Esu"/>
    <x v="35"/>
    <x v="3"/>
    <s v="Risk Management"/>
    <x v="0"/>
    <n v="549300.69200000004"/>
    <n v="27465.034600000003"/>
    <n v="576765.72660000005"/>
  </r>
  <r>
    <x v="769"/>
    <s v="Jibade"/>
    <s v="Adedayo"/>
    <x v="11"/>
    <x v="4"/>
    <s v="Connectivity"/>
    <x v="1"/>
    <n v="5682616.858"/>
    <n v="568261.68579999998"/>
    <n v="6250878.5438000001"/>
  </r>
  <r>
    <x v="770"/>
    <s v="Uchechukwu"/>
    <s v="Ofuje"/>
    <x v="17"/>
    <x v="9"/>
    <s v="Training"/>
    <x v="3"/>
    <n v="4665962.8020000001"/>
    <n v="466596.28020000004"/>
    <n v="5132559.0822000001"/>
  </r>
  <r>
    <x v="771"/>
    <s v="Sam"/>
    <s v="Ogunjimi"/>
    <x v="27"/>
    <x v="7"/>
    <s v="Planning"/>
    <x v="3"/>
    <n v="671498.65800000005"/>
    <n v="33574.932900000007"/>
    <n v="705073.59090000007"/>
  </r>
  <r>
    <x v="772"/>
    <s v="Olufemi"/>
    <s v="Kutayi"/>
    <x v="9"/>
    <x v="2"/>
    <s v="MD's Office"/>
    <x v="4"/>
    <n v="540201.228"/>
    <n v="27010.061400000002"/>
    <n v="567211.28940000001"/>
  </r>
  <r>
    <x v="773"/>
    <s v="Killian"/>
    <s v="Fashina"/>
    <x v="19"/>
    <x v="1"/>
    <s v="Payroll"/>
    <x v="2"/>
    <n v="2713334.8939999999"/>
    <n v="271333.48940000002"/>
    <n v="2984668.3833999997"/>
  </r>
  <r>
    <x v="774"/>
    <s v="Anjola"/>
    <s v="Ukoh"/>
    <x v="5"/>
    <x v="9"/>
    <s v="Maintenance"/>
    <x v="1"/>
    <n v="1920019.976"/>
    <n v="192001.9976"/>
    <n v="2112021.9736000001"/>
  </r>
  <r>
    <x v="775"/>
    <s v="Seyi"/>
    <s v="Adegboyega"/>
    <x v="19"/>
    <x v="4"/>
    <s v="Business Application Support"/>
    <x v="0"/>
    <n v="2149692.8259999999"/>
    <n v="214969.28260000001"/>
    <n v="2364662.1085999999"/>
  </r>
  <r>
    <x v="776"/>
    <s v="Idowu"/>
    <s v="Akamo"/>
    <x v="29"/>
    <x v="1"/>
    <s v="Training &amp; Development"/>
    <x v="0"/>
    <n v="3760493.8420000002"/>
    <n v="376049.38420000003"/>
    <n v="4136543.2262000004"/>
  </r>
  <r>
    <x v="777"/>
    <s v="Oladele"/>
    <s v="Khano"/>
    <x v="2"/>
    <x v="1"/>
    <s v="Benefits Admin."/>
    <x v="3"/>
    <n v="1809543.808"/>
    <n v="180954.38080000001"/>
    <n v="1990498.1887999999"/>
  </r>
  <r>
    <x v="778"/>
    <s v="Ifeoma"/>
    <s v="Bose"/>
    <x v="9"/>
    <x v="1"/>
    <s v="Payroll"/>
    <x v="1"/>
    <n v="3920277.818"/>
    <n v="392027.7818"/>
    <n v="4312305.5998"/>
  </r>
  <r>
    <x v="779"/>
    <s v="Rukaiya"/>
    <s v="Ojogbo"/>
    <x v="14"/>
    <x v="8"/>
    <s v="Call Center"/>
    <x v="5"/>
    <n v="1704256.34"/>
    <n v="170425.63400000002"/>
    <n v="1874681.9740000002"/>
  </r>
  <r>
    <x v="780"/>
    <s v="Agboola"/>
    <s v="Mohammed"/>
    <x v="36"/>
    <x v="1"/>
    <s v="Training &amp; Development"/>
    <x v="3"/>
    <n v="2971291.406"/>
    <n v="297129.14059999998"/>
    <n v="3268420.5466"/>
  </r>
  <r>
    <x v="781"/>
    <s v="Nosa"/>
    <s v="Oko"/>
    <x v="8"/>
    <x v="1"/>
    <s v="Benefits Admin."/>
    <x v="0"/>
    <n v="1451030.29"/>
    <n v="145103.02900000001"/>
    <n v="1596133.3190000001"/>
  </r>
  <r>
    <x v="782"/>
    <s v="Olakunle"/>
    <s v="Adebanjo"/>
    <x v="2"/>
    <x v="8"/>
    <s v="Social Media"/>
    <x v="0"/>
    <n v="5566381.8159999996"/>
    <n v="556638.18160000001"/>
    <n v="6123019.9975999994"/>
  </r>
  <r>
    <x v="783"/>
    <s v="Uzoamaka"/>
    <s v="Mabinuori"/>
    <x v="34"/>
    <x v="2"/>
    <s v="Expenditure"/>
    <x v="2"/>
    <n v="4759917.9159999993"/>
    <n v="475991.79159999994"/>
    <n v="5235909.7075999994"/>
  </r>
  <r>
    <x v="784"/>
    <s v="Folasade"/>
    <s v="Oladehin"/>
    <x v="17"/>
    <x v="1"/>
    <s v="Payroll"/>
    <x v="5"/>
    <n v="2677223.8739999998"/>
    <n v="267722.38740000001"/>
    <n v="2944946.2613999997"/>
  </r>
  <r>
    <x v="785"/>
    <s v="Tolu"/>
    <s v="Aisien"/>
    <x v="27"/>
    <x v="3"/>
    <s v="Compliance"/>
    <x v="0"/>
    <n v="2600647.9900000002"/>
    <n v="260064.79900000003"/>
    <n v="2860712.7890000003"/>
  </r>
  <r>
    <x v="786"/>
    <s v="Kene"/>
    <s v="Uzosike"/>
    <x v="7"/>
    <x v="8"/>
    <s v="Help Desk"/>
    <x v="0"/>
    <n v="5255160.0920000002"/>
    <n v="525516.00920000009"/>
    <n v="5780676.1012000004"/>
  </r>
  <r>
    <x v="787"/>
    <s v="Obafunso"/>
    <s v="Fabeyo"/>
    <x v="29"/>
    <x v="4"/>
    <s v="Desktop Support"/>
    <x v="1"/>
    <n v="514544.56400000001"/>
    <n v="25727.228200000001"/>
    <n v="540271.79220000003"/>
  </r>
  <r>
    <x v="788"/>
    <s v="Uzoma"/>
    <s v="Ashanke"/>
    <x v="36"/>
    <x v="9"/>
    <s v="Research"/>
    <x v="3"/>
    <n v="2586472.9279999998"/>
    <n v="258647.2928"/>
    <n v="2845120.2207999998"/>
  </r>
  <r>
    <x v="789"/>
    <s v="Abolaji"/>
    <s v="Bello"/>
    <x v="24"/>
    <x v="7"/>
    <s v="Technical Design"/>
    <x v="1"/>
    <n v="3458041.6039999998"/>
    <n v="345804.16039999999"/>
    <n v="3803845.7643999998"/>
  </r>
  <r>
    <x v="790"/>
    <s v="Bridget"/>
    <s v="Obianagha"/>
    <x v="0"/>
    <x v="4"/>
    <s v="Connectivity"/>
    <x v="2"/>
    <n v="5689997.6380000003"/>
    <n v="568999.76380000007"/>
    <n v="6258997.4018000001"/>
  </r>
  <r>
    <x v="791"/>
    <s v="Ose"/>
    <s v="Adenekan"/>
    <x v="9"/>
    <x v="2"/>
    <s v="Supplies"/>
    <x v="4"/>
    <n v="538482.54399999999"/>
    <n v="26924.127200000003"/>
    <n v="565406.67119999998"/>
  </r>
  <r>
    <x v="792"/>
    <s v="Abayomi"/>
    <s v="Anumudu"/>
    <x v="0"/>
    <x v="7"/>
    <s v="Maintenance"/>
    <x v="5"/>
    <n v="3234924.0060000001"/>
    <n v="323492.40060000005"/>
    <n v="3558416.4066000003"/>
  </r>
  <r>
    <x v="793"/>
    <s v="Kayode"/>
    <s v="Olorunkoya"/>
    <x v="18"/>
    <x v="1"/>
    <s v="Training &amp; Development"/>
    <x v="5"/>
    <n v="3039160.7679999997"/>
    <n v="303916.07679999998"/>
    <n v="3343076.8447999996"/>
  </r>
  <r>
    <x v="794"/>
    <s v="Micah"/>
    <s v="Joseph"/>
    <x v="12"/>
    <x v="3"/>
    <s v="Fraud Control"/>
    <x v="2"/>
    <n v="819151.57"/>
    <n v="40957.578500000003"/>
    <n v="860109.14849999989"/>
  </r>
  <r>
    <x v="795"/>
    <s v="Daniel"/>
    <s v="Ige"/>
    <x v="1"/>
    <x v="9"/>
    <s v="Training"/>
    <x v="0"/>
    <n v="4137378.8560000001"/>
    <n v="413737.88560000004"/>
    <n v="4551116.7416000003"/>
  </r>
  <r>
    <x v="796"/>
    <s v="Wim"/>
    <s v="Olalekan"/>
    <x v="21"/>
    <x v="5"/>
    <s v="Design"/>
    <x v="1"/>
    <n v="3812260.7439999999"/>
    <n v="381226.07440000004"/>
    <n v="4193486.8184000002"/>
  </r>
  <r>
    <x v="797"/>
    <s v="Rotimi"/>
    <s v="Olanrewaju"/>
    <x v="25"/>
    <x v="1"/>
    <s v="Benefits Admin."/>
    <x v="0"/>
    <n v="5084483.3440000005"/>
    <n v="508448.33440000005"/>
    <n v="5592931.6784000006"/>
  </r>
  <r>
    <x v="798"/>
    <s v="Chukwudi"/>
    <s v="Fatima"/>
    <x v="21"/>
    <x v="6"/>
    <s v="Courier"/>
    <x v="1"/>
    <n v="3325196.892"/>
    <n v="332519.68920000002"/>
    <n v="3657716.5811999999"/>
  </r>
  <r>
    <x v="799"/>
    <s v="Kaliba"/>
    <s v="Monwuba"/>
    <x v="26"/>
    <x v="4"/>
    <s v="Business Application Support"/>
    <x v="0"/>
    <n v="2131728.264"/>
    <n v="213172.82640000002"/>
    <n v="2344901.0904000001"/>
  </r>
  <r>
    <x v="800"/>
    <s v="Lola"/>
    <s v="Myburgh-Segatta."/>
    <x v="6"/>
    <x v="8"/>
    <s v="Call Center"/>
    <x v="2"/>
    <n v="452330.30200000003"/>
    <n v="22616.515100000004"/>
    <n v="474946.81710000004"/>
  </r>
  <r>
    <x v="801"/>
    <s v="Oghenerume"/>
    <s v="Adetunji"/>
    <x v="8"/>
    <x v="4"/>
    <s v="Desktop Support"/>
    <x v="3"/>
    <n v="3624467.1159999999"/>
    <n v="362446.71160000004"/>
    <n v="3986913.8276"/>
  </r>
  <r>
    <x v="802"/>
    <s v="Olamipo"/>
    <s v="Mbakwe"/>
    <x v="22"/>
    <x v="3"/>
    <s v="Risk Management"/>
    <x v="4"/>
    <n v="5795184.8300000001"/>
    <n v="579518.48300000001"/>
    <n v="6374703.3130000001"/>
  </r>
  <r>
    <x v="803"/>
    <s v="Nnenna"/>
    <s v="Bilala"/>
    <x v="28"/>
    <x v="9"/>
    <s v="Maintenance"/>
    <x v="5"/>
    <n v="1864724.7580000001"/>
    <n v="186472.47580000001"/>
    <n v="2051197.2338"/>
  </r>
  <r>
    <x v="804"/>
    <s v="Victor"/>
    <s v="Farotimi"/>
    <x v="23"/>
    <x v="1"/>
    <s v="Payroll"/>
    <x v="0"/>
    <n v="359228.7"/>
    <n v="17961.435000000001"/>
    <n v="377190.13500000001"/>
  </r>
  <r>
    <x v="805"/>
    <s v="Damiloju"/>
    <s v="Augoye"/>
    <x v="3"/>
    <x v="7"/>
    <s v="Planning"/>
    <x v="0"/>
    <n v="4139527.7939999998"/>
    <n v="413952.7794"/>
    <n v="4553480.5734000001"/>
  </r>
  <r>
    <x v="806"/>
    <s v="Ifechukwude"/>
    <s v="Macaulay"/>
    <x v="1"/>
    <x v="7"/>
    <s v="Technical Design"/>
    <x v="3"/>
    <n v="3150587.2260000003"/>
    <n v="315058.72260000004"/>
    <n v="3465645.9486000002"/>
  </r>
  <r>
    <x v="807"/>
    <s v="Lukman"/>
    <s v="Okoye"/>
    <x v="13"/>
    <x v="2"/>
    <s v="MD's Office"/>
    <x v="5"/>
    <n v="2951976.6159999999"/>
    <n v="295197.66159999999"/>
    <n v="3247174.2775999997"/>
  </r>
  <r>
    <x v="808"/>
    <s v="Oluwatomisin"/>
    <s v="Omotosho"/>
    <x v="10"/>
    <x v="1"/>
    <s v="Training &amp; Development"/>
    <x v="2"/>
    <n v="2593486.4179999996"/>
    <n v="259348.64179999998"/>
    <n v="2852835.0597999995"/>
  </r>
  <r>
    <x v="809"/>
    <s v="Olamide"/>
    <s v="Onyogo"/>
    <x v="30"/>
    <x v="6"/>
    <s v="Logistics"/>
    <x v="0"/>
    <n v="4445270.4840000002"/>
    <n v="444527.04840000003"/>
    <n v="4889797.5323999999"/>
  </r>
  <r>
    <x v="810"/>
    <s v="Olubukola"/>
    <s v="Shittu"/>
    <x v="13"/>
    <x v="8"/>
    <s v="Social Media"/>
    <x v="4"/>
    <n v="4526589.6559999995"/>
    <n v="452658.9656"/>
    <n v="4979248.6215999993"/>
  </r>
  <r>
    <x v="811"/>
    <s v="Sandra"/>
    <s v="Chukwubuezedike"/>
    <x v="0"/>
    <x v="3"/>
    <s v="Compliance"/>
    <x v="2"/>
    <n v="2631965.5839999998"/>
    <n v="263196.55839999998"/>
    <n v="2895162.1423999998"/>
  </r>
  <r>
    <x v="812"/>
    <s v="Samuel"/>
    <s v="Ojikutu"/>
    <x v="0"/>
    <x v="9"/>
    <s v="Research"/>
    <x v="5"/>
    <n v="3614763.6639999999"/>
    <n v="361476.3664"/>
    <n v="3976240.0304"/>
  </r>
  <r>
    <x v="813"/>
    <s v="Ijeoma"/>
    <s v="Oladejo"/>
    <x v="1"/>
    <x v="3"/>
    <s v="Fraud Control"/>
    <x v="4"/>
    <n v="1712164.152"/>
    <n v="171216.41520000002"/>
    <n v="1883380.5671999999"/>
  </r>
  <r>
    <x v="814"/>
    <s v="Atilola"/>
    <s v="Akangbe"/>
    <x v="2"/>
    <x v="1"/>
    <s v="Benefits Admin."/>
    <x v="4"/>
    <n v="3442505.82"/>
    <n v="344250.58199999999"/>
    <n v="3786756.4019999998"/>
  </r>
  <r>
    <x v="815"/>
    <s v="Gloria"/>
    <s v="Iwatan"/>
    <x v="2"/>
    <x v="1"/>
    <s v="Payroll"/>
    <x v="2"/>
    <n v="572509.9219999999"/>
    <n v="28625.496099999997"/>
    <n v="601135.41809999989"/>
  </r>
  <r>
    <x v="816"/>
    <s v="Deborah"/>
    <s v="Nwankwo"/>
    <x v="7"/>
    <x v="1"/>
    <s v="Training &amp; Development"/>
    <x v="4"/>
    <n v="1487117.99"/>
    <n v="148711.799"/>
    <n v="1635829.7889999999"/>
  </r>
  <r>
    <x v="817"/>
    <s v="Paschal"/>
    <s v="Alabiade"/>
    <x v="0"/>
    <x v="1"/>
    <s v="Benefits Admin."/>
    <x v="5"/>
    <n v="586086.826"/>
    <n v="29304.3413"/>
    <n v="615391.16729999997"/>
  </r>
  <r>
    <x v="818"/>
    <s v="Enoch"/>
    <s v="Onibode"/>
    <x v="9"/>
    <x v="1"/>
    <s v="Payroll"/>
    <x v="0"/>
    <n v="5033677.2259999998"/>
    <n v="503367.72259999998"/>
    <n v="5537044.9485999998"/>
  </r>
  <r>
    <x v="819"/>
    <s v="Anthony"/>
    <s v="Francis"/>
    <x v="0"/>
    <x v="1"/>
    <s v="Training &amp; Development"/>
    <x v="3"/>
    <n v="1796945.1780000001"/>
    <n v="179694.51780000003"/>
    <n v="1976639.6958000001"/>
  </r>
  <r>
    <x v="820"/>
    <s v="Isiaka"/>
    <s v="Amaechi"/>
    <x v="7"/>
    <x v="2"/>
    <s v="Expenditure"/>
    <x v="0"/>
    <n v="411189.158"/>
    <n v="20559.457900000001"/>
    <n v="431748.61589999998"/>
  </r>
  <r>
    <x v="821"/>
    <s v="Dorcas"/>
    <s v="Onyeahialam"/>
    <x v="14"/>
    <x v="3"/>
    <s v="Risk Management"/>
    <x v="5"/>
    <n v="2039669.0660000001"/>
    <n v="203966.90660000002"/>
    <n v="2243635.9726"/>
  </r>
  <r>
    <x v="822"/>
    <s v="Itunuoluwa"/>
    <s v="Adetunji"/>
    <x v="0"/>
    <x v="4"/>
    <s v="Connectivity"/>
    <x v="1"/>
    <n v="2017517.398"/>
    <n v="201751.73980000001"/>
    <n v="2219269.1378000001"/>
  </r>
  <r>
    <x v="823"/>
    <s v="Ayoola"/>
    <s v="Bello"/>
    <x v="9"/>
    <x v="3"/>
    <s v="Compliance"/>
    <x v="0"/>
    <n v="1744337.59"/>
    <n v="174433.75900000002"/>
    <n v="1918771.3490000002"/>
  </r>
  <r>
    <x v="824"/>
    <s v="Elizabeth"/>
    <s v="Adeyeye"/>
    <x v="0"/>
    <x v="8"/>
    <s v="Help Desk"/>
    <x v="2"/>
    <n v="382479.90599999996"/>
    <n v="19123.995299999999"/>
    <n v="401603.90129999997"/>
  </r>
  <r>
    <x v="825"/>
    <s v="James"/>
    <s v="Idachaba"/>
    <x v="23"/>
    <x v="1"/>
    <s v="Benefits Admin."/>
    <x v="1"/>
    <n v="4327320.2560000001"/>
    <n v="432732.02560000005"/>
    <n v="4760052.2816000003"/>
  </r>
  <r>
    <x v="826"/>
    <s v="Ernest"/>
    <s v="Adefarasin"/>
    <x v="3"/>
    <x v="2"/>
    <s v="Supplies"/>
    <x v="3"/>
    <n v="5306350.99"/>
    <n v="530635.09900000005"/>
    <n v="5836986.0890000006"/>
  </r>
  <r>
    <x v="827"/>
    <s v="Nosa"/>
    <s v="Diete-Spiff"/>
    <x v="1"/>
    <x v="6"/>
    <s v="Call Center"/>
    <x v="1"/>
    <n v="1467206.2080000001"/>
    <n v="146720.6208"/>
    <n v="1613926.8288"/>
  </r>
  <r>
    <x v="828"/>
    <s v="Uche"/>
    <s v="Nwosisi"/>
    <x v="13"/>
    <x v="1"/>
    <s v="Payroll"/>
    <x v="5"/>
    <n v="3000367.9479999999"/>
    <n v="300036.79479999997"/>
    <n v="3300404.7427999997"/>
  </r>
  <r>
    <x v="829"/>
    <s v="Ikechukwu"/>
    <s v="Okoh"/>
    <x v="24"/>
    <x v="2"/>
    <s v="MD's Office"/>
    <x v="1"/>
    <n v="5556635.2220000001"/>
    <n v="555663.52220000001"/>
    <n v="6112298.7442000005"/>
  </r>
  <r>
    <x v="830"/>
    <s v="Joyce"/>
    <s v="Ojo"/>
    <x v="10"/>
    <x v="1"/>
    <s v="Training &amp; Development"/>
    <x v="0"/>
    <n v="615803.50199999998"/>
    <n v="30790.1751"/>
    <n v="646593.67709999997"/>
  </r>
  <r>
    <x v="831"/>
    <s v="Humphrey"/>
    <s v="Eweka"/>
    <x v="30"/>
    <x v="1"/>
    <s v="Benefits Admin."/>
    <x v="3"/>
    <n v="2589309.8059999999"/>
    <n v="258930.98060000001"/>
    <n v="2848240.7865999998"/>
  </r>
  <r>
    <x v="832"/>
    <s v="Furo"/>
    <s v="Otike-Odibi"/>
    <x v="0"/>
    <x v="1"/>
    <s v="Payroll"/>
    <x v="1"/>
    <n v="5598515.6100000003"/>
    <n v="559851.5610000001"/>
    <n v="6158367.1710000001"/>
  </r>
  <r>
    <x v="833"/>
    <s v="Chidi"/>
    <s v="Izevbigie"/>
    <x v="25"/>
    <x v="1"/>
    <s v="Training &amp; Development"/>
    <x v="5"/>
    <n v="325233.96999999997"/>
    <n v="16261.698499999999"/>
    <n v="341495.66849999997"/>
  </r>
  <r>
    <x v="834"/>
    <s v="Ibironke"/>
    <s v="Chiwonyi"/>
    <x v="31"/>
    <x v="2"/>
    <s v="Expenditure"/>
    <x v="5"/>
    <n v="3524529.2560000001"/>
    <n v="352452.92560000002"/>
    <n v="3876982.1816000002"/>
  </r>
  <r>
    <x v="835"/>
    <s v="Olubukonla"/>
    <s v="Akpata"/>
    <x v="27"/>
    <x v="1"/>
    <s v="Benefits Admin."/>
    <x v="1"/>
    <n v="3676452.06"/>
    <n v="367645.20600000001"/>
    <n v="4044097.2659999998"/>
  </r>
  <r>
    <x v="836"/>
    <s v="Olugbenga"/>
    <s v="Agu"/>
    <x v="0"/>
    <x v="3"/>
    <s v="Fraud Control"/>
    <x v="3"/>
    <n v="4328437.284"/>
    <n v="432843.72840000002"/>
    <n v="4761281.0124000004"/>
  </r>
  <r>
    <x v="837"/>
    <s v="Abdul-Rasaq"/>
    <s v="Popoola"/>
    <x v="15"/>
    <x v="9"/>
    <s v="Training"/>
    <x v="0"/>
    <n v="1323615.6399999999"/>
    <n v="132361.56399999998"/>
    <n v="1455977.2039999999"/>
  </r>
  <r>
    <x v="838"/>
    <s v="Ugo"/>
    <s v="Itayemi"/>
    <x v="21"/>
    <x v="1"/>
    <s v="Payroll"/>
    <x v="0"/>
    <n v="5672951.8840000005"/>
    <n v="567295.1884000001"/>
    <n v="6240247.0724000009"/>
  </r>
  <r>
    <x v="839"/>
    <s v="Ugo"/>
    <s v="Agoro"/>
    <x v="32"/>
    <x v="2"/>
    <s v="Supplies"/>
    <x v="0"/>
    <n v="2616080"/>
    <n v="261608"/>
    <n v="2877688"/>
  </r>
  <r>
    <x v="840"/>
    <s v="Uzezi"/>
    <s v="Obhizolle"/>
    <x v="35"/>
    <x v="7"/>
    <s v="Maintenance"/>
    <x v="1"/>
    <n v="5816035.2420000006"/>
    <n v="581603.5242000001"/>
    <n v="6397638.7662000004"/>
  </r>
  <r>
    <x v="841"/>
    <s v="Ibrahim"/>
    <s v="Akinbodunse"/>
    <x v="11"/>
    <x v="9"/>
    <s v="Maintenance"/>
    <x v="0"/>
    <n v="5111621.9939999999"/>
    <n v="511162.19940000004"/>
    <n v="5622784.1934000002"/>
  </r>
  <r>
    <x v="842"/>
    <s v="Ifeoma"/>
    <s v="Ikpoba"/>
    <x v="17"/>
    <x v="4"/>
    <s v="Business Application Support"/>
    <x v="3"/>
    <n v="5128282.9679999994"/>
    <n v="512828.29679999995"/>
    <n v="5641111.2647999991"/>
  </r>
  <r>
    <x v="843"/>
    <s v="Abiodun"/>
    <s v="Fadahunsi"/>
    <x v="27"/>
    <x v="1"/>
    <s v="Training &amp; Development"/>
    <x v="1"/>
    <n v="4655094.5159999998"/>
    <n v="465509.45160000003"/>
    <n v="5120603.9676000001"/>
  </r>
  <r>
    <x v="844"/>
    <s v="Bolanle"/>
    <s v="Busari"/>
    <x v="35"/>
    <x v="1"/>
    <s v="Benefits Admin."/>
    <x v="2"/>
    <n v="2277120.3020000001"/>
    <n v="227712.03020000004"/>
    <n v="2504832.3322000001"/>
  </r>
  <r>
    <x v="845"/>
    <s v="Gloria"/>
    <s v="Mayuku"/>
    <x v="11"/>
    <x v="6"/>
    <s v="Courier"/>
    <x v="2"/>
    <n v="5918265.4579999996"/>
    <n v="591826.54579999996"/>
    <n v="6510092.0037999991"/>
  </r>
  <r>
    <x v="846"/>
    <s v="Queenmary"/>
    <s v="Ugwumadu"/>
    <x v="27"/>
    <x v="4"/>
    <s v="Desktop Support"/>
    <x v="0"/>
    <n v="1910094.9839999999"/>
    <n v="191009.49840000001"/>
    <n v="2101104.4824000001"/>
  </r>
  <r>
    <x v="847"/>
    <s v="Olubunmi"/>
    <s v="Onabanjo"/>
    <x v="9"/>
    <x v="1"/>
    <s v="Payroll"/>
    <x v="0"/>
    <n v="361715.77799999999"/>
    <n v="18085.7889"/>
    <n v="379801.56689999998"/>
  </r>
  <r>
    <x v="848"/>
    <s v="Lara"/>
    <s v="Utoh"/>
    <x v="5"/>
    <x v="1"/>
    <s v="Training &amp; Development"/>
    <x v="3"/>
    <n v="4962585.04"/>
    <n v="496258.50400000002"/>
    <n v="5458843.5439999998"/>
  </r>
  <r>
    <x v="849"/>
    <s v="Abiola"/>
    <s v="Bamigboye"/>
    <x v="29"/>
    <x v="2"/>
    <s v="MD's Office"/>
    <x v="3"/>
    <n v="5720832.5079999994"/>
    <n v="572083.25079999992"/>
    <n v="6292915.758799999"/>
  </r>
  <r>
    <x v="850"/>
    <s v="Onyemaechi"/>
    <s v="Eyitayo"/>
    <x v="9"/>
    <x v="4"/>
    <s v="Connectivity"/>
    <x v="5"/>
    <n v="4641310.0640000002"/>
    <n v="464131.00640000007"/>
    <n v="5105441.0704000005"/>
  </r>
  <r>
    <x v="851"/>
    <s v="Olusola"/>
    <s v="Ajobena"/>
    <x v="32"/>
    <x v="4"/>
    <s v="Business Application Support"/>
    <x v="5"/>
    <n v="2988489.906"/>
    <n v="298848.99060000002"/>
    <n v="3287338.8966000001"/>
  </r>
  <r>
    <x v="852"/>
    <s v="Adebukola"/>
    <s v="Areo"/>
    <x v="35"/>
    <x v="2"/>
    <s v="Expenditure"/>
    <x v="1"/>
    <n v="1129470.81"/>
    <n v="112947.08100000001"/>
    <n v="1242417.891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3:Q10" firstHeaderRow="1" firstDataRow="1" firstDataCol="1"/>
  <pivotFields count="10">
    <pivotField numFmtId="37" showAll="0">
      <items count="8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t="default"/>
      </items>
    </pivotField>
    <pivotField showAll="0"/>
    <pivotField showAll="0"/>
    <pivotField showAll="0"/>
    <pivotField showAll="0" sortType="descending">
      <items count="11">
        <item x="5"/>
        <item x="9"/>
        <item x="7"/>
        <item x="4"/>
        <item x="3"/>
        <item x="1"/>
        <item x="0"/>
        <item x="6"/>
        <item x="8"/>
        <item x="2"/>
        <item t="default"/>
      </items>
    </pivotField>
    <pivotField showAll="0"/>
    <pivotField axis="axisRow" showAll="0">
      <items count="7">
        <item x="5"/>
        <item x="1"/>
        <item x="3"/>
        <item x="4"/>
        <item x="2"/>
        <item x="0"/>
        <item t="default"/>
      </items>
    </pivotField>
    <pivotField dataField="1" numFmtId="164" showAll="0"/>
    <pivotField numFmtId="164" showAll="0"/>
    <pivotField numFmtId="164" showAll="0"/>
  </pivotFields>
  <rowFields count="1">
    <field x="6"/>
  </rowFields>
  <rowItems count="7">
    <i>
      <x/>
    </i>
    <i>
      <x v="1"/>
    </i>
    <i>
      <x v="2"/>
    </i>
    <i>
      <x v="3"/>
    </i>
    <i>
      <x v="4"/>
    </i>
    <i>
      <x v="5"/>
    </i>
    <i t="grand">
      <x/>
    </i>
  </rowItems>
  <colItems count="1">
    <i/>
  </colItems>
  <dataFields count="1">
    <dataField name="Sum of Salary" fld="7" baseField="6" baseItem="0"/>
  </dataFields>
  <formats count="2">
    <format dxfId="8">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M3:N41" firstHeaderRow="1" firstDataRow="1" firstDataCol="1"/>
  <pivotFields count="10">
    <pivotField dataField="1" numFmtId="37" showAll="0"/>
    <pivotField showAll="0"/>
    <pivotField showAll="0"/>
    <pivotField axis="axisRow" showAll="0">
      <items count="38">
        <item x="22"/>
        <item x="8"/>
        <item x="6"/>
        <item x="13"/>
        <item x="0"/>
        <item x="26"/>
        <item x="4"/>
        <item x="1"/>
        <item x="7"/>
        <item x="3"/>
        <item x="12"/>
        <item x="28"/>
        <item x="9"/>
        <item x="35"/>
        <item x="34"/>
        <item x="14"/>
        <item x="11"/>
        <item x="25"/>
        <item x="23"/>
        <item x="36"/>
        <item x="18"/>
        <item x="33"/>
        <item x="27"/>
        <item x="21"/>
        <item x="5"/>
        <item x="19"/>
        <item x="31"/>
        <item x="29"/>
        <item x="32"/>
        <item x="30"/>
        <item x="20"/>
        <item x="16"/>
        <item x="2"/>
        <item x="24"/>
        <item x="17"/>
        <item x="10"/>
        <item x="15"/>
        <item t="default"/>
      </items>
    </pivotField>
    <pivotField showAll="0" sortType="descending">
      <items count="11">
        <item x="5"/>
        <item x="9"/>
        <item x="7"/>
        <item x="4"/>
        <item x="3"/>
        <item x="1"/>
        <item x="0"/>
        <item x="6"/>
        <item x="8"/>
        <item x="2"/>
        <item t="default"/>
      </items>
    </pivotField>
    <pivotField showAll="0"/>
    <pivotField showAll="0">
      <items count="7">
        <item x="5"/>
        <item x="1"/>
        <item x="3"/>
        <item x="4"/>
        <item x="2"/>
        <item x="0"/>
        <item t="default"/>
      </items>
    </pivotField>
    <pivotField numFmtId="164" showAll="0"/>
    <pivotField numFmtId="164" showAll="0"/>
    <pivotField numFmtId="164"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Employee_id" fld="0" subtotal="count" baseField="3" baseItem="0"/>
  </dataFields>
  <formats count="2">
    <format dxfId="21">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3:J10" firstHeaderRow="1" firstDataRow="1" firstDataCol="1"/>
  <pivotFields count="10">
    <pivotField dataField="1" numFmtId="37" showAll="0"/>
    <pivotField showAll="0"/>
    <pivotField showAll="0"/>
    <pivotField showAll="0"/>
    <pivotField showAll="0" sortType="descending">
      <items count="11">
        <item x="5"/>
        <item x="9"/>
        <item x="7"/>
        <item x="4"/>
        <item x="3"/>
        <item x="1"/>
        <item x="0"/>
        <item x="6"/>
        <item x="8"/>
        <item x="2"/>
        <item t="default"/>
      </items>
    </pivotField>
    <pivotField showAll="0"/>
    <pivotField axis="axisRow" showAll="0">
      <items count="7">
        <item x="5"/>
        <item x="1"/>
        <item x="3"/>
        <item x="4"/>
        <item x="2"/>
        <item x="0"/>
        <item t="default"/>
      </items>
    </pivotField>
    <pivotField numFmtId="164" showAll="0"/>
    <pivotField numFmtId="164" showAll="0"/>
    <pivotField numFmtId="164" showAll="0"/>
  </pivotFields>
  <rowFields count="1">
    <field x="6"/>
  </rowFields>
  <rowItems count="7">
    <i>
      <x/>
    </i>
    <i>
      <x v="1"/>
    </i>
    <i>
      <x v="2"/>
    </i>
    <i>
      <x v="3"/>
    </i>
    <i>
      <x v="4"/>
    </i>
    <i>
      <x v="5"/>
    </i>
    <i t="grand">
      <x/>
    </i>
  </rowItems>
  <colItems count="1">
    <i/>
  </colItems>
  <dataFields count="1">
    <dataField name="Count of Employee_id" fld="0" subtotal="count" baseField="4" baseItem="0"/>
  </dataFields>
  <formats count="2">
    <format dxfId="29">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F14" firstHeaderRow="1" firstDataRow="1" firstDataCol="1"/>
  <pivotFields count="10">
    <pivotField dataField="1" numFmtId="37" showAll="0"/>
    <pivotField showAll="0"/>
    <pivotField showAll="0"/>
    <pivotField showAll="0"/>
    <pivotField axis="axisRow" showAll="0" sortType="descending">
      <items count="11">
        <item x="5"/>
        <item x="9"/>
        <item x="7"/>
        <item x="4"/>
        <item x="3"/>
        <item x="1"/>
        <item x="0"/>
        <item x="6"/>
        <item x="8"/>
        <item x="2"/>
        <item t="default"/>
      </items>
    </pivotField>
    <pivotField showAll="0"/>
    <pivotField showAll="0"/>
    <pivotField numFmtId="164" showAll="0"/>
    <pivotField numFmtId="164" showAll="0"/>
    <pivotField numFmtId="164" showAll="0"/>
  </pivotFields>
  <rowFields count="1">
    <field x="4"/>
  </rowFields>
  <rowItems count="11">
    <i>
      <x/>
    </i>
    <i>
      <x v="1"/>
    </i>
    <i>
      <x v="2"/>
    </i>
    <i>
      <x v="3"/>
    </i>
    <i>
      <x v="4"/>
    </i>
    <i>
      <x v="5"/>
    </i>
    <i>
      <x v="6"/>
    </i>
    <i>
      <x v="7"/>
    </i>
    <i>
      <x v="8"/>
    </i>
    <i>
      <x v="9"/>
    </i>
    <i t="grand">
      <x/>
    </i>
  </rowItems>
  <colItems count="1">
    <i/>
  </colItems>
  <dataFields count="1">
    <dataField name="Count of Employee_id" fld="0" subtotal="count" baseField="4" baseItem="0"/>
  </dataFields>
  <formats count="2">
    <format dxfId="39">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4" firstHeaderRow="1" firstDataRow="1" firstDataCol="1"/>
  <pivotFields count="10">
    <pivotField numFmtId="37" showAll="0"/>
    <pivotField showAll="0"/>
    <pivotField showAll="0"/>
    <pivotField showAll="0"/>
    <pivotField axis="axisRow" showAll="0" sortType="descending">
      <items count="11">
        <item x="5"/>
        <item x="9"/>
        <item x="7"/>
        <item x="4"/>
        <item x="3"/>
        <item x="1"/>
        <item x="0"/>
        <item x="6"/>
        <item x="8"/>
        <item x="2"/>
        <item t="default"/>
      </items>
    </pivotField>
    <pivotField showAll="0"/>
    <pivotField showAll="0"/>
    <pivotField dataField="1" numFmtId="164" showAll="0"/>
    <pivotField numFmtId="164" showAll="0"/>
    <pivotField numFmtId="164" showAll="0"/>
  </pivotFields>
  <rowFields count="1">
    <field x="4"/>
  </rowFields>
  <rowItems count="11">
    <i>
      <x/>
    </i>
    <i>
      <x v="1"/>
    </i>
    <i>
      <x v="2"/>
    </i>
    <i>
      <x v="3"/>
    </i>
    <i>
      <x v="4"/>
    </i>
    <i>
      <x v="5"/>
    </i>
    <i>
      <x v="6"/>
    </i>
    <i>
      <x v="7"/>
    </i>
    <i>
      <x v="8"/>
    </i>
    <i>
      <x v="9"/>
    </i>
    <i t="grand">
      <x/>
    </i>
  </rowItems>
  <colItems count="1">
    <i/>
  </colItems>
  <dataFields count="1">
    <dataField name="Sum of Salary" fld="7" baseField="0" baseItem="0" numFmtId="164"/>
  </dataFields>
  <formats count="2">
    <format dxfId="56">
      <pivotArea outline="0" collapsedLevelsAreSubtotals="1"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N1001" totalsRowShown="0" headerRowDxfId="54" dataDxfId="52" headerRowBorderDxfId="53">
  <autoFilter ref="A1:N1001"/>
  <sortState ref="A2:H1001">
    <sortCondition ref="A1:A1001"/>
  </sortState>
  <tableColumns count="14">
    <tableColumn id="1" name="Employee_ID" dataDxfId="51"/>
    <tableColumn id="2" name="First_Name" dataDxfId="50"/>
    <tableColumn id="3" name="Last_Name" dataDxfId="49"/>
    <tableColumn id="4" name="State " dataDxfId="48"/>
    <tableColumn id="5" name="Department" dataDxfId="47"/>
    <tableColumn id="6" name="Unit" dataDxfId="46"/>
    <tableColumn id="7" name="Bank" dataDxfId="45"/>
    <tableColumn id="8" name="Salary" dataDxfId="44"/>
    <tableColumn id="9" name="Bonus" dataDxfId="43" dataCellStyle="Currency">
      <calculatedColumnFormula>IF(Table1[[#This Row],[Salary]]&lt;1000000,Table1[[#This Row],[Salary]]*0.05,Table1[[#This Row],[Salary]]*0.1)</calculatedColumnFormula>
    </tableColumn>
    <tableColumn id="10" name="Total_Pay" dataDxfId="42" dataCellStyle="Currency">
      <calculatedColumnFormula>Table1[[#This Row],[Salary]]+Table1[[#This Row],[Bonus]]</calculatedColumnFormula>
    </tableColumn>
    <tableColumn id="11" name=" Total_Employees" dataDxfId="41">
      <calculatedColumnFormula>COUNTA(Table1[Employee_ID])</calculatedColumnFormula>
    </tableColumn>
    <tableColumn id="12" name="Total_Salary Cost" dataDxfId="11">
      <calculatedColumnFormula>SUM(Table1[Salary])</calculatedColumnFormula>
    </tableColumn>
    <tableColumn id="13" name="Average_Salary" dataDxfId="10" dataCellStyle="Currency">
      <calculatedColumnFormula>AVERAGE(Table1[Salary])</calculatedColumnFormula>
    </tableColumn>
    <tableColumn id="15" name="Total Bonus" dataDxfId="12" dataCellStyle="Currency">
      <calculatedColumnFormula>SUM(Table1[Bonus])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41"/>
  <sheetViews>
    <sheetView tabSelected="1" topLeftCell="K1" workbookViewId="0">
      <selection activeCell="R8" sqref="R8"/>
    </sheetView>
  </sheetViews>
  <sheetFormatPr defaultRowHeight="15" x14ac:dyDescent="0.25"/>
  <cols>
    <col min="1" max="1" width="16.85546875" bestFit="1" customWidth="1"/>
    <col min="2" max="2" width="18.42578125" style="16" bestFit="1" customWidth="1"/>
    <col min="5" max="5" width="16.85546875" bestFit="1" customWidth="1"/>
    <col min="6" max="6" width="22.42578125" customWidth="1"/>
    <col min="7" max="7" width="13.140625" bestFit="1" customWidth="1"/>
    <col min="9" max="9" width="21" customWidth="1"/>
    <col min="10" max="10" width="22.42578125" bestFit="1" customWidth="1"/>
    <col min="13" max="13" width="13.140625" customWidth="1"/>
    <col min="14" max="14" width="22.42578125" bestFit="1" customWidth="1"/>
    <col min="16" max="16" width="21" bestFit="1" customWidth="1"/>
    <col min="17" max="17" width="18.42578125" customWidth="1"/>
    <col min="18" max="18" width="14.7109375" customWidth="1"/>
    <col min="19" max="31" width="14.7109375" bestFit="1" customWidth="1"/>
    <col min="32" max="32" width="15.7109375" bestFit="1" customWidth="1"/>
    <col min="33" max="41" width="14.7109375" bestFit="1" customWidth="1"/>
    <col min="42" max="42" width="15.7109375" bestFit="1" customWidth="1"/>
    <col min="43" max="48" width="14.7109375" bestFit="1" customWidth="1"/>
    <col min="49" max="49" width="15.7109375" bestFit="1" customWidth="1"/>
    <col min="50" max="78" width="14.7109375" bestFit="1" customWidth="1"/>
    <col min="79" max="79" width="15.7109375" bestFit="1" customWidth="1"/>
    <col min="80" max="80" width="14.7109375" bestFit="1" customWidth="1"/>
    <col min="81" max="81" width="15.7109375" bestFit="1" customWidth="1"/>
    <col min="82" max="82" width="14.7109375" bestFit="1" customWidth="1"/>
    <col min="83" max="83" width="15.7109375" bestFit="1" customWidth="1"/>
    <col min="84" max="87" width="14.7109375" bestFit="1" customWidth="1"/>
    <col min="88" max="88" width="15.7109375" bestFit="1" customWidth="1"/>
    <col min="89" max="98" width="14.7109375" bestFit="1" customWidth="1"/>
    <col min="99" max="99" width="15.7109375" bestFit="1" customWidth="1"/>
    <col min="100" max="118" width="14.7109375" bestFit="1" customWidth="1"/>
    <col min="119" max="119" width="13.140625" bestFit="1" customWidth="1"/>
    <col min="120" max="132" width="14.7109375" bestFit="1" customWidth="1"/>
    <col min="133" max="133" width="15.7109375" bestFit="1" customWidth="1"/>
    <col min="134" max="145" width="14.7109375" bestFit="1" customWidth="1"/>
    <col min="146" max="146" width="15.7109375" bestFit="1" customWidth="1"/>
    <col min="147" max="173" width="14.7109375" bestFit="1" customWidth="1"/>
    <col min="174" max="174" width="15.7109375" bestFit="1" customWidth="1"/>
    <col min="175" max="199" width="14.7109375" bestFit="1" customWidth="1"/>
    <col min="200" max="200" width="13.140625" bestFit="1" customWidth="1"/>
    <col min="201" max="207" width="14.7109375" bestFit="1" customWidth="1"/>
    <col min="208" max="208" width="13.140625" bestFit="1" customWidth="1"/>
    <col min="209" max="222" width="14.7109375" bestFit="1" customWidth="1"/>
    <col min="223" max="223" width="13.140625" bestFit="1" customWidth="1"/>
    <col min="224" max="224" width="14.7109375" bestFit="1" customWidth="1"/>
    <col min="225" max="225" width="13.140625" bestFit="1" customWidth="1"/>
    <col min="226" max="238" width="14.7109375" bestFit="1" customWidth="1"/>
    <col min="239" max="239" width="13.140625" bestFit="1" customWidth="1"/>
    <col min="240" max="243" width="14.7109375" bestFit="1" customWidth="1"/>
    <col min="244" max="244" width="13.140625" bestFit="1" customWidth="1"/>
    <col min="245" max="254" width="14.7109375" bestFit="1" customWidth="1"/>
    <col min="255" max="255" width="13.140625" bestFit="1" customWidth="1"/>
    <col min="256" max="256" width="14.7109375" bestFit="1" customWidth="1"/>
    <col min="257" max="257" width="13.140625" bestFit="1" customWidth="1"/>
    <col min="258" max="268" width="14.7109375" bestFit="1" customWidth="1"/>
    <col min="269" max="269" width="13.140625" bestFit="1" customWidth="1"/>
    <col min="270" max="282" width="14.7109375" bestFit="1" customWidth="1"/>
    <col min="283" max="283" width="13.140625" bestFit="1" customWidth="1"/>
    <col min="284" max="284" width="14.7109375" bestFit="1" customWidth="1"/>
    <col min="285" max="285" width="13.140625" bestFit="1" customWidth="1"/>
    <col min="286" max="287" width="14.7109375" bestFit="1" customWidth="1"/>
    <col min="288" max="288" width="13.140625" bestFit="1" customWidth="1"/>
    <col min="289" max="302" width="14.7109375" bestFit="1" customWidth="1"/>
    <col min="303" max="303" width="13.140625" bestFit="1" customWidth="1"/>
    <col min="304" max="307" width="14.7109375" bestFit="1" customWidth="1"/>
    <col min="308" max="308" width="13.140625" bestFit="1" customWidth="1"/>
    <col min="309" max="309" width="14.7109375" bestFit="1" customWidth="1"/>
    <col min="310" max="310" width="13.140625" bestFit="1" customWidth="1"/>
    <col min="311" max="317" width="14.7109375" bestFit="1" customWidth="1"/>
    <col min="318" max="318" width="13.140625" bestFit="1" customWidth="1"/>
    <col min="319" max="322" width="14.7109375" bestFit="1" customWidth="1"/>
    <col min="323" max="323" width="13.140625" bestFit="1" customWidth="1"/>
    <col min="324" max="346" width="14.7109375" bestFit="1" customWidth="1"/>
    <col min="347" max="347" width="13.140625" bestFit="1" customWidth="1"/>
    <col min="348" max="377" width="14.7109375" bestFit="1" customWidth="1"/>
    <col min="378" max="378" width="13.140625" bestFit="1" customWidth="1"/>
    <col min="379" max="384" width="14.7109375" bestFit="1" customWidth="1"/>
    <col min="385" max="385" width="13.140625" bestFit="1" customWidth="1"/>
    <col min="386" max="393" width="14.7109375" bestFit="1" customWidth="1"/>
    <col min="394" max="394" width="13.140625" bestFit="1" customWidth="1"/>
    <col min="395" max="397" width="14.7109375" bestFit="1" customWidth="1"/>
    <col min="398" max="398" width="13.140625" bestFit="1" customWidth="1"/>
    <col min="399" max="409" width="14.7109375" bestFit="1" customWidth="1"/>
    <col min="410" max="410" width="13.140625" bestFit="1" customWidth="1"/>
    <col min="411" max="417" width="14.7109375" bestFit="1" customWidth="1"/>
    <col min="418" max="418" width="13.140625" bestFit="1" customWidth="1"/>
    <col min="419" max="440" width="14.7109375" bestFit="1" customWidth="1"/>
    <col min="441" max="441" width="13.140625" bestFit="1" customWidth="1"/>
    <col min="442" max="451" width="14.7109375" bestFit="1" customWidth="1"/>
    <col min="452" max="453" width="13.140625" bestFit="1" customWidth="1"/>
    <col min="454" max="457" width="14.7109375" bestFit="1" customWidth="1"/>
    <col min="458" max="458" width="13.140625" bestFit="1" customWidth="1"/>
    <col min="459" max="476" width="14.7109375" bestFit="1" customWidth="1"/>
    <col min="477" max="477" width="13.140625" bestFit="1" customWidth="1"/>
    <col min="478" max="486" width="14.7109375" bestFit="1" customWidth="1"/>
    <col min="487" max="487" width="13.140625" bestFit="1" customWidth="1"/>
    <col min="488" max="491" width="14.7109375" bestFit="1" customWidth="1"/>
    <col min="492" max="492" width="13.140625" bestFit="1" customWidth="1"/>
    <col min="493" max="506" width="14.7109375" bestFit="1" customWidth="1"/>
    <col min="507" max="507" width="13.140625" bestFit="1" customWidth="1"/>
    <col min="508" max="514" width="14.7109375" bestFit="1" customWidth="1"/>
    <col min="515" max="515" width="13.140625" bestFit="1" customWidth="1"/>
    <col min="516" max="531" width="14.7109375" bestFit="1" customWidth="1"/>
    <col min="532" max="532" width="13.140625" bestFit="1" customWidth="1"/>
    <col min="533" max="550" width="14.7109375" bestFit="1" customWidth="1"/>
    <col min="551" max="551" width="13.140625" bestFit="1" customWidth="1"/>
    <col min="552" max="553" width="14.7109375" bestFit="1" customWidth="1"/>
    <col min="554" max="554" width="13.140625" bestFit="1" customWidth="1"/>
    <col min="555" max="557" width="14.7109375" bestFit="1" customWidth="1"/>
    <col min="558" max="558" width="13.140625" bestFit="1" customWidth="1"/>
    <col min="559" max="560" width="14.7109375" bestFit="1" customWidth="1"/>
    <col min="561" max="561" width="13.140625" bestFit="1" customWidth="1"/>
    <col min="562" max="567" width="14.7109375" bestFit="1" customWidth="1"/>
    <col min="568" max="568" width="13.140625" bestFit="1" customWidth="1"/>
    <col min="569" max="582" width="14.7109375" bestFit="1" customWidth="1"/>
    <col min="583" max="583" width="13.140625" bestFit="1" customWidth="1"/>
    <col min="584" max="588" width="14.7109375" bestFit="1" customWidth="1"/>
    <col min="589" max="589" width="13.140625" bestFit="1" customWidth="1"/>
    <col min="590" max="606" width="14.7109375" bestFit="1" customWidth="1"/>
    <col min="607" max="607" width="13.140625" bestFit="1" customWidth="1"/>
    <col min="608" max="612" width="14.7109375" bestFit="1" customWidth="1"/>
    <col min="613" max="613" width="13.140625" bestFit="1" customWidth="1"/>
    <col min="614" max="614" width="14.7109375" bestFit="1" customWidth="1"/>
    <col min="615" max="615" width="13.140625" bestFit="1" customWidth="1"/>
    <col min="616" max="618" width="14.7109375" bestFit="1" customWidth="1"/>
    <col min="619" max="619" width="13.140625" bestFit="1" customWidth="1"/>
    <col min="620" max="630" width="14.7109375" bestFit="1" customWidth="1"/>
    <col min="631" max="631" width="13.140625" bestFit="1" customWidth="1"/>
    <col min="632" max="632" width="14.7109375" bestFit="1" customWidth="1"/>
    <col min="633" max="633" width="13.140625" bestFit="1" customWidth="1"/>
    <col min="634" max="634" width="14.7109375" bestFit="1" customWidth="1"/>
    <col min="635" max="635" width="13.140625" bestFit="1" customWidth="1"/>
    <col min="636" max="655" width="14.7109375" bestFit="1" customWidth="1"/>
    <col min="656" max="657" width="13.140625" bestFit="1" customWidth="1"/>
    <col min="658" max="663" width="14.7109375" bestFit="1" customWidth="1"/>
    <col min="664" max="664" width="13.140625" bestFit="1" customWidth="1"/>
    <col min="665" max="666" width="14.7109375" bestFit="1" customWidth="1"/>
    <col min="667" max="667" width="13.140625" bestFit="1" customWidth="1"/>
    <col min="668" max="675" width="14.7109375" bestFit="1" customWidth="1"/>
    <col min="676" max="676" width="13.140625" bestFit="1" customWidth="1"/>
    <col min="677" max="689" width="14.7109375" bestFit="1" customWidth="1"/>
    <col min="690" max="690" width="13.140625" bestFit="1" customWidth="1"/>
    <col min="691" max="691" width="14.7109375" bestFit="1" customWidth="1"/>
    <col min="692" max="692" width="13.140625" bestFit="1" customWidth="1"/>
    <col min="693" max="716" width="14.7109375" bestFit="1" customWidth="1"/>
    <col min="717" max="717" width="13.140625" bestFit="1" customWidth="1"/>
    <col min="718" max="724" width="14.7109375" bestFit="1" customWidth="1"/>
    <col min="725" max="725" width="13.140625" bestFit="1" customWidth="1"/>
    <col min="726" max="733" width="14.7109375" bestFit="1" customWidth="1"/>
    <col min="734" max="734" width="13.140625" bestFit="1" customWidth="1"/>
    <col min="735" max="735" width="14.7109375" bestFit="1" customWidth="1"/>
    <col min="736" max="736" width="13.140625" bestFit="1" customWidth="1"/>
    <col min="737" max="746" width="14.7109375" bestFit="1" customWidth="1"/>
    <col min="747" max="747" width="13.140625" bestFit="1" customWidth="1"/>
    <col min="748" max="750" width="14.7109375" bestFit="1" customWidth="1"/>
    <col min="751" max="751" width="13.140625" bestFit="1" customWidth="1"/>
    <col min="752" max="754" width="14.7109375" bestFit="1" customWidth="1"/>
    <col min="755" max="755" width="13.140625" bestFit="1" customWidth="1"/>
    <col min="756" max="761" width="14.7109375" bestFit="1" customWidth="1"/>
    <col min="762" max="762" width="13.140625" bestFit="1" customWidth="1"/>
    <col min="763" max="765" width="14.7109375" bestFit="1" customWidth="1"/>
    <col min="766" max="766" width="13.140625" bestFit="1" customWidth="1"/>
    <col min="767" max="784" width="14.7109375" bestFit="1" customWidth="1"/>
    <col min="785" max="785" width="13.140625" bestFit="1" customWidth="1"/>
    <col min="786" max="787" width="14.7109375" bestFit="1" customWidth="1"/>
    <col min="788" max="789" width="13.140625" bestFit="1" customWidth="1"/>
    <col min="790" max="803" width="14.7109375" bestFit="1" customWidth="1"/>
    <col min="804" max="804" width="13.140625" bestFit="1" customWidth="1"/>
    <col min="805" max="807" width="14.7109375" bestFit="1" customWidth="1"/>
    <col min="808" max="808" width="13.140625" bestFit="1" customWidth="1"/>
    <col min="809" max="810" width="14.7109375" bestFit="1" customWidth="1"/>
    <col min="811" max="811" width="13.140625" bestFit="1" customWidth="1"/>
    <col min="812" max="816" width="14.7109375" bestFit="1" customWidth="1"/>
    <col min="817" max="817" width="13.140625" bestFit="1" customWidth="1"/>
    <col min="818" max="820" width="14.7109375" bestFit="1" customWidth="1"/>
    <col min="821" max="821" width="13.140625" bestFit="1" customWidth="1"/>
    <col min="822" max="831" width="14.7109375" bestFit="1" customWidth="1"/>
    <col min="832" max="832" width="13.140625" bestFit="1" customWidth="1"/>
    <col min="833" max="833" width="14.7109375" bestFit="1" customWidth="1"/>
    <col min="834" max="834" width="13.140625" bestFit="1" customWidth="1"/>
    <col min="835" max="836" width="14.7109375" bestFit="1" customWidth="1"/>
    <col min="837" max="837" width="13.140625" bestFit="1" customWidth="1"/>
    <col min="838" max="840" width="14.7109375" bestFit="1" customWidth="1"/>
    <col min="841" max="841" width="13.140625" bestFit="1" customWidth="1"/>
    <col min="842" max="846" width="14.7109375" bestFit="1" customWidth="1"/>
    <col min="847" max="847" width="13.140625" bestFit="1" customWidth="1"/>
    <col min="848" max="849" width="14.7109375" bestFit="1" customWidth="1"/>
    <col min="850" max="850" width="13.140625" bestFit="1" customWidth="1"/>
    <col min="851" max="863" width="14.7109375" bestFit="1" customWidth="1"/>
    <col min="864" max="864" width="13.140625" bestFit="1" customWidth="1"/>
    <col min="865" max="869" width="14.7109375" bestFit="1" customWidth="1"/>
    <col min="870" max="870" width="18.42578125" bestFit="1" customWidth="1"/>
  </cols>
  <sheetData>
    <row r="2" spans="1:17" x14ac:dyDescent="0.25">
      <c r="A2" s="22" t="s">
        <v>1473</v>
      </c>
      <c r="E2" s="26" t="s">
        <v>1476</v>
      </c>
      <c r="F2" s="16"/>
      <c r="I2" s="26" t="s">
        <v>1477</v>
      </c>
      <c r="J2" s="16"/>
      <c r="M2" s="26" t="s">
        <v>1478</v>
      </c>
      <c r="N2" s="16"/>
      <c r="P2" s="26" t="s">
        <v>1483</v>
      </c>
      <c r="Q2" s="16"/>
    </row>
    <row r="3" spans="1:17" x14ac:dyDescent="0.25">
      <c r="A3" s="20" t="s">
        <v>1470</v>
      </c>
      <c r="B3" s="16" t="s">
        <v>1472</v>
      </c>
      <c r="E3" s="20" t="s">
        <v>1470</v>
      </c>
      <c r="F3" s="18" t="s">
        <v>1475</v>
      </c>
      <c r="I3" s="20" t="s">
        <v>1470</v>
      </c>
      <c r="J3" s="18" t="s">
        <v>1475</v>
      </c>
      <c r="M3" s="20" t="s">
        <v>1470</v>
      </c>
      <c r="N3" s="18" t="s">
        <v>1475</v>
      </c>
      <c r="P3" s="20" t="s">
        <v>1470</v>
      </c>
      <c r="Q3" s="18" t="s">
        <v>1472</v>
      </c>
    </row>
    <row r="4" spans="1:17" x14ac:dyDescent="0.25">
      <c r="A4" s="21" t="s">
        <v>14</v>
      </c>
      <c r="B4" s="16">
        <v>190228835.32399997</v>
      </c>
      <c r="E4" s="21" t="s">
        <v>14</v>
      </c>
      <c r="F4" s="18">
        <v>66</v>
      </c>
      <c r="I4" s="21" t="s">
        <v>56</v>
      </c>
      <c r="J4" s="18">
        <v>193</v>
      </c>
      <c r="M4" s="21" t="s">
        <v>143</v>
      </c>
      <c r="N4" s="18">
        <v>19</v>
      </c>
      <c r="P4" s="21" t="s">
        <v>56</v>
      </c>
      <c r="Q4" s="18">
        <v>551890946.222</v>
      </c>
    </row>
    <row r="5" spans="1:17" x14ac:dyDescent="0.25">
      <c r="A5" s="21" t="s">
        <v>10</v>
      </c>
      <c r="B5" s="16">
        <v>216528050.442</v>
      </c>
      <c r="E5" s="21" t="s">
        <v>10</v>
      </c>
      <c r="F5" s="18">
        <v>66</v>
      </c>
      <c r="I5" s="21" t="s">
        <v>29</v>
      </c>
      <c r="J5" s="18">
        <v>193</v>
      </c>
      <c r="M5" s="21" t="s">
        <v>140</v>
      </c>
      <c r="N5" s="18">
        <v>18</v>
      </c>
      <c r="P5" s="21" t="s">
        <v>29</v>
      </c>
      <c r="Q5" s="18">
        <v>610217000.81199944</v>
      </c>
    </row>
    <row r="6" spans="1:17" x14ac:dyDescent="0.25">
      <c r="A6" s="21" t="s">
        <v>63</v>
      </c>
      <c r="B6" s="16">
        <v>198533030.19000006</v>
      </c>
      <c r="E6" s="21" t="s">
        <v>63</v>
      </c>
      <c r="F6" s="18">
        <v>66</v>
      </c>
      <c r="I6" s="21" t="s">
        <v>71</v>
      </c>
      <c r="J6" s="18">
        <v>154</v>
      </c>
      <c r="M6" s="21" t="s">
        <v>137</v>
      </c>
      <c r="N6" s="18">
        <v>21</v>
      </c>
      <c r="P6" s="21" t="s">
        <v>71</v>
      </c>
      <c r="Q6" s="18">
        <v>484172341.01999992</v>
      </c>
    </row>
    <row r="7" spans="1:17" x14ac:dyDescent="0.25">
      <c r="A7" s="21" t="s">
        <v>13</v>
      </c>
      <c r="B7" s="16">
        <v>198006828.48800009</v>
      </c>
      <c r="E7" s="21" t="s">
        <v>13</v>
      </c>
      <c r="F7" s="18">
        <v>69</v>
      </c>
      <c r="I7" s="21" t="s">
        <v>48</v>
      </c>
      <c r="J7" s="18">
        <v>77</v>
      </c>
      <c r="M7" s="21" t="s">
        <v>156</v>
      </c>
      <c r="N7" s="18">
        <v>44</v>
      </c>
      <c r="P7" s="21" t="s">
        <v>48</v>
      </c>
      <c r="Q7" s="18">
        <v>252013125.82600003</v>
      </c>
    </row>
    <row r="8" spans="1:17" x14ac:dyDescent="0.25">
      <c r="A8" s="21" t="s">
        <v>39</v>
      </c>
      <c r="B8" s="16">
        <v>178618821.74400002</v>
      </c>
      <c r="E8" s="21" t="s">
        <v>39</v>
      </c>
      <c r="F8" s="18">
        <v>66</v>
      </c>
      <c r="I8" s="21" t="s">
        <v>35</v>
      </c>
      <c r="J8" s="18">
        <v>115</v>
      </c>
      <c r="M8" s="21" t="s">
        <v>21</v>
      </c>
      <c r="N8" s="18">
        <v>86</v>
      </c>
      <c r="P8" s="21" t="s">
        <v>35</v>
      </c>
      <c r="Q8" s="18">
        <v>357489337.63999993</v>
      </c>
    </row>
    <row r="9" spans="1:17" x14ac:dyDescent="0.25">
      <c r="A9" s="21" t="s">
        <v>27</v>
      </c>
      <c r="B9" s="16">
        <v>703109083.99600005</v>
      </c>
      <c r="E9" s="21" t="s">
        <v>27</v>
      </c>
      <c r="F9" s="18">
        <v>220</v>
      </c>
      <c r="I9" s="21" t="s">
        <v>23</v>
      </c>
      <c r="J9" s="18">
        <v>268</v>
      </c>
      <c r="M9" s="21" t="s">
        <v>134</v>
      </c>
      <c r="N9" s="18">
        <v>10</v>
      </c>
      <c r="P9" s="21" t="s">
        <v>23</v>
      </c>
      <c r="Q9" s="18">
        <v>863608772.33799946</v>
      </c>
    </row>
    <row r="10" spans="1:17" x14ac:dyDescent="0.25">
      <c r="A10" s="21" t="s">
        <v>0</v>
      </c>
      <c r="B10" s="16">
        <v>550954640.73999977</v>
      </c>
      <c r="E10" s="21" t="s">
        <v>0</v>
      </c>
      <c r="F10" s="18">
        <v>172</v>
      </c>
      <c r="I10" s="21" t="s">
        <v>1471</v>
      </c>
      <c r="J10" s="18">
        <v>1000</v>
      </c>
      <c r="M10" s="21" t="s">
        <v>38</v>
      </c>
      <c r="N10" s="18">
        <v>11</v>
      </c>
      <c r="P10" s="21" t="s">
        <v>1471</v>
      </c>
      <c r="Q10" s="18">
        <v>3119391523.8579988</v>
      </c>
    </row>
    <row r="11" spans="1:17" x14ac:dyDescent="0.25">
      <c r="A11" s="21" t="s">
        <v>2</v>
      </c>
      <c r="B11" s="16">
        <v>225087038.46200001</v>
      </c>
      <c r="E11" s="21" t="s">
        <v>2</v>
      </c>
      <c r="F11" s="18">
        <v>66</v>
      </c>
      <c r="M11" s="21" t="s">
        <v>26</v>
      </c>
      <c r="N11" s="18">
        <v>37</v>
      </c>
    </row>
    <row r="12" spans="1:17" x14ac:dyDescent="0.25">
      <c r="A12" s="21" t="s">
        <v>6</v>
      </c>
      <c r="B12" s="16">
        <v>225264446.63400006</v>
      </c>
      <c r="E12" s="21" t="s">
        <v>6</v>
      </c>
      <c r="F12" s="18">
        <v>69</v>
      </c>
      <c r="M12" s="21" t="s">
        <v>46</v>
      </c>
      <c r="N12" s="18">
        <v>53</v>
      </c>
    </row>
    <row r="13" spans="1:17" x14ac:dyDescent="0.25">
      <c r="A13" s="21" t="s">
        <v>33</v>
      </c>
      <c r="B13" s="16">
        <v>433060747.83800018</v>
      </c>
      <c r="E13" s="21" t="s">
        <v>33</v>
      </c>
      <c r="F13" s="18">
        <v>140</v>
      </c>
      <c r="M13" s="21" t="s">
        <v>88</v>
      </c>
      <c r="N13" s="18">
        <v>39</v>
      </c>
    </row>
    <row r="14" spans="1:17" x14ac:dyDescent="0.25">
      <c r="A14" s="21" t="s">
        <v>1471</v>
      </c>
      <c r="B14" s="16">
        <v>3119391523.8579998</v>
      </c>
      <c r="E14" s="21" t="s">
        <v>1471</v>
      </c>
      <c r="F14" s="18">
        <v>1000</v>
      </c>
      <c r="M14" s="21" t="s">
        <v>118</v>
      </c>
      <c r="N14" s="18">
        <v>25</v>
      </c>
    </row>
    <row r="15" spans="1:17" x14ac:dyDescent="0.25">
      <c r="M15" s="21" t="s">
        <v>146</v>
      </c>
      <c r="N15" s="18">
        <v>16</v>
      </c>
    </row>
    <row r="16" spans="1:17" x14ac:dyDescent="0.25">
      <c r="M16" s="21" t="s">
        <v>59</v>
      </c>
      <c r="N16" s="18">
        <v>57</v>
      </c>
    </row>
    <row r="17" spans="13:14" x14ac:dyDescent="0.25">
      <c r="M17" s="21" t="s">
        <v>313</v>
      </c>
      <c r="N17" s="18">
        <v>15</v>
      </c>
    </row>
    <row r="18" spans="13:14" x14ac:dyDescent="0.25">
      <c r="M18" s="21" t="s">
        <v>316</v>
      </c>
      <c r="N18" s="18">
        <v>14</v>
      </c>
    </row>
    <row r="19" spans="13:14" x14ac:dyDescent="0.25">
      <c r="M19" s="21" t="s">
        <v>77</v>
      </c>
      <c r="N19" s="18">
        <v>22</v>
      </c>
    </row>
    <row r="20" spans="13:14" x14ac:dyDescent="0.25">
      <c r="M20" s="21" t="s">
        <v>112</v>
      </c>
      <c r="N20" s="18">
        <v>32</v>
      </c>
    </row>
    <row r="21" spans="13:14" x14ac:dyDescent="0.25">
      <c r="M21" s="21" t="s">
        <v>128</v>
      </c>
      <c r="N21" s="18">
        <v>29</v>
      </c>
    </row>
    <row r="22" spans="13:14" x14ac:dyDescent="0.25">
      <c r="M22" s="21" t="s">
        <v>149</v>
      </c>
      <c r="N22" s="18">
        <v>14</v>
      </c>
    </row>
    <row r="23" spans="13:14" x14ac:dyDescent="0.25">
      <c r="M23" s="21" t="s">
        <v>377</v>
      </c>
      <c r="N23" s="18">
        <v>19</v>
      </c>
    </row>
    <row r="24" spans="13:14" x14ac:dyDescent="0.25">
      <c r="M24" s="21" t="s">
        <v>96</v>
      </c>
      <c r="N24" s="18">
        <v>43</v>
      </c>
    </row>
    <row r="25" spans="13:14" x14ac:dyDescent="0.25">
      <c r="M25" s="21" t="s">
        <v>303</v>
      </c>
      <c r="N25" s="18">
        <v>6</v>
      </c>
    </row>
    <row r="26" spans="13:14" x14ac:dyDescent="0.25">
      <c r="M26" s="21" t="s">
        <v>183</v>
      </c>
      <c r="N26" s="18">
        <v>32</v>
      </c>
    </row>
    <row r="27" spans="13:14" x14ac:dyDescent="0.25">
      <c r="M27" s="21" t="s">
        <v>125</v>
      </c>
      <c r="N27" s="18">
        <v>42</v>
      </c>
    </row>
    <row r="28" spans="13:14" x14ac:dyDescent="0.25">
      <c r="M28" s="21" t="s">
        <v>54</v>
      </c>
      <c r="N28" s="18">
        <v>42</v>
      </c>
    </row>
    <row r="29" spans="13:14" x14ac:dyDescent="0.25">
      <c r="M29" s="21" t="s">
        <v>324</v>
      </c>
      <c r="N29" s="18">
        <v>27</v>
      </c>
    </row>
    <row r="30" spans="13:14" x14ac:dyDescent="0.25">
      <c r="M30" s="21" t="s">
        <v>180</v>
      </c>
      <c r="N30" s="18">
        <v>10</v>
      </c>
    </row>
    <row r="31" spans="13:14" x14ac:dyDescent="0.25">
      <c r="M31" s="21" t="s">
        <v>488</v>
      </c>
      <c r="N31" s="18">
        <v>13</v>
      </c>
    </row>
    <row r="32" spans="13:14" x14ac:dyDescent="0.25">
      <c r="M32" s="21" t="s">
        <v>177</v>
      </c>
      <c r="N32" s="18">
        <v>25</v>
      </c>
    </row>
    <row r="33" spans="13:14" x14ac:dyDescent="0.25">
      <c r="M33" s="21" t="s">
        <v>165</v>
      </c>
      <c r="N33" s="18">
        <v>14</v>
      </c>
    </row>
    <row r="34" spans="13:14" x14ac:dyDescent="0.25">
      <c r="M34" s="21" t="s">
        <v>363</v>
      </c>
      <c r="N34" s="18">
        <v>4</v>
      </c>
    </row>
    <row r="35" spans="13:14" x14ac:dyDescent="0.25">
      <c r="M35" s="21" t="s">
        <v>105</v>
      </c>
      <c r="N35" s="18">
        <v>13</v>
      </c>
    </row>
    <row r="36" spans="13:14" x14ac:dyDescent="0.25">
      <c r="M36" s="21" t="s">
        <v>32</v>
      </c>
      <c r="N36" s="18">
        <v>44</v>
      </c>
    </row>
    <row r="37" spans="13:14" x14ac:dyDescent="0.25">
      <c r="M37" s="21" t="s">
        <v>159</v>
      </c>
      <c r="N37" s="18">
        <v>19</v>
      </c>
    </row>
    <row r="38" spans="13:14" x14ac:dyDescent="0.25">
      <c r="M38" s="21" t="s">
        <v>174</v>
      </c>
      <c r="N38" s="18">
        <v>41</v>
      </c>
    </row>
    <row r="39" spans="13:14" x14ac:dyDescent="0.25">
      <c r="M39" s="21" t="s">
        <v>162</v>
      </c>
      <c r="N39" s="18">
        <v>16</v>
      </c>
    </row>
    <row r="40" spans="13:14" x14ac:dyDescent="0.25">
      <c r="M40" s="21" t="s">
        <v>99</v>
      </c>
      <c r="N40" s="18">
        <v>28</v>
      </c>
    </row>
    <row r="41" spans="13:14" x14ac:dyDescent="0.25">
      <c r="M41" s="21" t="s">
        <v>1471</v>
      </c>
      <c r="N41" s="18">
        <v>1000</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1021"/>
  <sheetViews>
    <sheetView topLeftCell="G1" zoomScale="115" zoomScaleNormal="115" workbookViewId="0">
      <selection activeCell="N3" sqref="N3"/>
    </sheetView>
  </sheetViews>
  <sheetFormatPr defaultColWidth="14.42578125" defaultRowHeight="15" customHeight="1" x14ac:dyDescent="0.25"/>
  <cols>
    <col min="1" max="1" width="11.5703125" customWidth="1"/>
    <col min="2" max="2" width="14.140625" style="11" customWidth="1"/>
    <col min="3" max="3" width="13.28515625" style="11" customWidth="1"/>
    <col min="4" max="4" width="15.7109375" style="11" customWidth="1"/>
    <col min="5" max="5" width="20" style="11" customWidth="1"/>
    <col min="6" max="6" width="26" style="11" customWidth="1"/>
    <col min="7" max="7" width="18.7109375" style="11" customWidth="1"/>
    <col min="8" max="8" width="13.5703125" style="18" customWidth="1"/>
    <col min="9" max="9" width="12.42578125" style="16" customWidth="1"/>
    <col min="10" max="10" width="16" style="16" customWidth="1"/>
    <col min="11" max="11" width="15.28515625" style="11" customWidth="1"/>
    <col min="12" max="12" width="17" customWidth="1"/>
    <col min="13" max="13" width="18.7109375" style="16" bestFit="1" customWidth="1"/>
    <col min="14" max="14" width="14.5703125" style="31" customWidth="1"/>
    <col min="15" max="19" width="9.140625" customWidth="1"/>
  </cols>
  <sheetData>
    <row r="1" spans="1:21" ht="12.75" customHeight="1" thickBot="1" x14ac:dyDescent="0.3">
      <c r="A1" s="4" t="s">
        <v>1474</v>
      </c>
      <c r="B1" s="9" t="s">
        <v>1465</v>
      </c>
      <c r="C1" s="9" t="s">
        <v>1466</v>
      </c>
      <c r="D1" s="9" t="s">
        <v>1467</v>
      </c>
      <c r="E1" s="12" t="s">
        <v>15</v>
      </c>
      <c r="F1" s="9" t="s">
        <v>16</v>
      </c>
      <c r="G1" s="9" t="s">
        <v>17</v>
      </c>
      <c r="H1" s="17" t="s">
        <v>18</v>
      </c>
      <c r="I1" s="14" t="s">
        <v>1468</v>
      </c>
      <c r="J1" s="19" t="s">
        <v>1469</v>
      </c>
      <c r="K1" s="24" t="s">
        <v>1481</v>
      </c>
      <c r="L1" s="27" t="s">
        <v>1480</v>
      </c>
      <c r="M1" s="14" t="s">
        <v>1479</v>
      </c>
      <c r="N1" s="28" t="s">
        <v>1482</v>
      </c>
    </row>
    <row r="2" spans="1:21" ht="12.75" customHeight="1" x14ac:dyDescent="0.25">
      <c r="A2" s="2">
        <v>1</v>
      </c>
      <c r="B2" s="10" t="s">
        <v>19</v>
      </c>
      <c r="C2" s="10" t="s">
        <v>20</v>
      </c>
      <c r="D2" s="10" t="s">
        <v>21</v>
      </c>
      <c r="E2" s="10" t="s">
        <v>0</v>
      </c>
      <c r="F2" s="10" t="s">
        <v>22</v>
      </c>
      <c r="G2" s="10" t="s">
        <v>23</v>
      </c>
      <c r="H2" s="13">
        <v>4013536.83</v>
      </c>
      <c r="I2" s="15">
        <f>IF(Table1[[#This Row],[Salary]]&lt;1000000,Table1[[#This Row],[Salary]]*0.05,Table1[[#This Row],[Salary]]*0.1)</f>
        <v>401353.68300000002</v>
      </c>
      <c r="J2" s="15">
        <f>Table1[[#This Row],[Salary]]+Table1[[#This Row],[Bonus]]</f>
        <v>4414890.5130000003</v>
      </c>
      <c r="K2" s="25">
        <f>COUNTA(Table1[Employee_ID])</f>
        <v>1000</v>
      </c>
      <c r="L2" s="1">
        <f>SUM(Table1[Salary])</f>
        <v>3119391523.8580012</v>
      </c>
      <c r="M2" s="15">
        <f>AVERAGE(Table1[Salary])</f>
        <v>3119391.5238580015</v>
      </c>
      <c r="N2" s="29">
        <f>SUM(Table1[Bonus])</f>
        <v>308244983.02069992</v>
      </c>
    </row>
    <row r="3" spans="1:21" ht="12.75" customHeight="1" x14ac:dyDescent="0.25">
      <c r="A3" s="2">
        <v>2</v>
      </c>
      <c r="B3" s="10" t="s">
        <v>24</v>
      </c>
      <c r="C3" s="10" t="s">
        <v>25</v>
      </c>
      <c r="D3" s="10" t="s">
        <v>26</v>
      </c>
      <c r="E3" s="10" t="s">
        <v>27</v>
      </c>
      <c r="F3" s="10" t="s">
        <v>28</v>
      </c>
      <c r="G3" s="10" t="s">
        <v>29</v>
      </c>
      <c r="H3" s="13">
        <v>3452591.72</v>
      </c>
      <c r="I3" s="15">
        <f>IF(Table1[[#This Row],[Salary]]&lt;1000000,Table1[[#This Row],[Salary]]*0.05,Table1[[#This Row],[Salary]]*0.1)</f>
        <v>345259.17200000002</v>
      </c>
      <c r="J3" s="15">
        <f>Table1[[#This Row],[Salary]]+Table1[[#This Row],[Bonus]]</f>
        <v>3797850.892</v>
      </c>
      <c r="K3" s="25">
        <f>COUNTA(Table1[Employee_ID])</f>
        <v>1000</v>
      </c>
      <c r="L3" s="1">
        <f>SUM(Table1[Salary])</f>
        <v>3119391523.8580012</v>
      </c>
      <c r="M3" s="15">
        <f>AVERAGE(Table1[Salary])</f>
        <v>3119391.5238580015</v>
      </c>
      <c r="N3" s="29">
        <f>SUM(Table1[Bonus])</f>
        <v>308244983.02069992</v>
      </c>
      <c r="R3" s="1" t="s">
        <v>1</v>
      </c>
      <c r="S3" s="1" t="s">
        <v>2</v>
      </c>
      <c r="T3" s="1"/>
      <c r="U3" s="2"/>
    </row>
    <row r="4" spans="1:21" ht="12.75" customHeight="1" x14ac:dyDescent="0.25">
      <c r="A4" s="2">
        <v>3</v>
      </c>
      <c r="B4" s="10" t="s">
        <v>30</v>
      </c>
      <c r="C4" s="10" t="s">
        <v>31</v>
      </c>
      <c r="D4" s="10" t="s">
        <v>32</v>
      </c>
      <c r="E4" s="10" t="s">
        <v>33</v>
      </c>
      <c r="F4" s="10" t="s">
        <v>34</v>
      </c>
      <c r="G4" s="10" t="s">
        <v>35</v>
      </c>
      <c r="H4" s="13">
        <v>1050000</v>
      </c>
      <c r="I4" s="15">
        <f>IF(Table1[[#This Row],[Salary]]&lt;1000000,Table1[[#This Row],[Salary]]*0.05,Table1[[#This Row],[Salary]]*0.1)</f>
        <v>105000</v>
      </c>
      <c r="J4" s="15">
        <f>Table1[[#This Row],[Salary]]+Table1[[#This Row],[Bonus]]</f>
        <v>1155000</v>
      </c>
      <c r="K4" s="25">
        <f>COUNTA(Table1[Employee_ID])</f>
        <v>1000</v>
      </c>
      <c r="L4" s="1">
        <f>SUM(Table1[Salary])</f>
        <v>3119391523.8580012</v>
      </c>
      <c r="M4" s="15">
        <f>AVERAGE(Table1[Salary])</f>
        <v>3119391.5238580015</v>
      </c>
      <c r="N4" s="29">
        <f>SUM(Table1[Bonus])</f>
        <v>308244983.02069992</v>
      </c>
      <c r="R4" s="1" t="s">
        <v>3</v>
      </c>
      <c r="S4" s="1" t="s">
        <v>4</v>
      </c>
      <c r="T4" s="1"/>
      <c r="U4" s="2"/>
    </row>
    <row r="5" spans="1:21" ht="12.75" customHeight="1" x14ac:dyDescent="0.25">
      <c r="A5" s="2">
        <v>3</v>
      </c>
      <c r="B5" s="10" t="s">
        <v>86</v>
      </c>
      <c r="C5" s="10" t="s">
        <v>87</v>
      </c>
      <c r="D5" s="10" t="s">
        <v>88</v>
      </c>
      <c r="E5" s="10" t="s">
        <v>0</v>
      </c>
      <c r="F5" s="10" t="s">
        <v>89</v>
      </c>
      <c r="G5" s="10" t="s">
        <v>29</v>
      </c>
      <c r="H5" s="13">
        <v>3704384.7560000001</v>
      </c>
      <c r="I5" s="15">
        <f>IF(Table1[[#This Row],[Salary]]&lt;1000000,Table1[[#This Row],[Salary]]*0.05,Table1[[#This Row],[Salary]]*0.1)</f>
        <v>370438.47560000001</v>
      </c>
      <c r="J5" s="15">
        <f>Table1[[#This Row],[Salary]]+Table1[[#This Row],[Bonus]]</f>
        <v>4074823.2316000001</v>
      </c>
      <c r="K5" s="25">
        <f>COUNTA(Table1[Employee_ID])</f>
        <v>1000</v>
      </c>
      <c r="L5" s="1">
        <f>SUM(Table1[Salary])</f>
        <v>3119391523.8580012</v>
      </c>
      <c r="M5" s="15">
        <f>AVERAGE(Table1[Salary])</f>
        <v>3119391.5238580015</v>
      </c>
      <c r="N5" s="29">
        <f>SUM(Table1[Bonus])</f>
        <v>308244983.02069992</v>
      </c>
      <c r="R5" s="1" t="s">
        <v>5</v>
      </c>
      <c r="S5" s="1" t="s">
        <v>6</v>
      </c>
      <c r="T5" s="1" t="s">
        <v>7</v>
      </c>
      <c r="U5" s="2" t="s">
        <v>8</v>
      </c>
    </row>
    <row r="6" spans="1:21" ht="12.75" customHeight="1" x14ac:dyDescent="0.25">
      <c r="A6" s="2">
        <v>4</v>
      </c>
      <c r="B6" s="10" t="s">
        <v>36</v>
      </c>
      <c r="C6" s="10" t="s">
        <v>37</v>
      </c>
      <c r="D6" s="10" t="s">
        <v>38</v>
      </c>
      <c r="E6" s="10" t="s">
        <v>39</v>
      </c>
      <c r="F6" s="10" t="s">
        <v>40</v>
      </c>
      <c r="G6" s="10" t="s">
        <v>29</v>
      </c>
      <c r="H6" s="13">
        <v>749822.37599999993</v>
      </c>
      <c r="I6" s="15">
        <f>IF(Table1[[#This Row],[Salary]]&lt;1000000,Table1[[#This Row],[Salary]]*0.05,Table1[[#This Row],[Salary]]*0.1)</f>
        <v>37491.118799999997</v>
      </c>
      <c r="J6" s="15">
        <f>Table1[[#This Row],[Salary]]+Table1[[#This Row],[Bonus]]</f>
        <v>787313.49479999999</v>
      </c>
      <c r="K6" s="25">
        <f>COUNTA(Table1[Employee_ID])</f>
        <v>1000</v>
      </c>
      <c r="L6" s="1">
        <f>SUM(Table1[Salary])</f>
        <v>3119391523.8580012</v>
      </c>
      <c r="M6" s="15">
        <f>AVERAGE(Table1[Salary])</f>
        <v>3119391.5238580015</v>
      </c>
      <c r="N6" s="29">
        <f>SUM(Table1[Bonus])</f>
        <v>308244983.02069992</v>
      </c>
      <c r="R6" s="1" t="s">
        <v>9</v>
      </c>
      <c r="S6" s="1" t="s">
        <v>10</v>
      </c>
      <c r="T6" s="3" t="s">
        <v>11</v>
      </c>
      <c r="U6" s="2" t="s">
        <v>12</v>
      </c>
    </row>
    <row r="7" spans="1:21" ht="12.75" customHeight="1" x14ac:dyDescent="0.25">
      <c r="A7" s="2">
        <v>4</v>
      </c>
      <c r="B7" s="10" t="s">
        <v>92</v>
      </c>
      <c r="C7" s="10" t="s">
        <v>93</v>
      </c>
      <c r="D7" s="10" t="s">
        <v>54</v>
      </c>
      <c r="E7" s="10" t="s">
        <v>0</v>
      </c>
      <c r="F7" s="10" t="s">
        <v>22</v>
      </c>
      <c r="G7" s="10" t="s">
        <v>71</v>
      </c>
      <c r="H7" s="13">
        <v>729409.21400000004</v>
      </c>
      <c r="I7" s="15">
        <f>IF(Table1[[#This Row],[Salary]]&lt;1000000,Table1[[#This Row],[Salary]]*0.05,Table1[[#This Row],[Salary]]*0.1)</f>
        <v>36470.460700000003</v>
      </c>
      <c r="J7" s="15">
        <f>Table1[[#This Row],[Salary]]+Table1[[#This Row],[Bonus]]</f>
        <v>765879.67470000009</v>
      </c>
      <c r="K7" s="25">
        <f>COUNTA(Table1[Employee_ID])</f>
        <v>1000</v>
      </c>
      <c r="L7" s="1">
        <f>SUM(Table1[Salary])</f>
        <v>3119391523.8580012</v>
      </c>
      <c r="M7" s="15">
        <f>AVERAGE(Table1[Salary])</f>
        <v>3119391.5238580015</v>
      </c>
      <c r="N7" s="29">
        <f>SUM(Table1[Bonus])</f>
        <v>308244983.02069992</v>
      </c>
      <c r="R7" s="1" t="s">
        <v>13</v>
      </c>
      <c r="S7" s="1" t="s">
        <v>14</v>
      </c>
      <c r="T7" s="1"/>
      <c r="U7" s="2"/>
    </row>
    <row r="8" spans="1:21" ht="12.75" customHeight="1" x14ac:dyDescent="0.25">
      <c r="A8" s="2">
        <v>5</v>
      </c>
      <c r="B8" s="10" t="s">
        <v>41</v>
      </c>
      <c r="C8" s="10" t="s">
        <v>42</v>
      </c>
      <c r="D8" s="10" t="s">
        <v>32</v>
      </c>
      <c r="E8" s="10" t="s">
        <v>13</v>
      </c>
      <c r="F8" s="10" t="s">
        <v>43</v>
      </c>
      <c r="G8" s="10" t="s">
        <v>29</v>
      </c>
      <c r="H8" s="13">
        <v>4095352.7179999999</v>
      </c>
      <c r="I8" s="15">
        <f>IF(Table1[[#This Row],[Salary]]&lt;1000000,Table1[[#This Row],[Salary]]*0.05,Table1[[#This Row],[Salary]]*0.1)</f>
        <v>409535.27179999999</v>
      </c>
      <c r="J8" s="15">
        <f>Table1[[#This Row],[Salary]]+Table1[[#This Row],[Bonus]]</f>
        <v>4504887.9897999996</v>
      </c>
      <c r="K8" s="25">
        <f>COUNTA(Table1[Employee_ID])</f>
        <v>1000</v>
      </c>
      <c r="L8" s="1">
        <f>SUM(Table1[Salary])</f>
        <v>3119391523.8580012</v>
      </c>
      <c r="M8" s="15">
        <f>AVERAGE(Table1[Salary])</f>
        <v>3119391.5238580015</v>
      </c>
      <c r="N8" s="29">
        <f>SUM(Table1[Bonus])</f>
        <v>308244983.02069992</v>
      </c>
    </row>
    <row r="9" spans="1:21" ht="12.75" customHeight="1" x14ac:dyDescent="0.25">
      <c r="A9" s="2">
        <v>5</v>
      </c>
      <c r="B9" s="10" t="s">
        <v>135</v>
      </c>
      <c r="C9" s="10" t="s">
        <v>136</v>
      </c>
      <c r="D9" s="10" t="s">
        <v>137</v>
      </c>
      <c r="E9" s="10" t="s">
        <v>0</v>
      </c>
      <c r="F9" s="10" t="s">
        <v>70</v>
      </c>
      <c r="G9" s="10" t="s">
        <v>23</v>
      </c>
      <c r="H9" s="13">
        <v>2277936.5020000003</v>
      </c>
      <c r="I9" s="15">
        <f>IF(Table1[[#This Row],[Salary]]&lt;1000000,Table1[[#This Row],[Salary]]*0.05,Table1[[#This Row],[Salary]]*0.1)</f>
        <v>227793.65020000003</v>
      </c>
      <c r="J9" s="15">
        <f>Table1[[#This Row],[Salary]]+Table1[[#This Row],[Bonus]]</f>
        <v>2505730.1522000004</v>
      </c>
      <c r="K9" s="25">
        <f>COUNTA(Table1[Employee_ID])</f>
        <v>1000</v>
      </c>
      <c r="L9" s="1">
        <f>SUM(Table1[Salary])</f>
        <v>3119391523.8580012</v>
      </c>
      <c r="M9" s="15">
        <f>AVERAGE(Table1[Salary])</f>
        <v>3119391.5238580015</v>
      </c>
      <c r="N9" s="29">
        <f>SUM(Table1[Bonus])</f>
        <v>308244983.02069992</v>
      </c>
    </row>
    <row r="10" spans="1:21" ht="12.75" customHeight="1" x14ac:dyDescent="0.25">
      <c r="A10" s="2">
        <v>6</v>
      </c>
      <c r="B10" s="10" t="s">
        <v>44</v>
      </c>
      <c r="C10" s="10" t="s">
        <v>45</v>
      </c>
      <c r="D10" s="10" t="s">
        <v>46</v>
      </c>
      <c r="E10" s="10" t="s">
        <v>33</v>
      </c>
      <c r="F10" s="10" t="s">
        <v>47</v>
      </c>
      <c r="G10" s="10" t="s">
        <v>48</v>
      </c>
      <c r="H10" s="13">
        <v>1284660.0000000002</v>
      </c>
      <c r="I10" s="15">
        <f>IF(Table1[[#This Row],[Salary]]&lt;1000000,Table1[[#This Row],[Salary]]*0.05,Table1[[#This Row],[Salary]]*0.1)</f>
        <v>128466.00000000003</v>
      </c>
      <c r="J10" s="15">
        <f>Table1[[#This Row],[Salary]]+Table1[[#This Row],[Bonus]]</f>
        <v>1413126.0000000002</v>
      </c>
      <c r="K10" s="25">
        <f>COUNTA(Table1[Employee_ID])</f>
        <v>1000</v>
      </c>
      <c r="L10" s="1">
        <f>SUM(Table1[Salary])</f>
        <v>3119391523.8580012</v>
      </c>
      <c r="M10" s="15">
        <f>AVERAGE(Table1[Salary])</f>
        <v>3119391.5238580015</v>
      </c>
      <c r="N10" s="29">
        <f>SUM(Table1[Bonus])</f>
        <v>308244983.02069992</v>
      </c>
    </row>
    <row r="11" spans="1:21" ht="12.75" customHeight="1" x14ac:dyDescent="0.25">
      <c r="A11" s="2">
        <v>6</v>
      </c>
      <c r="B11" s="10" t="s">
        <v>138</v>
      </c>
      <c r="C11" s="10" t="s">
        <v>139</v>
      </c>
      <c r="D11" s="10" t="s">
        <v>140</v>
      </c>
      <c r="E11" s="10" t="s">
        <v>0</v>
      </c>
      <c r="F11" s="10" t="s">
        <v>89</v>
      </c>
      <c r="G11" s="10" t="s">
        <v>56</v>
      </c>
      <c r="H11" s="13">
        <v>1439924.14</v>
      </c>
      <c r="I11" s="15">
        <f>IF(Table1[[#This Row],[Salary]]&lt;1000000,Table1[[#This Row],[Salary]]*0.05,Table1[[#This Row],[Salary]]*0.1)</f>
        <v>143992.41399999999</v>
      </c>
      <c r="J11" s="15">
        <f>Table1[[#This Row],[Salary]]+Table1[[#This Row],[Bonus]]</f>
        <v>1583916.554</v>
      </c>
      <c r="K11" s="25">
        <f>COUNTA(Table1[Employee_ID])</f>
        <v>1000</v>
      </c>
      <c r="L11" s="1">
        <f>SUM(Table1[Salary])</f>
        <v>3119391523.8580012</v>
      </c>
      <c r="M11" s="15">
        <f>AVERAGE(Table1[Salary])</f>
        <v>3119391.5238580015</v>
      </c>
      <c r="N11" s="29">
        <f>SUM(Table1[Bonus])</f>
        <v>308244983.02069992</v>
      </c>
    </row>
    <row r="12" spans="1:21" ht="12.75" customHeight="1" x14ac:dyDescent="0.25">
      <c r="A12" s="2">
        <v>7</v>
      </c>
      <c r="B12" s="10" t="s">
        <v>49</v>
      </c>
      <c r="C12" s="10" t="s">
        <v>50</v>
      </c>
      <c r="D12" s="10" t="s">
        <v>21</v>
      </c>
      <c r="E12" s="10" t="s">
        <v>14</v>
      </c>
      <c r="F12" s="10" t="s">
        <v>51</v>
      </c>
      <c r="G12" s="10" t="s">
        <v>35</v>
      </c>
      <c r="H12" s="13">
        <v>5844318.9040000001</v>
      </c>
      <c r="I12" s="15">
        <f>IF(Table1[[#This Row],[Salary]]&lt;1000000,Table1[[#This Row],[Salary]]*0.05,Table1[[#This Row],[Salary]]*0.1)</f>
        <v>584431.89040000003</v>
      </c>
      <c r="J12" s="15">
        <f>Table1[[#This Row],[Salary]]+Table1[[#This Row],[Bonus]]</f>
        <v>6428750.7944</v>
      </c>
      <c r="K12" s="25">
        <f>COUNTA(Table1[Employee_ID])</f>
        <v>1000</v>
      </c>
      <c r="L12" s="1">
        <f>SUM(Table1[Salary])</f>
        <v>3119391523.8580012</v>
      </c>
      <c r="M12" s="15">
        <f>AVERAGE(Table1[Salary])</f>
        <v>3119391.5238580015</v>
      </c>
      <c r="N12" s="29">
        <f>SUM(Table1[Bonus])</f>
        <v>308244983.02069992</v>
      </c>
    </row>
    <row r="13" spans="1:21" ht="12.75" customHeight="1" x14ac:dyDescent="0.25">
      <c r="A13" s="2">
        <v>7</v>
      </c>
      <c r="B13" s="10" t="s">
        <v>150</v>
      </c>
      <c r="C13" s="10" t="s">
        <v>151</v>
      </c>
      <c r="D13" s="10" t="s">
        <v>88</v>
      </c>
      <c r="E13" s="10" t="s">
        <v>0</v>
      </c>
      <c r="F13" s="10" t="s">
        <v>22</v>
      </c>
      <c r="G13" s="10" t="s">
        <v>56</v>
      </c>
      <c r="H13" s="13">
        <v>347672.47400000005</v>
      </c>
      <c r="I13" s="15">
        <f>IF(Table1[[#This Row],[Salary]]&lt;1000000,Table1[[#This Row],[Salary]]*0.05,Table1[[#This Row],[Salary]]*0.1)</f>
        <v>17383.623700000004</v>
      </c>
      <c r="J13" s="15">
        <f>Table1[[#This Row],[Salary]]+Table1[[#This Row],[Bonus]]</f>
        <v>365056.09770000004</v>
      </c>
      <c r="K13" s="25">
        <f>COUNTA(Table1[Employee_ID])</f>
        <v>1000</v>
      </c>
      <c r="L13" s="1">
        <f>SUM(Table1[Salary])</f>
        <v>3119391523.8580012</v>
      </c>
      <c r="M13" s="15">
        <f>AVERAGE(Table1[Salary])</f>
        <v>3119391.5238580015</v>
      </c>
      <c r="N13" s="29">
        <f>SUM(Table1[Bonus])</f>
        <v>308244983.02069992</v>
      </c>
    </row>
    <row r="14" spans="1:21" ht="12.75" customHeight="1" x14ac:dyDescent="0.25">
      <c r="A14" s="2">
        <v>8</v>
      </c>
      <c r="B14" s="10" t="s">
        <v>52</v>
      </c>
      <c r="C14" s="10" t="s">
        <v>53</v>
      </c>
      <c r="D14" s="10" t="s">
        <v>54</v>
      </c>
      <c r="E14" s="10" t="s">
        <v>33</v>
      </c>
      <c r="F14" s="10" t="s">
        <v>55</v>
      </c>
      <c r="G14" s="10" t="s">
        <v>56</v>
      </c>
      <c r="H14" s="13">
        <v>1070000</v>
      </c>
      <c r="I14" s="15">
        <f>IF(Table1[[#This Row],[Salary]]&lt;1000000,Table1[[#This Row],[Salary]]*0.05,Table1[[#This Row],[Salary]]*0.1)</f>
        <v>107000</v>
      </c>
      <c r="J14" s="15">
        <f>Table1[[#This Row],[Salary]]+Table1[[#This Row],[Bonus]]</f>
        <v>1177000</v>
      </c>
      <c r="K14" s="25">
        <f>COUNTA(Table1[Employee_ID])</f>
        <v>1000</v>
      </c>
      <c r="L14" s="1">
        <f>SUM(Table1[Salary])</f>
        <v>3119391523.8580012</v>
      </c>
      <c r="M14" s="15">
        <f>AVERAGE(Table1[Salary])</f>
        <v>3119391.5238580015</v>
      </c>
      <c r="N14" s="29">
        <f>SUM(Table1[Bonus])</f>
        <v>308244983.02069992</v>
      </c>
    </row>
    <row r="15" spans="1:21" ht="12.75" customHeight="1" x14ac:dyDescent="0.25">
      <c r="A15" s="2">
        <v>8</v>
      </c>
      <c r="B15" s="10" t="s">
        <v>152</v>
      </c>
      <c r="C15" s="10" t="s">
        <v>153</v>
      </c>
      <c r="D15" s="10" t="s">
        <v>26</v>
      </c>
      <c r="E15" s="10" t="s">
        <v>0</v>
      </c>
      <c r="F15" s="10" t="s">
        <v>70</v>
      </c>
      <c r="G15" s="10" t="s">
        <v>23</v>
      </c>
      <c r="H15" s="13">
        <v>4700186.068</v>
      </c>
      <c r="I15" s="15">
        <f>IF(Table1[[#This Row],[Salary]]&lt;1000000,Table1[[#This Row],[Salary]]*0.05,Table1[[#This Row],[Salary]]*0.1)</f>
        <v>470018.60680000001</v>
      </c>
      <c r="J15" s="15">
        <f>Table1[[#This Row],[Salary]]+Table1[[#This Row],[Bonus]]</f>
        <v>5170204.6748000002</v>
      </c>
      <c r="K15" s="25">
        <f>COUNTA(Table1[Employee_ID])</f>
        <v>1000</v>
      </c>
      <c r="L15" s="1">
        <f>SUM(Table1[Salary])</f>
        <v>3119391523.8580012</v>
      </c>
      <c r="M15" s="15">
        <f>AVERAGE(Table1[Salary])</f>
        <v>3119391.5238580015</v>
      </c>
      <c r="N15" s="29">
        <f>SUM(Table1[Bonus])</f>
        <v>308244983.02069992</v>
      </c>
    </row>
    <row r="16" spans="1:21" ht="12.75" customHeight="1" x14ac:dyDescent="0.25">
      <c r="A16" s="2">
        <v>9</v>
      </c>
      <c r="B16" s="10" t="s">
        <v>57</v>
      </c>
      <c r="C16" s="10" t="s">
        <v>58</v>
      </c>
      <c r="D16" s="10" t="s">
        <v>59</v>
      </c>
      <c r="E16" s="10" t="s">
        <v>2</v>
      </c>
      <c r="F16" s="10" t="s">
        <v>60</v>
      </c>
      <c r="G16" s="10" t="s">
        <v>48</v>
      </c>
      <c r="H16" s="13">
        <v>2553668.6839999999</v>
      </c>
      <c r="I16" s="15">
        <f>IF(Table1[[#This Row],[Salary]]&lt;1000000,Table1[[#This Row],[Salary]]*0.05,Table1[[#This Row],[Salary]]*0.1)</f>
        <v>255366.86840000001</v>
      </c>
      <c r="J16" s="15">
        <f>Table1[[#This Row],[Salary]]+Table1[[#This Row],[Bonus]]</f>
        <v>2809035.5523999999</v>
      </c>
      <c r="K16" s="25">
        <f>COUNTA(Table1[Employee_ID])</f>
        <v>1000</v>
      </c>
      <c r="L16" s="1">
        <f>SUM(Table1[Salary])</f>
        <v>3119391523.8580012</v>
      </c>
      <c r="M16" s="15">
        <f>AVERAGE(Table1[Salary])</f>
        <v>3119391.5238580015</v>
      </c>
      <c r="N16" s="29">
        <f>SUM(Table1[Bonus])</f>
        <v>308244983.02069992</v>
      </c>
    </row>
    <row r="17" spans="1:14" ht="12.75" customHeight="1" x14ac:dyDescent="0.25">
      <c r="A17" s="2">
        <v>9</v>
      </c>
      <c r="B17" s="10" t="s">
        <v>160</v>
      </c>
      <c r="C17" s="10" t="s">
        <v>161</v>
      </c>
      <c r="D17" s="10" t="s">
        <v>162</v>
      </c>
      <c r="E17" s="10" t="s">
        <v>0</v>
      </c>
      <c r="F17" s="10" t="s">
        <v>89</v>
      </c>
      <c r="G17" s="10" t="s">
        <v>23</v>
      </c>
      <c r="H17" s="13">
        <v>2272638.1979999999</v>
      </c>
      <c r="I17" s="15">
        <f>IF(Table1[[#This Row],[Salary]]&lt;1000000,Table1[[#This Row],[Salary]]*0.05,Table1[[#This Row],[Salary]]*0.1)</f>
        <v>227263.8198</v>
      </c>
      <c r="J17" s="15">
        <f>Table1[[#This Row],[Salary]]+Table1[[#This Row],[Bonus]]</f>
        <v>2499902.0178</v>
      </c>
      <c r="K17" s="25">
        <f>COUNTA(Table1[Employee_ID])</f>
        <v>1000</v>
      </c>
      <c r="L17" s="1">
        <f>SUM(Table1[Salary])</f>
        <v>3119391523.8580012</v>
      </c>
      <c r="M17" s="15">
        <f>AVERAGE(Table1[Salary])</f>
        <v>3119391.5238580015</v>
      </c>
      <c r="N17" s="29">
        <f>SUM(Table1[Bonus])</f>
        <v>308244983.02069992</v>
      </c>
    </row>
    <row r="18" spans="1:14" ht="12.75" customHeight="1" x14ac:dyDescent="0.25">
      <c r="A18" s="2">
        <v>10</v>
      </c>
      <c r="B18" s="10" t="s">
        <v>61</v>
      </c>
      <c r="C18" s="10" t="s">
        <v>62</v>
      </c>
      <c r="D18" s="10" t="s">
        <v>21</v>
      </c>
      <c r="E18" s="10" t="s">
        <v>63</v>
      </c>
      <c r="F18" s="10" t="s">
        <v>64</v>
      </c>
      <c r="G18" s="10" t="s">
        <v>23</v>
      </c>
      <c r="H18" s="13">
        <v>3021001.4839999997</v>
      </c>
      <c r="I18" s="15">
        <f>IF(Table1[[#This Row],[Salary]]&lt;1000000,Table1[[#This Row],[Salary]]*0.05,Table1[[#This Row],[Salary]]*0.1)</f>
        <v>302100.14840000001</v>
      </c>
      <c r="J18" s="15">
        <f>Table1[[#This Row],[Salary]]+Table1[[#This Row],[Bonus]]</f>
        <v>3323101.6323999995</v>
      </c>
      <c r="K18" s="25">
        <f>COUNTA(Table1[Employee_ID])</f>
        <v>1000</v>
      </c>
      <c r="L18" s="1">
        <f>SUM(Table1[Salary])</f>
        <v>3119391523.8580012</v>
      </c>
      <c r="M18" s="15">
        <f>AVERAGE(Table1[Salary])</f>
        <v>3119391.5238580015</v>
      </c>
      <c r="N18" s="29">
        <f>SUM(Table1[Bonus])</f>
        <v>308244983.02069992</v>
      </c>
    </row>
    <row r="19" spans="1:14" ht="12.75" customHeight="1" x14ac:dyDescent="0.25">
      <c r="A19" s="2">
        <v>10</v>
      </c>
      <c r="B19" s="10" t="s">
        <v>200</v>
      </c>
      <c r="C19" s="10" t="s">
        <v>201</v>
      </c>
      <c r="D19" s="10" t="s">
        <v>112</v>
      </c>
      <c r="E19" s="10" t="s">
        <v>0</v>
      </c>
      <c r="F19" s="10" t="s">
        <v>22</v>
      </c>
      <c r="G19" s="10" t="s">
        <v>35</v>
      </c>
      <c r="H19" s="13">
        <v>1135125.9099999999</v>
      </c>
      <c r="I19" s="15">
        <f>IF(Table1[[#This Row],[Salary]]&lt;1000000,Table1[[#This Row],[Salary]]*0.05,Table1[[#This Row],[Salary]]*0.1)</f>
        <v>113512.591</v>
      </c>
      <c r="J19" s="15">
        <f>Table1[[#This Row],[Salary]]+Table1[[#This Row],[Bonus]]</f>
        <v>1248638.5009999999</v>
      </c>
      <c r="K19" s="25">
        <f>COUNTA(Table1[Employee_ID])</f>
        <v>1000</v>
      </c>
      <c r="L19" s="1">
        <f>SUM(Table1[Salary])</f>
        <v>3119391523.8580012</v>
      </c>
      <c r="M19" s="15">
        <f>AVERAGE(Table1[Salary])</f>
        <v>3119391.5238580015</v>
      </c>
      <c r="N19" s="29">
        <f>SUM(Table1[Bonus])</f>
        <v>308244983.02069992</v>
      </c>
    </row>
    <row r="20" spans="1:14" ht="12.75" customHeight="1" x14ac:dyDescent="0.25">
      <c r="A20" s="2">
        <v>11</v>
      </c>
      <c r="B20" s="10" t="s">
        <v>65</v>
      </c>
      <c r="C20" s="10" t="s">
        <v>66</v>
      </c>
      <c r="D20" s="10" t="s">
        <v>46</v>
      </c>
      <c r="E20" s="10" t="s">
        <v>13</v>
      </c>
      <c r="F20" s="10" t="s">
        <v>67</v>
      </c>
      <c r="G20" s="10" t="s">
        <v>56</v>
      </c>
      <c r="H20" s="13">
        <v>1034366.02</v>
      </c>
      <c r="I20" s="15">
        <f>IF(Table1[[#This Row],[Salary]]&lt;1000000,Table1[[#This Row],[Salary]]*0.05,Table1[[#This Row],[Salary]]*0.1)</f>
        <v>103436.60200000001</v>
      </c>
      <c r="J20" s="15">
        <f>Table1[[#This Row],[Salary]]+Table1[[#This Row],[Bonus]]</f>
        <v>1137802.622</v>
      </c>
      <c r="K20" s="25">
        <f>COUNTA(Table1[Employee_ID])</f>
        <v>1000</v>
      </c>
      <c r="L20" s="1">
        <f>SUM(Table1[Salary])</f>
        <v>3119391523.8580012</v>
      </c>
      <c r="M20" s="15">
        <f>AVERAGE(Table1[Salary])</f>
        <v>3119391.5238580015</v>
      </c>
      <c r="N20" s="29">
        <f>SUM(Table1[Bonus])</f>
        <v>308244983.02069992</v>
      </c>
    </row>
    <row r="21" spans="1:14" ht="12.75" customHeight="1" x14ac:dyDescent="0.25">
      <c r="A21" s="2">
        <v>11</v>
      </c>
      <c r="B21" s="10" t="s">
        <v>204</v>
      </c>
      <c r="C21" s="10" t="s">
        <v>205</v>
      </c>
      <c r="D21" s="10" t="s">
        <v>118</v>
      </c>
      <c r="E21" s="10" t="s">
        <v>0</v>
      </c>
      <c r="F21" s="10" t="s">
        <v>70</v>
      </c>
      <c r="G21" s="10" t="s">
        <v>48</v>
      </c>
      <c r="H21" s="13">
        <v>725905.38400000008</v>
      </c>
      <c r="I21" s="15">
        <f>IF(Table1[[#This Row],[Salary]]&lt;1000000,Table1[[#This Row],[Salary]]*0.05,Table1[[#This Row],[Salary]]*0.1)</f>
        <v>36295.269200000002</v>
      </c>
      <c r="J21" s="15">
        <f>Table1[[#This Row],[Salary]]+Table1[[#This Row],[Bonus]]</f>
        <v>762200.65320000006</v>
      </c>
      <c r="K21" s="25">
        <f>COUNTA(Table1[Employee_ID])</f>
        <v>1000</v>
      </c>
      <c r="L21" s="1">
        <f>SUM(Table1[Salary])</f>
        <v>3119391523.8580012</v>
      </c>
      <c r="M21" s="15">
        <f>AVERAGE(Table1[Salary])</f>
        <v>3119391.5238580015</v>
      </c>
      <c r="N21" s="29">
        <f>SUM(Table1[Bonus])</f>
        <v>308244983.02069992</v>
      </c>
    </row>
    <row r="22" spans="1:14" ht="12.75" customHeight="1" x14ac:dyDescent="0.25">
      <c r="A22" s="2">
        <v>12</v>
      </c>
      <c r="B22" s="10" t="s">
        <v>68</v>
      </c>
      <c r="C22" s="10" t="s">
        <v>69</v>
      </c>
      <c r="D22" s="10" t="s">
        <v>59</v>
      </c>
      <c r="E22" s="10" t="s">
        <v>0</v>
      </c>
      <c r="F22" s="10" t="s">
        <v>70</v>
      </c>
      <c r="G22" s="10" t="s">
        <v>71</v>
      </c>
      <c r="H22" s="13">
        <v>5957609.7959999992</v>
      </c>
      <c r="I22" s="15">
        <f>IF(Table1[[#This Row],[Salary]]&lt;1000000,Table1[[#This Row],[Salary]]*0.05,Table1[[#This Row],[Salary]]*0.1)</f>
        <v>595760.97959999996</v>
      </c>
      <c r="J22" s="15">
        <f>Table1[[#This Row],[Salary]]+Table1[[#This Row],[Bonus]]</f>
        <v>6553370.7755999994</v>
      </c>
      <c r="K22" s="25">
        <f>COUNTA(Table1[Employee_ID])</f>
        <v>1000</v>
      </c>
      <c r="L22" s="1">
        <f>SUM(Table1[Salary])</f>
        <v>3119391523.8580012</v>
      </c>
      <c r="M22" s="15">
        <f>AVERAGE(Table1[Salary])</f>
        <v>3119391.5238580015</v>
      </c>
      <c r="N22" s="29">
        <f>SUM(Table1[Bonus])</f>
        <v>308244983.02069992</v>
      </c>
    </row>
    <row r="23" spans="1:14" ht="12.75" customHeight="1" x14ac:dyDescent="0.25">
      <c r="A23" s="2">
        <v>12</v>
      </c>
      <c r="B23" s="10" t="s">
        <v>241</v>
      </c>
      <c r="C23" s="10" t="s">
        <v>242</v>
      </c>
      <c r="D23" s="10" t="s">
        <v>156</v>
      </c>
      <c r="E23" s="10" t="s">
        <v>0</v>
      </c>
      <c r="F23" s="10" t="s">
        <v>89</v>
      </c>
      <c r="G23" s="10" t="s">
        <v>35</v>
      </c>
      <c r="H23" s="13">
        <v>469289.772</v>
      </c>
      <c r="I23" s="15">
        <f>IF(Table1[[#This Row],[Salary]]&lt;1000000,Table1[[#This Row],[Salary]]*0.05,Table1[[#This Row],[Salary]]*0.1)</f>
        <v>23464.488600000001</v>
      </c>
      <c r="J23" s="15">
        <f>Table1[[#This Row],[Salary]]+Table1[[#This Row],[Bonus]]</f>
        <v>492754.26059999998</v>
      </c>
      <c r="K23" s="25">
        <f>COUNTA(Table1[Employee_ID])</f>
        <v>1000</v>
      </c>
      <c r="L23" s="1">
        <f>SUM(Table1[Salary])</f>
        <v>3119391523.8580012</v>
      </c>
      <c r="M23" s="15">
        <f>AVERAGE(Table1[Salary])</f>
        <v>3119391.5238580015</v>
      </c>
      <c r="N23" s="29">
        <f>SUM(Table1[Bonus])</f>
        <v>308244983.02069992</v>
      </c>
    </row>
    <row r="24" spans="1:14" ht="12.75" customHeight="1" x14ac:dyDescent="0.25">
      <c r="A24" s="2">
        <v>13</v>
      </c>
      <c r="B24" s="10" t="s">
        <v>72</v>
      </c>
      <c r="C24" s="10" t="s">
        <v>73</v>
      </c>
      <c r="D24" s="10" t="s">
        <v>46</v>
      </c>
      <c r="E24" s="10" t="s">
        <v>6</v>
      </c>
      <c r="F24" s="10" t="s">
        <v>74</v>
      </c>
      <c r="G24" s="10" t="s">
        <v>56</v>
      </c>
      <c r="H24" s="13">
        <v>5699224.1959999995</v>
      </c>
      <c r="I24" s="15">
        <f>IF(Table1[[#This Row],[Salary]]&lt;1000000,Table1[[#This Row],[Salary]]*0.05,Table1[[#This Row],[Salary]]*0.1)</f>
        <v>569922.41960000002</v>
      </c>
      <c r="J24" s="15">
        <f>Table1[[#This Row],[Salary]]+Table1[[#This Row],[Bonus]]</f>
        <v>6269146.6155999992</v>
      </c>
      <c r="K24" s="25">
        <f>COUNTA(Table1[Employee_ID])</f>
        <v>1000</v>
      </c>
      <c r="L24" s="1">
        <f>SUM(Table1[Salary])</f>
        <v>3119391523.8580012</v>
      </c>
      <c r="M24" s="15">
        <f>AVERAGE(Table1[Salary])</f>
        <v>3119391.5238580015</v>
      </c>
      <c r="N24" s="29">
        <f>SUM(Table1[Bonus])</f>
        <v>308244983.02069992</v>
      </c>
    </row>
    <row r="25" spans="1:14" ht="12.75" customHeight="1" x14ac:dyDescent="0.25">
      <c r="A25" s="2">
        <v>13</v>
      </c>
      <c r="B25" s="10" t="s">
        <v>269</v>
      </c>
      <c r="C25" s="10" t="s">
        <v>270</v>
      </c>
      <c r="D25" s="10" t="s">
        <v>46</v>
      </c>
      <c r="E25" s="10" t="s">
        <v>0</v>
      </c>
      <c r="F25" s="10" t="s">
        <v>22</v>
      </c>
      <c r="G25" s="10" t="s">
        <v>48</v>
      </c>
      <c r="H25" s="13">
        <v>1888563.628</v>
      </c>
      <c r="I25" s="15">
        <f>IF(Table1[[#This Row],[Salary]]&lt;1000000,Table1[[#This Row],[Salary]]*0.05,Table1[[#This Row],[Salary]]*0.1)</f>
        <v>188856.3628</v>
      </c>
      <c r="J25" s="15">
        <f>Table1[[#This Row],[Salary]]+Table1[[#This Row],[Bonus]]</f>
        <v>2077419.9908</v>
      </c>
      <c r="K25" s="25">
        <f>COUNTA(Table1[Employee_ID])</f>
        <v>1000</v>
      </c>
      <c r="L25" s="1">
        <f>SUM(Table1[Salary])</f>
        <v>3119391523.8580012</v>
      </c>
      <c r="M25" s="15">
        <f>AVERAGE(Table1[Salary])</f>
        <v>3119391.5238580015</v>
      </c>
      <c r="N25" s="29">
        <f>SUM(Table1[Bonus])</f>
        <v>308244983.02069992</v>
      </c>
    </row>
    <row r="26" spans="1:14" ht="12.75" customHeight="1" x14ac:dyDescent="0.25">
      <c r="A26" s="2">
        <v>14</v>
      </c>
      <c r="B26" s="10" t="s">
        <v>75</v>
      </c>
      <c r="C26" s="10" t="s">
        <v>76</v>
      </c>
      <c r="D26" s="10" t="s">
        <v>77</v>
      </c>
      <c r="E26" s="10" t="s">
        <v>10</v>
      </c>
      <c r="F26" s="10" t="s">
        <v>78</v>
      </c>
      <c r="G26" s="10" t="s">
        <v>56</v>
      </c>
      <c r="H26" s="13">
        <v>1560374.2719999999</v>
      </c>
      <c r="I26" s="15">
        <f>IF(Table1[[#This Row],[Salary]]&lt;1000000,Table1[[#This Row],[Salary]]*0.05,Table1[[#This Row],[Salary]]*0.1)</f>
        <v>156037.42720000001</v>
      </c>
      <c r="J26" s="15">
        <f>Table1[[#This Row],[Salary]]+Table1[[#This Row],[Bonus]]</f>
        <v>1716411.6991999999</v>
      </c>
      <c r="K26" s="25">
        <f>COUNTA(Table1[Employee_ID])</f>
        <v>1000</v>
      </c>
      <c r="L26" s="1">
        <f>SUM(Table1[Salary])</f>
        <v>3119391523.8580012</v>
      </c>
      <c r="M26" s="15">
        <f>AVERAGE(Table1[Salary])</f>
        <v>3119391.5238580015</v>
      </c>
      <c r="N26" s="29">
        <f>SUM(Table1[Bonus])</f>
        <v>308244983.02069992</v>
      </c>
    </row>
    <row r="27" spans="1:14" ht="12.75" customHeight="1" x14ac:dyDescent="0.25">
      <c r="A27" s="2">
        <v>14</v>
      </c>
      <c r="B27" s="10" t="s">
        <v>276</v>
      </c>
      <c r="C27" s="10" t="s">
        <v>277</v>
      </c>
      <c r="D27" s="10" t="s">
        <v>21</v>
      </c>
      <c r="E27" s="10" t="s">
        <v>0</v>
      </c>
      <c r="F27" s="10" t="s">
        <v>70</v>
      </c>
      <c r="G27" s="10" t="s">
        <v>56</v>
      </c>
      <c r="H27" s="13">
        <v>1691170.3219999999</v>
      </c>
      <c r="I27" s="15">
        <f>IF(Table1[[#This Row],[Salary]]&lt;1000000,Table1[[#This Row],[Salary]]*0.05,Table1[[#This Row],[Salary]]*0.1)</f>
        <v>169117.03220000002</v>
      </c>
      <c r="J27" s="15">
        <f>Table1[[#This Row],[Salary]]+Table1[[#This Row],[Bonus]]</f>
        <v>1860287.3541999999</v>
      </c>
      <c r="K27" s="25">
        <f>COUNTA(Table1[Employee_ID])</f>
        <v>1000</v>
      </c>
      <c r="L27" s="1">
        <f>SUM(Table1[Salary])</f>
        <v>3119391523.8580012</v>
      </c>
      <c r="M27" s="15">
        <f>AVERAGE(Table1[Salary])</f>
        <v>3119391.5238580015</v>
      </c>
      <c r="N27" s="29">
        <f>SUM(Table1[Bonus])</f>
        <v>308244983.02069992</v>
      </c>
    </row>
    <row r="28" spans="1:14" ht="12.75" customHeight="1" x14ac:dyDescent="0.25">
      <c r="A28" s="2">
        <v>15</v>
      </c>
      <c r="B28" s="10" t="s">
        <v>79</v>
      </c>
      <c r="C28" s="10" t="s">
        <v>80</v>
      </c>
      <c r="D28" s="10" t="s">
        <v>21</v>
      </c>
      <c r="E28" s="10" t="s">
        <v>33</v>
      </c>
      <c r="F28" s="10" t="s">
        <v>34</v>
      </c>
      <c r="G28" s="10" t="s">
        <v>23</v>
      </c>
      <c r="H28" s="13">
        <v>1070000</v>
      </c>
      <c r="I28" s="15">
        <f>IF(Table1[[#This Row],[Salary]]&lt;1000000,Table1[[#This Row],[Salary]]*0.05,Table1[[#This Row],[Salary]]*0.1)</f>
        <v>107000</v>
      </c>
      <c r="J28" s="15">
        <f>Table1[[#This Row],[Salary]]+Table1[[#This Row],[Bonus]]</f>
        <v>1177000</v>
      </c>
      <c r="K28" s="25">
        <f>COUNTA(Table1[Employee_ID])</f>
        <v>1000</v>
      </c>
      <c r="L28" s="1">
        <f>SUM(Table1[Salary])</f>
        <v>3119391523.8580012</v>
      </c>
      <c r="M28" s="15">
        <f>AVERAGE(Table1[Salary])</f>
        <v>3119391.5238580015</v>
      </c>
      <c r="N28" s="29">
        <f>SUM(Table1[Bonus])</f>
        <v>308244983.02069992</v>
      </c>
    </row>
    <row r="29" spans="1:14" ht="12.75" customHeight="1" x14ac:dyDescent="0.25">
      <c r="A29" s="2">
        <v>15</v>
      </c>
      <c r="B29" s="10" t="s">
        <v>251</v>
      </c>
      <c r="C29" s="10" t="s">
        <v>278</v>
      </c>
      <c r="D29" s="10" t="s">
        <v>88</v>
      </c>
      <c r="E29" s="10" t="s">
        <v>0</v>
      </c>
      <c r="F29" s="10" t="s">
        <v>89</v>
      </c>
      <c r="G29" s="10" t="s">
        <v>23</v>
      </c>
      <c r="H29" s="13">
        <v>3549763.8279999997</v>
      </c>
      <c r="I29" s="15">
        <f>IF(Table1[[#This Row],[Salary]]&lt;1000000,Table1[[#This Row],[Salary]]*0.05,Table1[[#This Row],[Salary]]*0.1)</f>
        <v>354976.38280000002</v>
      </c>
      <c r="J29" s="15">
        <f>Table1[[#This Row],[Salary]]+Table1[[#This Row],[Bonus]]</f>
        <v>3904740.2107999995</v>
      </c>
      <c r="K29" s="25">
        <f>COUNTA(Table1[Employee_ID])</f>
        <v>1000</v>
      </c>
      <c r="L29" s="1">
        <f>SUM(Table1[Salary])</f>
        <v>3119391523.8580012</v>
      </c>
      <c r="M29" s="15">
        <f>AVERAGE(Table1[Salary])</f>
        <v>3119391.5238580015</v>
      </c>
      <c r="N29" s="29">
        <f>SUM(Table1[Bonus])</f>
        <v>308244983.02069992</v>
      </c>
    </row>
    <row r="30" spans="1:14" ht="12.75" customHeight="1" x14ac:dyDescent="0.25">
      <c r="A30" s="2">
        <v>16</v>
      </c>
      <c r="B30" s="10" t="s">
        <v>81</v>
      </c>
      <c r="C30" s="10" t="s">
        <v>82</v>
      </c>
      <c r="D30" s="10" t="s">
        <v>59</v>
      </c>
      <c r="E30" s="10" t="s">
        <v>33</v>
      </c>
      <c r="F30" s="10" t="s">
        <v>47</v>
      </c>
      <c r="G30" s="10" t="s">
        <v>71</v>
      </c>
      <c r="H30" s="13">
        <v>5075560</v>
      </c>
      <c r="I30" s="15">
        <f>IF(Table1[[#This Row],[Salary]]&lt;1000000,Table1[[#This Row],[Salary]]*0.05,Table1[[#This Row],[Salary]]*0.1)</f>
        <v>507556</v>
      </c>
      <c r="J30" s="15">
        <f>Table1[[#This Row],[Salary]]+Table1[[#This Row],[Bonus]]</f>
        <v>5583116</v>
      </c>
      <c r="K30" s="25">
        <f>COUNTA(Table1[Employee_ID])</f>
        <v>1000</v>
      </c>
      <c r="L30" s="1">
        <f>SUM(Table1[Salary])</f>
        <v>3119391523.8580012</v>
      </c>
      <c r="M30" s="15">
        <f>AVERAGE(Table1[Salary])</f>
        <v>3119391.5238580015</v>
      </c>
      <c r="N30" s="29">
        <f>SUM(Table1[Bonus])</f>
        <v>308244983.02069992</v>
      </c>
    </row>
    <row r="31" spans="1:14" ht="12.75" customHeight="1" x14ac:dyDescent="0.25">
      <c r="A31" s="2">
        <v>16</v>
      </c>
      <c r="B31" s="10" t="s">
        <v>285</v>
      </c>
      <c r="C31" s="10" t="s">
        <v>286</v>
      </c>
      <c r="D31" s="10" t="s">
        <v>99</v>
      </c>
      <c r="E31" s="10" t="s">
        <v>0</v>
      </c>
      <c r="F31" s="10" t="s">
        <v>22</v>
      </c>
      <c r="G31" s="10" t="s">
        <v>71</v>
      </c>
      <c r="H31" s="13">
        <v>5931707.1059999997</v>
      </c>
      <c r="I31" s="15">
        <f>IF(Table1[[#This Row],[Salary]]&lt;1000000,Table1[[#This Row],[Salary]]*0.05,Table1[[#This Row],[Salary]]*0.1)</f>
        <v>593170.71059999999</v>
      </c>
      <c r="J31" s="15">
        <f>Table1[[#This Row],[Salary]]+Table1[[#This Row],[Bonus]]</f>
        <v>6524877.8165999996</v>
      </c>
      <c r="K31" s="25">
        <f>COUNTA(Table1[Employee_ID])</f>
        <v>1000</v>
      </c>
      <c r="L31" s="1">
        <f>SUM(Table1[Salary])</f>
        <v>3119391523.8580012</v>
      </c>
      <c r="M31" s="15">
        <f>AVERAGE(Table1[Salary])</f>
        <v>3119391.5238580015</v>
      </c>
      <c r="N31" s="29">
        <f>SUM(Table1[Bonus])</f>
        <v>308244983.02069992</v>
      </c>
    </row>
    <row r="32" spans="1:14" ht="12.75" customHeight="1" x14ac:dyDescent="0.25">
      <c r="A32" s="2">
        <v>17</v>
      </c>
      <c r="B32" s="10" t="s">
        <v>83</v>
      </c>
      <c r="C32" s="10" t="s">
        <v>84</v>
      </c>
      <c r="D32" s="10" t="s">
        <v>21</v>
      </c>
      <c r="E32" s="10" t="s">
        <v>27</v>
      </c>
      <c r="F32" s="10" t="s">
        <v>85</v>
      </c>
      <c r="G32" s="10" t="s">
        <v>56</v>
      </c>
      <c r="H32" s="13">
        <v>1045933.906</v>
      </c>
      <c r="I32" s="15">
        <f>IF(Table1[[#This Row],[Salary]]&lt;1000000,Table1[[#This Row],[Salary]]*0.05,Table1[[#This Row],[Salary]]*0.1)</f>
        <v>104593.3906</v>
      </c>
      <c r="J32" s="15">
        <f>Table1[[#This Row],[Salary]]+Table1[[#This Row],[Bonus]]</f>
        <v>1150527.2966</v>
      </c>
      <c r="K32" s="25">
        <f>COUNTA(Table1[Employee_ID])</f>
        <v>1000</v>
      </c>
      <c r="L32" s="1">
        <f>SUM(Table1[Salary])</f>
        <v>3119391523.8580012</v>
      </c>
      <c r="M32" s="15">
        <f>AVERAGE(Table1[Salary])</f>
        <v>3119391.5238580015</v>
      </c>
      <c r="N32" s="29">
        <f>SUM(Table1[Bonus])</f>
        <v>308244983.02069992</v>
      </c>
    </row>
    <row r="33" spans="1:14" ht="12.75" customHeight="1" x14ac:dyDescent="0.25">
      <c r="A33" s="2">
        <v>17</v>
      </c>
      <c r="B33" s="10" t="s">
        <v>288</v>
      </c>
      <c r="C33" s="10" t="s">
        <v>289</v>
      </c>
      <c r="D33" s="10" t="s">
        <v>105</v>
      </c>
      <c r="E33" s="10" t="s">
        <v>0</v>
      </c>
      <c r="F33" s="10" t="s">
        <v>70</v>
      </c>
      <c r="G33" s="10" t="s">
        <v>29</v>
      </c>
      <c r="H33" s="13">
        <v>4460604.55</v>
      </c>
      <c r="I33" s="15">
        <f>IF(Table1[[#This Row],[Salary]]&lt;1000000,Table1[[#This Row],[Salary]]*0.05,Table1[[#This Row],[Salary]]*0.1)</f>
        <v>446060.45500000002</v>
      </c>
      <c r="J33" s="15">
        <f>Table1[[#This Row],[Salary]]+Table1[[#This Row],[Bonus]]</f>
        <v>4906665.0049999999</v>
      </c>
      <c r="K33" s="25">
        <f>COUNTA(Table1[Employee_ID])</f>
        <v>1000</v>
      </c>
      <c r="L33" s="1">
        <f>SUM(Table1[Salary])</f>
        <v>3119391523.8580012</v>
      </c>
      <c r="M33" s="15">
        <f>AVERAGE(Table1[Salary])</f>
        <v>3119391.5238580015</v>
      </c>
      <c r="N33" s="29">
        <f>SUM(Table1[Bonus])</f>
        <v>308244983.02069992</v>
      </c>
    </row>
    <row r="34" spans="1:14" ht="12.75" customHeight="1" x14ac:dyDescent="0.25">
      <c r="A34" s="2">
        <v>18</v>
      </c>
      <c r="B34" s="10" t="s">
        <v>129</v>
      </c>
      <c r="C34" s="10" t="s">
        <v>296</v>
      </c>
      <c r="D34" s="10" t="s">
        <v>156</v>
      </c>
      <c r="E34" s="10" t="s">
        <v>0</v>
      </c>
      <c r="F34" s="10" t="s">
        <v>89</v>
      </c>
      <c r="G34" s="10" t="s">
        <v>56</v>
      </c>
      <c r="H34" s="13">
        <v>1931051.5019999999</v>
      </c>
      <c r="I34" s="15">
        <f>IF(Table1[[#This Row],[Salary]]&lt;1000000,Table1[[#This Row],[Salary]]*0.05,Table1[[#This Row],[Salary]]*0.1)</f>
        <v>193105.1502</v>
      </c>
      <c r="J34" s="15">
        <f>Table1[[#This Row],[Salary]]+Table1[[#This Row],[Bonus]]</f>
        <v>2124156.6521999999</v>
      </c>
      <c r="K34" s="25">
        <f>COUNTA(Table1[Employee_ID])</f>
        <v>1000</v>
      </c>
      <c r="L34" s="1">
        <f>SUM(Table1[Salary])</f>
        <v>3119391523.8580012</v>
      </c>
      <c r="M34" s="15">
        <f>AVERAGE(Table1[Salary])</f>
        <v>3119391.5238580015</v>
      </c>
      <c r="N34" s="29">
        <f>SUM(Table1[Bonus])</f>
        <v>308244983.02069992</v>
      </c>
    </row>
    <row r="35" spans="1:14" ht="12.75" customHeight="1" x14ac:dyDescent="0.25">
      <c r="A35" s="2">
        <v>19</v>
      </c>
      <c r="B35" s="10" t="s">
        <v>90</v>
      </c>
      <c r="C35" s="10" t="s">
        <v>91</v>
      </c>
      <c r="D35" s="10" t="s">
        <v>46</v>
      </c>
      <c r="E35" s="10" t="s">
        <v>2</v>
      </c>
      <c r="F35" s="10" t="s">
        <v>74</v>
      </c>
      <c r="G35" s="10" t="s">
        <v>56</v>
      </c>
      <c r="H35" s="13">
        <v>4738877.4459999995</v>
      </c>
      <c r="I35" s="15">
        <f>IF(Table1[[#This Row],[Salary]]&lt;1000000,Table1[[#This Row],[Salary]]*0.05,Table1[[#This Row],[Salary]]*0.1)</f>
        <v>473887.74459999998</v>
      </c>
      <c r="J35" s="15">
        <f>Table1[[#This Row],[Salary]]+Table1[[#This Row],[Bonus]]</f>
        <v>5212765.1905999994</v>
      </c>
      <c r="K35" s="25">
        <f>COUNTA(Table1[Employee_ID])</f>
        <v>1000</v>
      </c>
      <c r="L35" s="1">
        <f>SUM(Table1[Salary])</f>
        <v>3119391523.8580012</v>
      </c>
      <c r="M35" s="15">
        <f>AVERAGE(Table1[Salary])</f>
        <v>3119391.5238580015</v>
      </c>
      <c r="N35" s="29">
        <f>SUM(Table1[Bonus])</f>
        <v>308244983.02069992</v>
      </c>
    </row>
    <row r="36" spans="1:14" ht="12.75" customHeight="1" x14ac:dyDescent="0.25">
      <c r="A36" s="2">
        <v>19</v>
      </c>
      <c r="B36" s="10" t="s">
        <v>299</v>
      </c>
      <c r="C36" s="10" t="s">
        <v>300</v>
      </c>
      <c r="D36" s="10" t="s">
        <v>174</v>
      </c>
      <c r="E36" s="10" t="s">
        <v>0</v>
      </c>
      <c r="F36" s="10" t="s">
        <v>22</v>
      </c>
      <c r="G36" s="10" t="s">
        <v>23</v>
      </c>
      <c r="H36" s="13">
        <v>2939474.764</v>
      </c>
      <c r="I36" s="15">
        <f>IF(Table1[[#This Row],[Salary]]&lt;1000000,Table1[[#This Row],[Salary]]*0.05,Table1[[#This Row],[Salary]]*0.1)</f>
        <v>293947.47639999999</v>
      </c>
      <c r="J36" s="15">
        <f>Table1[[#This Row],[Salary]]+Table1[[#This Row],[Bonus]]</f>
        <v>3233422.2404</v>
      </c>
      <c r="K36" s="25">
        <f>COUNTA(Table1[Employee_ID])</f>
        <v>1000</v>
      </c>
      <c r="L36" s="1">
        <f>SUM(Table1[Salary])</f>
        <v>3119391523.8580012</v>
      </c>
      <c r="M36" s="15">
        <f>AVERAGE(Table1[Salary])</f>
        <v>3119391.5238580015</v>
      </c>
      <c r="N36" s="29">
        <f>SUM(Table1[Bonus])</f>
        <v>308244983.02069992</v>
      </c>
    </row>
    <row r="37" spans="1:14" ht="12.75" customHeight="1" x14ac:dyDescent="0.25">
      <c r="A37" s="2">
        <v>20</v>
      </c>
      <c r="B37" s="10" t="s">
        <v>308</v>
      </c>
      <c r="C37" s="10" t="s">
        <v>309</v>
      </c>
      <c r="D37" s="10" t="s">
        <v>21</v>
      </c>
      <c r="E37" s="10" t="s">
        <v>0</v>
      </c>
      <c r="F37" s="10" t="s">
        <v>70</v>
      </c>
      <c r="G37" s="10" t="s">
        <v>71</v>
      </c>
      <c r="H37" s="13">
        <v>5043381.8440000005</v>
      </c>
      <c r="I37" s="15">
        <f>IF(Table1[[#This Row],[Salary]]&lt;1000000,Table1[[#This Row],[Salary]]*0.05,Table1[[#This Row],[Salary]]*0.1)</f>
        <v>504338.18440000009</v>
      </c>
      <c r="J37" s="15">
        <f>Table1[[#This Row],[Salary]]+Table1[[#This Row],[Bonus]]</f>
        <v>5547720.0284000002</v>
      </c>
      <c r="K37" s="25">
        <f>COUNTA(Table1[Employee_ID])</f>
        <v>1000</v>
      </c>
      <c r="L37" s="1">
        <f>SUM(Table1[Salary])</f>
        <v>3119391523.8580012</v>
      </c>
      <c r="M37" s="15">
        <f>AVERAGE(Table1[Salary])</f>
        <v>3119391.5238580015</v>
      </c>
      <c r="N37" s="29">
        <f>SUM(Table1[Bonus])</f>
        <v>308244983.02069992</v>
      </c>
    </row>
    <row r="38" spans="1:14" ht="12.75" customHeight="1" x14ac:dyDescent="0.25">
      <c r="A38" s="2">
        <v>21</v>
      </c>
      <c r="B38" s="10" t="s">
        <v>94</v>
      </c>
      <c r="C38" s="10" t="s">
        <v>95</v>
      </c>
      <c r="D38" s="10" t="s">
        <v>96</v>
      </c>
      <c r="E38" s="10" t="s">
        <v>33</v>
      </c>
      <c r="F38" s="10" t="s">
        <v>55</v>
      </c>
      <c r="G38" s="10" t="s">
        <v>29</v>
      </c>
      <c r="H38" s="13">
        <v>4204200</v>
      </c>
      <c r="I38" s="15">
        <f>IF(Table1[[#This Row],[Salary]]&lt;1000000,Table1[[#This Row],[Salary]]*0.05,Table1[[#This Row],[Salary]]*0.1)</f>
        <v>420420</v>
      </c>
      <c r="J38" s="15">
        <f>Table1[[#This Row],[Salary]]+Table1[[#This Row],[Bonus]]</f>
        <v>4624620</v>
      </c>
      <c r="K38" s="25">
        <f>COUNTA(Table1[Employee_ID])</f>
        <v>1000</v>
      </c>
      <c r="L38" s="1">
        <f>SUM(Table1[Salary])</f>
        <v>3119391523.8580012</v>
      </c>
      <c r="M38" s="15">
        <f>AVERAGE(Table1[Salary])</f>
        <v>3119391.5238580015</v>
      </c>
      <c r="N38" s="29">
        <f>SUM(Table1[Bonus])</f>
        <v>308244983.02069992</v>
      </c>
    </row>
    <row r="39" spans="1:14" ht="12.75" customHeight="1" x14ac:dyDescent="0.25">
      <c r="A39" s="2">
        <v>21</v>
      </c>
      <c r="B39" s="10" t="s">
        <v>335</v>
      </c>
      <c r="C39" s="10" t="s">
        <v>336</v>
      </c>
      <c r="D39" s="10" t="s">
        <v>32</v>
      </c>
      <c r="E39" s="10" t="s">
        <v>0</v>
      </c>
      <c r="F39" s="10" t="s">
        <v>89</v>
      </c>
      <c r="G39" s="10" t="s">
        <v>29</v>
      </c>
      <c r="H39" s="13">
        <v>1829948.808</v>
      </c>
      <c r="I39" s="15">
        <f>IF(Table1[[#This Row],[Salary]]&lt;1000000,Table1[[#This Row],[Salary]]*0.05,Table1[[#This Row],[Salary]]*0.1)</f>
        <v>182994.88080000001</v>
      </c>
      <c r="J39" s="15">
        <f>Table1[[#This Row],[Salary]]+Table1[[#This Row],[Bonus]]</f>
        <v>2012943.6887999999</v>
      </c>
      <c r="K39" s="25">
        <f>COUNTA(Table1[Employee_ID])</f>
        <v>1000</v>
      </c>
      <c r="L39" s="1">
        <f>SUM(Table1[Salary])</f>
        <v>3119391523.8580012</v>
      </c>
      <c r="M39" s="15">
        <f>AVERAGE(Table1[Salary])</f>
        <v>3119391.5238580015</v>
      </c>
      <c r="N39" s="29">
        <f>SUM(Table1[Bonus])</f>
        <v>308244983.02069992</v>
      </c>
    </row>
    <row r="40" spans="1:14" ht="12.75" customHeight="1" x14ac:dyDescent="0.25">
      <c r="A40" s="2">
        <v>22</v>
      </c>
      <c r="B40" s="10" t="s">
        <v>97</v>
      </c>
      <c r="C40" s="10" t="s">
        <v>98</v>
      </c>
      <c r="D40" s="10" t="s">
        <v>99</v>
      </c>
      <c r="E40" s="10" t="s">
        <v>33</v>
      </c>
      <c r="F40" s="10" t="s">
        <v>34</v>
      </c>
      <c r="G40" s="10" t="s">
        <v>56</v>
      </c>
      <c r="H40" s="13">
        <v>1009000</v>
      </c>
      <c r="I40" s="15">
        <f>IF(Table1[[#This Row],[Salary]]&lt;1000000,Table1[[#This Row],[Salary]]*0.05,Table1[[#This Row],[Salary]]*0.1)</f>
        <v>100900</v>
      </c>
      <c r="J40" s="15">
        <f>Table1[[#This Row],[Salary]]+Table1[[#This Row],[Bonus]]</f>
        <v>1109900</v>
      </c>
      <c r="K40" s="25">
        <f>COUNTA(Table1[Employee_ID])</f>
        <v>1000</v>
      </c>
      <c r="L40" s="1">
        <f>SUM(Table1[Salary])</f>
        <v>3119391523.8580012</v>
      </c>
      <c r="M40" s="15">
        <f>AVERAGE(Table1[Salary])</f>
        <v>3119391.5238580015</v>
      </c>
      <c r="N40" s="29">
        <f>SUM(Table1[Bonus])</f>
        <v>308244983.02069992</v>
      </c>
    </row>
    <row r="41" spans="1:14" ht="12.75" customHeight="1" x14ac:dyDescent="0.25">
      <c r="A41" s="2">
        <v>22</v>
      </c>
      <c r="B41" s="10" t="s">
        <v>325</v>
      </c>
      <c r="C41" s="10" t="s">
        <v>349</v>
      </c>
      <c r="D41" s="10" t="s">
        <v>46</v>
      </c>
      <c r="E41" s="10" t="s">
        <v>0</v>
      </c>
      <c r="F41" s="10" t="s">
        <v>22</v>
      </c>
      <c r="G41" s="10" t="s">
        <v>56</v>
      </c>
      <c r="H41" s="13">
        <v>4016999.85</v>
      </c>
      <c r="I41" s="15">
        <f>IF(Table1[[#This Row],[Salary]]&lt;1000000,Table1[[#This Row],[Salary]]*0.05,Table1[[#This Row],[Salary]]*0.1)</f>
        <v>401699.98500000004</v>
      </c>
      <c r="J41" s="15">
        <f>Table1[[#This Row],[Salary]]+Table1[[#This Row],[Bonus]]</f>
        <v>4418699.835</v>
      </c>
      <c r="K41" s="25">
        <f>COUNTA(Table1[Employee_ID])</f>
        <v>1000</v>
      </c>
      <c r="L41" s="1">
        <f>SUM(Table1[Salary])</f>
        <v>3119391523.8580012</v>
      </c>
      <c r="M41" s="15">
        <f>AVERAGE(Table1[Salary])</f>
        <v>3119391.5238580015</v>
      </c>
      <c r="N41" s="29">
        <f>SUM(Table1[Bonus])</f>
        <v>308244983.02069992</v>
      </c>
    </row>
    <row r="42" spans="1:14" ht="12.75" customHeight="1" x14ac:dyDescent="0.25">
      <c r="A42" s="2">
        <v>23</v>
      </c>
      <c r="B42" s="10" t="s">
        <v>100</v>
      </c>
      <c r="C42" s="10" t="s">
        <v>101</v>
      </c>
      <c r="D42" s="10" t="s">
        <v>96</v>
      </c>
      <c r="E42" s="10" t="s">
        <v>2</v>
      </c>
      <c r="F42" s="10" t="s">
        <v>102</v>
      </c>
      <c r="G42" s="10" t="s">
        <v>23</v>
      </c>
      <c r="H42" s="13">
        <v>2497551.4360000002</v>
      </c>
      <c r="I42" s="15">
        <f>IF(Table1[[#This Row],[Salary]]&lt;1000000,Table1[[#This Row],[Salary]]*0.05,Table1[[#This Row],[Salary]]*0.1)</f>
        <v>249755.14360000004</v>
      </c>
      <c r="J42" s="15">
        <f>Table1[[#This Row],[Salary]]+Table1[[#This Row],[Bonus]]</f>
        <v>2747306.5796000003</v>
      </c>
      <c r="K42" s="25">
        <f>COUNTA(Table1[Employee_ID])</f>
        <v>1000</v>
      </c>
      <c r="L42" s="1">
        <f>SUM(Table1[Salary])</f>
        <v>3119391523.8580012</v>
      </c>
      <c r="M42" s="15">
        <f>AVERAGE(Table1[Salary])</f>
        <v>3119391.5238580015</v>
      </c>
      <c r="N42" s="29">
        <f>SUM(Table1[Bonus])</f>
        <v>308244983.02069992</v>
      </c>
    </row>
    <row r="43" spans="1:14" ht="12.75" customHeight="1" x14ac:dyDescent="0.25">
      <c r="A43" s="2">
        <v>23</v>
      </c>
      <c r="B43" s="10" t="s">
        <v>371</v>
      </c>
      <c r="C43" s="10" t="s">
        <v>372</v>
      </c>
      <c r="D43" s="10" t="s">
        <v>54</v>
      </c>
      <c r="E43" s="10" t="s">
        <v>0</v>
      </c>
      <c r="F43" s="10" t="s">
        <v>70</v>
      </c>
      <c r="G43" s="10" t="s">
        <v>29</v>
      </c>
      <c r="H43" s="13">
        <v>3638306.37</v>
      </c>
      <c r="I43" s="15">
        <f>IF(Table1[[#This Row],[Salary]]&lt;1000000,Table1[[#This Row],[Salary]]*0.05,Table1[[#This Row],[Salary]]*0.1)</f>
        <v>363830.63700000005</v>
      </c>
      <c r="J43" s="15">
        <f>Table1[[#This Row],[Salary]]+Table1[[#This Row],[Bonus]]</f>
        <v>4002137.0070000002</v>
      </c>
      <c r="K43" s="25">
        <f>COUNTA(Table1[Employee_ID])</f>
        <v>1000</v>
      </c>
      <c r="L43" s="1">
        <f>SUM(Table1[Salary])</f>
        <v>3119391523.8580012</v>
      </c>
      <c r="M43" s="15">
        <f>AVERAGE(Table1[Salary])</f>
        <v>3119391.5238580015</v>
      </c>
      <c r="N43" s="29">
        <f>SUM(Table1[Bonus])</f>
        <v>308244983.02069992</v>
      </c>
    </row>
    <row r="44" spans="1:14" ht="12.75" customHeight="1" x14ac:dyDescent="0.25">
      <c r="A44" s="2">
        <v>24</v>
      </c>
      <c r="B44" s="10" t="s">
        <v>103</v>
      </c>
      <c r="C44" s="10" t="s">
        <v>104</v>
      </c>
      <c r="D44" s="10" t="s">
        <v>105</v>
      </c>
      <c r="E44" s="10" t="s">
        <v>27</v>
      </c>
      <c r="F44" s="10" t="s">
        <v>106</v>
      </c>
      <c r="G44" s="10" t="s">
        <v>23</v>
      </c>
      <c r="H44" s="13">
        <v>4945271.1059999997</v>
      </c>
      <c r="I44" s="15">
        <f>IF(Table1[[#This Row],[Salary]]&lt;1000000,Table1[[#This Row],[Salary]]*0.05,Table1[[#This Row],[Salary]]*0.1)</f>
        <v>494527.11060000001</v>
      </c>
      <c r="J44" s="15">
        <f>Table1[[#This Row],[Salary]]+Table1[[#This Row],[Bonus]]</f>
        <v>5439798.2165999999</v>
      </c>
      <c r="K44" s="25">
        <f>COUNTA(Table1[Employee_ID])</f>
        <v>1000</v>
      </c>
      <c r="L44" s="1">
        <f>SUM(Table1[Salary])</f>
        <v>3119391523.8580012</v>
      </c>
      <c r="M44" s="15">
        <f>AVERAGE(Table1[Salary])</f>
        <v>3119391.5238580015</v>
      </c>
      <c r="N44" s="29">
        <f>SUM(Table1[Bonus])</f>
        <v>308244983.02069992</v>
      </c>
    </row>
    <row r="45" spans="1:14" ht="12.75" customHeight="1" x14ac:dyDescent="0.25">
      <c r="A45" s="2">
        <v>24</v>
      </c>
      <c r="B45" s="10" t="s">
        <v>255</v>
      </c>
      <c r="C45" s="10" t="s">
        <v>389</v>
      </c>
      <c r="D45" s="10" t="s">
        <v>324</v>
      </c>
      <c r="E45" s="10" t="s">
        <v>0</v>
      </c>
      <c r="F45" s="10" t="s">
        <v>89</v>
      </c>
      <c r="G45" s="10" t="s">
        <v>23</v>
      </c>
      <c r="H45" s="13">
        <v>1913391.2660000001</v>
      </c>
      <c r="I45" s="15">
        <f>IF(Table1[[#This Row],[Salary]]&lt;1000000,Table1[[#This Row],[Salary]]*0.05,Table1[[#This Row],[Salary]]*0.1)</f>
        <v>191339.12660000002</v>
      </c>
      <c r="J45" s="15">
        <f>Table1[[#This Row],[Salary]]+Table1[[#This Row],[Bonus]]</f>
        <v>2104730.3925999999</v>
      </c>
      <c r="K45" s="25">
        <f>COUNTA(Table1[Employee_ID])</f>
        <v>1000</v>
      </c>
      <c r="L45" s="1">
        <f>SUM(Table1[Salary])</f>
        <v>3119391523.8580012</v>
      </c>
      <c r="M45" s="15">
        <f>AVERAGE(Table1[Salary])</f>
        <v>3119391.5238580015</v>
      </c>
      <c r="N45" s="29">
        <f>SUM(Table1[Bonus])</f>
        <v>308244983.02069992</v>
      </c>
    </row>
    <row r="46" spans="1:14" ht="12.75" customHeight="1" x14ac:dyDescent="0.25">
      <c r="A46" s="2">
        <v>25</v>
      </c>
      <c r="B46" s="10" t="s">
        <v>107</v>
      </c>
      <c r="C46" s="10" t="s">
        <v>108</v>
      </c>
      <c r="D46" s="10" t="s">
        <v>54</v>
      </c>
      <c r="E46" s="10" t="s">
        <v>10</v>
      </c>
      <c r="F46" s="10" t="s">
        <v>109</v>
      </c>
      <c r="G46" s="10" t="s">
        <v>29</v>
      </c>
      <c r="H46" s="13">
        <v>3829637.642</v>
      </c>
      <c r="I46" s="15">
        <f>IF(Table1[[#This Row],[Salary]]&lt;1000000,Table1[[#This Row],[Salary]]*0.05,Table1[[#This Row],[Salary]]*0.1)</f>
        <v>382963.76420000003</v>
      </c>
      <c r="J46" s="15">
        <f>Table1[[#This Row],[Salary]]+Table1[[#This Row],[Bonus]]</f>
        <v>4212601.4062000001</v>
      </c>
      <c r="K46" s="25">
        <f>COUNTA(Table1[Employee_ID])</f>
        <v>1000</v>
      </c>
      <c r="L46" s="1">
        <f>SUM(Table1[Salary])</f>
        <v>3119391523.8580012</v>
      </c>
      <c r="M46" s="15">
        <f>AVERAGE(Table1[Salary])</f>
        <v>3119391.5238580015</v>
      </c>
      <c r="N46" s="29">
        <f>SUM(Table1[Bonus])</f>
        <v>308244983.02069992</v>
      </c>
    </row>
    <row r="47" spans="1:14" ht="12.75" customHeight="1" x14ac:dyDescent="0.25">
      <c r="A47" s="2">
        <v>25</v>
      </c>
      <c r="B47" s="10" t="s">
        <v>412</v>
      </c>
      <c r="C47" s="10" t="s">
        <v>413</v>
      </c>
      <c r="D47" s="10" t="s">
        <v>363</v>
      </c>
      <c r="E47" s="10" t="s">
        <v>0</v>
      </c>
      <c r="F47" s="10" t="s">
        <v>22</v>
      </c>
      <c r="G47" s="10" t="s">
        <v>29</v>
      </c>
      <c r="H47" s="13">
        <v>1943205.8860000002</v>
      </c>
      <c r="I47" s="15">
        <f>IF(Table1[[#This Row],[Salary]]&lt;1000000,Table1[[#This Row],[Salary]]*0.05,Table1[[#This Row],[Salary]]*0.1)</f>
        <v>194320.58860000002</v>
      </c>
      <c r="J47" s="15">
        <f>Table1[[#This Row],[Salary]]+Table1[[#This Row],[Bonus]]</f>
        <v>2137526.4746000003</v>
      </c>
      <c r="K47" s="25">
        <f>COUNTA(Table1[Employee_ID])</f>
        <v>1000</v>
      </c>
      <c r="L47" s="1">
        <f>SUM(Table1[Salary])</f>
        <v>3119391523.8580012</v>
      </c>
      <c r="M47" s="15">
        <f>AVERAGE(Table1[Salary])</f>
        <v>3119391.5238580015</v>
      </c>
      <c r="N47" s="29">
        <f>SUM(Table1[Bonus])</f>
        <v>308244983.02069992</v>
      </c>
    </row>
    <row r="48" spans="1:14" ht="12.75" customHeight="1" x14ac:dyDescent="0.25">
      <c r="A48" s="2">
        <v>26</v>
      </c>
      <c r="B48" s="10" t="s">
        <v>110</v>
      </c>
      <c r="C48" s="10" t="s">
        <v>111</v>
      </c>
      <c r="D48" s="10" t="s">
        <v>112</v>
      </c>
      <c r="E48" s="10" t="s">
        <v>63</v>
      </c>
      <c r="F48" s="10" t="s">
        <v>113</v>
      </c>
      <c r="G48" s="10" t="s">
        <v>23</v>
      </c>
      <c r="H48" s="13">
        <v>4455984.858</v>
      </c>
      <c r="I48" s="15">
        <f>IF(Table1[[#This Row],[Salary]]&lt;1000000,Table1[[#This Row],[Salary]]*0.05,Table1[[#This Row],[Salary]]*0.1)</f>
        <v>445598.48580000002</v>
      </c>
      <c r="J48" s="15">
        <f>Table1[[#This Row],[Salary]]+Table1[[#This Row],[Bonus]]</f>
        <v>4901583.3437999999</v>
      </c>
      <c r="K48" s="25">
        <f>COUNTA(Table1[Employee_ID])</f>
        <v>1000</v>
      </c>
      <c r="L48" s="1">
        <f>SUM(Table1[Salary])</f>
        <v>3119391523.8580012</v>
      </c>
      <c r="M48" s="15">
        <f>AVERAGE(Table1[Salary])</f>
        <v>3119391.5238580015</v>
      </c>
      <c r="N48" s="29">
        <f>SUM(Table1[Bonus])</f>
        <v>308244983.02069992</v>
      </c>
    </row>
    <row r="49" spans="1:14" ht="12.75" customHeight="1" x14ac:dyDescent="0.25">
      <c r="A49" s="2">
        <v>26</v>
      </c>
      <c r="B49" s="10" t="s">
        <v>73</v>
      </c>
      <c r="C49" s="10" t="s">
        <v>163</v>
      </c>
      <c r="D49" s="10" t="s">
        <v>118</v>
      </c>
      <c r="E49" s="10" t="s">
        <v>0</v>
      </c>
      <c r="F49" s="10" t="s">
        <v>70</v>
      </c>
      <c r="G49" s="10" t="s">
        <v>35</v>
      </c>
      <c r="H49" s="13">
        <v>5555340.9620000003</v>
      </c>
      <c r="I49" s="15">
        <f>IF(Table1[[#This Row],[Salary]]&lt;1000000,Table1[[#This Row],[Salary]]*0.05,Table1[[#This Row],[Salary]]*0.1)</f>
        <v>555534.09620000003</v>
      </c>
      <c r="J49" s="15">
        <f>Table1[[#This Row],[Salary]]+Table1[[#This Row],[Bonus]]</f>
        <v>6110875.0581999999</v>
      </c>
      <c r="K49" s="25">
        <f>COUNTA(Table1[Employee_ID])</f>
        <v>1000</v>
      </c>
      <c r="L49" s="1">
        <f>SUM(Table1[Salary])</f>
        <v>3119391523.8580012</v>
      </c>
      <c r="M49" s="15">
        <f>AVERAGE(Table1[Salary])</f>
        <v>3119391.5238580015</v>
      </c>
      <c r="N49" s="29">
        <f>SUM(Table1[Bonus])</f>
        <v>308244983.02069992</v>
      </c>
    </row>
    <row r="50" spans="1:14" ht="12.75" customHeight="1" x14ac:dyDescent="0.25">
      <c r="A50" s="2">
        <v>27</v>
      </c>
      <c r="B50" s="10" t="s">
        <v>114</v>
      </c>
      <c r="C50" s="10" t="s">
        <v>115</v>
      </c>
      <c r="D50" s="10" t="s">
        <v>96</v>
      </c>
      <c r="E50" s="10" t="s">
        <v>33</v>
      </c>
      <c r="F50" s="10" t="s">
        <v>47</v>
      </c>
      <c r="G50" s="10" t="s">
        <v>23</v>
      </c>
      <c r="H50" s="13">
        <v>3960712.9999999995</v>
      </c>
      <c r="I50" s="15">
        <f>IF(Table1[[#This Row],[Salary]]&lt;1000000,Table1[[#This Row],[Salary]]*0.05,Table1[[#This Row],[Salary]]*0.1)</f>
        <v>396071.3</v>
      </c>
      <c r="J50" s="15">
        <f>Table1[[#This Row],[Salary]]+Table1[[#This Row],[Bonus]]</f>
        <v>4356784.3</v>
      </c>
      <c r="K50" s="25">
        <f>COUNTA(Table1[Employee_ID])</f>
        <v>1000</v>
      </c>
      <c r="L50" s="1">
        <f>SUM(Table1[Salary])</f>
        <v>3119391523.8580012</v>
      </c>
      <c r="M50" s="15">
        <f>AVERAGE(Table1[Salary])</f>
        <v>3119391.5238580015</v>
      </c>
      <c r="N50" s="29">
        <f>SUM(Table1[Bonus])</f>
        <v>308244983.02069992</v>
      </c>
    </row>
    <row r="51" spans="1:14" ht="12.75" customHeight="1" x14ac:dyDescent="0.25">
      <c r="A51" s="2">
        <v>27</v>
      </c>
      <c r="B51" s="10" t="s">
        <v>434</v>
      </c>
      <c r="C51" s="10" t="s">
        <v>435</v>
      </c>
      <c r="D51" s="10" t="s">
        <v>125</v>
      </c>
      <c r="E51" s="10" t="s">
        <v>0</v>
      </c>
      <c r="F51" s="10" t="s">
        <v>89</v>
      </c>
      <c r="G51" s="10" t="s">
        <v>23</v>
      </c>
      <c r="H51" s="13">
        <v>568118.76599999995</v>
      </c>
      <c r="I51" s="15">
        <f>IF(Table1[[#This Row],[Salary]]&lt;1000000,Table1[[#This Row],[Salary]]*0.05,Table1[[#This Row],[Salary]]*0.1)</f>
        <v>28405.938299999998</v>
      </c>
      <c r="J51" s="15">
        <f>Table1[[#This Row],[Salary]]+Table1[[#This Row],[Bonus]]</f>
        <v>596524.70429999998</v>
      </c>
      <c r="K51" s="25">
        <f>COUNTA(Table1[Employee_ID])</f>
        <v>1000</v>
      </c>
      <c r="L51" s="1">
        <f>SUM(Table1[Salary])</f>
        <v>3119391523.8580012</v>
      </c>
      <c r="M51" s="15">
        <f>AVERAGE(Table1[Salary])</f>
        <v>3119391.5238580015</v>
      </c>
      <c r="N51" s="29">
        <f>SUM(Table1[Bonus])</f>
        <v>308244983.02069992</v>
      </c>
    </row>
    <row r="52" spans="1:14" ht="12.75" customHeight="1" x14ac:dyDescent="0.25">
      <c r="A52" s="2">
        <v>28</v>
      </c>
      <c r="B52" s="10" t="s">
        <v>116</v>
      </c>
      <c r="C52" s="10" t="s">
        <v>117</v>
      </c>
      <c r="D52" s="10" t="s">
        <v>118</v>
      </c>
      <c r="E52" s="10" t="s">
        <v>27</v>
      </c>
      <c r="F52" s="10" t="s">
        <v>28</v>
      </c>
      <c r="G52" s="10" t="s">
        <v>71</v>
      </c>
      <c r="H52" s="13">
        <v>3759035.176</v>
      </c>
      <c r="I52" s="15">
        <f>IF(Table1[[#This Row],[Salary]]&lt;1000000,Table1[[#This Row],[Salary]]*0.05,Table1[[#This Row],[Salary]]*0.1)</f>
        <v>375903.51760000002</v>
      </c>
      <c r="J52" s="15">
        <f>Table1[[#This Row],[Salary]]+Table1[[#This Row],[Bonus]]</f>
        <v>4134938.6935999999</v>
      </c>
      <c r="K52" s="25">
        <f>COUNTA(Table1[Employee_ID])</f>
        <v>1000</v>
      </c>
      <c r="L52" s="1">
        <f>SUM(Table1[Salary])</f>
        <v>3119391523.8580012</v>
      </c>
      <c r="M52" s="15">
        <f>AVERAGE(Table1[Salary])</f>
        <v>3119391.5238580015</v>
      </c>
      <c r="N52" s="29">
        <f>SUM(Table1[Bonus])</f>
        <v>308244983.02069992</v>
      </c>
    </row>
    <row r="53" spans="1:14" ht="12.75" customHeight="1" x14ac:dyDescent="0.25">
      <c r="A53" s="2">
        <v>28</v>
      </c>
      <c r="B53" s="10" t="s">
        <v>370</v>
      </c>
      <c r="C53" s="10" t="s">
        <v>196</v>
      </c>
      <c r="D53" s="10" t="s">
        <v>140</v>
      </c>
      <c r="E53" s="10" t="s">
        <v>0</v>
      </c>
      <c r="F53" s="10" t="s">
        <v>22</v>
      </c>
      <c r="G53" s="10" t="s">
        <v>71</v>
      </c>
      <c r="H53" s="13">
        <v>4725543.07</v>
      </c>
      <c r="I53" s="15">
        <f>IF(Table1[[#This Row],[Salary]]&lt;1000000,Table1[[#This Row],[Salary]]*0.05,Table1[[#This Row],[Salary]]*0.1)</f>
        <v>472554.30700000003</v>
      </c>
      <c r="J53" s="15">
        <f>Table1[[#This Row],[Salary]]+Table1[[#This Row],[Bonus]]</f>
        <v>5198097.3770000003</v>
      </c>
      <c r="K53" s="25">
        <f>COUNTA(Table1[Employee_ID])</f>
        <v>1000</v>
      </c>
      <c r="L53" s="1">
        <f>SUM(Table1[Salary])</f>
        <v>3119391523.8580012</v>
      </c>
      <c r="M53" s="15">
        <f>AVERAGE(Table1[Salary])</f>
        <v>3119391.5238580015</v>
      </c>
      <c r="N53" s="29">
        <f>SUM(Table1[Bonus])</f>
        <v>308244983.02069992</v>
      </c>
    </row>
    <row r="54" spans="1:14" ht="12.75" customHeight="1" x14ac:dyDescent="0.25">
      <c r="A54" s="2">
        <v>29</v>
      </c>
      <c r="B54" s="10" t="s">
        <v>116</v>
      </c>
      <c r="C54" s="10" t="s">
        <v>119</v>
      </c>
      <c r="D54" s="10" t="s">
        <v>88</v>
      </c>
      <c r="E54" s="10" t="s">
        <v>13</v>
      </c>
      <c r="F54" s="10" t="s">
        <v>120</v>
      </c>
      <c r="G54" s="10" t="s">
        <v>23</v>
      </c>
      <c r="H54" s="13">
        <v>4204941.5599999996</v>
      </c>
      <c r="I54" s="15">
        <f>IF(Table1[[#This Row],[Salary]]&lt;1000000,Table1[[#This Row],[Salary]]*0.05,Table1[[#This Row],[Salary]]*0.1)</f>
        <v>420494.15599999996</v>
      </c>
      <c r="J54" s="15">
        <f>Table1[[#This Row],[Salary]]+Table1[[#This Row],[Bonus]]</f>
        <v>4625435.716</v>
      </c>
      <c r="K54" s="25">
        <f>COUNTA(Table1[Employee_ID])</f>
        <v>1000</v>
      </c>
      <c r="L54" s="1">
        <f>SUM(Table1[Salary])</f>
        <v>3119391523.8580012</v>
      </c>
      <c r="M54" s="15">
        <f>AVERAGE(Table1[Salary])</f>
        <v>3119391.5238580015</v>
      </c>
      <c r="N54" s="29">
        <f>SUM(Table1[Bonus])</f>
        <v>308244983.02069992</v>
      </c>
    </row>
    <row r="55" spans="1:14" ht="12.75" customHeight="1" x14ac:dyDescent="0.25">
      <c r="A55" s="2">
        <v>29</v>
      </c>
      <c r="B55" s="10" t="s">
        <v>440</v>
      </c>
      <c r="C55" s="10" t="s">
        <v>441</v>
      </c>
      <c r="D55" s="10" t="s">
        <v>143</v>
      </c>
      <c r="E55" s="10" t="s">
        <v>0</v>
      </c>
      <c r="F55" s="10" t="s">
        <v>70</v>
      </c>
      <c r="G55" s="10" t="s">
        <v>29</v>
      </c>
      <c r="H55" s="13">
        <v>2512707.1039999998</v>
      </c>
      <c r="I55" s="15">
        <f>IF(Table1[[#This Row],[Salary]]&lt;1000000,Table1[[#This Row],[Salary]]*0.05,Table1[[#This Row],[Salary]]*0.1)</f>
        <v>251270.71039999998</v>
      </c>
      <c r="J55" s="15">
        <f>Table1[[#This Row],[Salary]]+Table1[[#This Row],[Bonus]]</f>
        <v>2763977.8143999996</v>
      </c>
      <c r="K55" s="25">
        <f>COUNTA(Table1[Employee_ID])</f>
        <v>1000</v>
      </c>
      <c r="L55" s="1">
        <f>SUM(Table1[Salary])</f>
        <v>3119391523.8580012</v>
      </c>
      <c r="M55" s="15">
        <f>AVERAGE(Table1[Salary])</f>
        <v>3119391.5238580015</v>
      </c>
      <c r="N55" s="29">
        <f>SUM(Table1[Bonus])</f>
        <v>308244983.02069992</v>
      </c>
    </row>
    <row r="56" spans="1:14" ht="12.75" customHeight="1" x14ac:dyDescent="0.25">
      <c r="A56" s="2">
        <v>30</v>
      </c>
      <c r="B56" s="10" t="s">
        <v>121</v>
      </c>
      <c r="C56" s="10" t="s">
        <v>122</v>
      </c>
      <c r="D56" s="10" t="s">
        <v>26</v>
      </c>
      <c r="E56" s="10" t="s">
        <v>6</v>
      </c>
      <c r="F56" s="10" t="s">
        <v>123</v>
      </c>
      <c r="G56" s="10" t="s">
        <v>29</v>
      </c>
      <c r="H56" s="13">
        <v>2972525.034</v>
      </c>
      <c r="I56" s="15">
        <f>IF(Table1[[#This Row],[Salary]]&lt;1000000,Table1[[#This Row],[Salary]]*0.05,Table1[[#This Row],[Salary]]*0.1)</f>
        <v>297252.50339999999</v>
      </c>
      <c r="J56" s="15">
        <f>Table1[[#This Row],[Salary]]+Table1[[#This Row],[Bonus]]</f>
        <v>3269777.5373999998</v>
      </c>
      <c r="K56" s="25">
        <f>COUNTA(Table1[Employee_ID])</f>
        <v>1000</v>
      </c>
      <c r="L56" s="1">
        <f>SUM(Table1[Salary])</f>
        <v>3119391523.8580012</v>
      </c>
      <c r="M56" s="15">
        <f>AVERAGE(Table1[Salary])</f>
        <v>3119391.5238580015</v>
      </c>
      <c r="N56" s="29">
        <f>SUM(Table1[Bonus])</f>
        <v>308244983.02069992</v>
      </c>
    </row>
    <row r="57" spans="1:14" ht="12.75" customHeight="1" x14ac:dyDescent="0.25">
      <c r="A57" s="2">
        <v>30</v>
      </c>
      <c r="B57" s="10" t="s">
        <v>444</v>
      </c>
      <c r="C57" s="10" t="s">
        <v>445</v>
      </c>
      <c r="D57" s="10" t="s">
        <v>149</v>
      </c>
      <c r="E57" s="10" t="s">
        <v>0</v>
      </c>
      <c r="F57" s="10" t="s">
        <v>89</v>
      </c>
      <c r="G57" s="10" t="s">
        <v>71</v>
      </c>
      <c r="H57" s="13">
        <v>3789958.662</v>
      </c>
      <c r="I57" s="15">
        <f>IF(Table1[[#This Row],[Salary]]&lt;1000000,Table1[[#This Row],[Salary]]*0.05,Table1[[#This Row],[Salary]]*0.1)</f>
        <v>378995.86620000005</v>
      </c>
      <c r="J57" s="15">
        <f>Table1[[#This Row],[Salary]]+Table1[[#This Row],[Bonus]]</f>
        <v>4168954.5282000001</v>
      </c>
      <c r="K57" s="25">
        <f>COUNTA(Table1[Employee_ID])</f>
        <v>1000</v>
      </c>
      <c r="L57" s="1">
        <f>SUM(Table1[Salary])</f>
        <v>3119391523.8580012</v>
      </c>
      <c r="M57" s="15">
        <f>AVERAGE(Table1[Salary])</f>
        <v>3119391.5238580015</v>
      </c>
      <c r="N57" s="29">
        <f>SUM(Table1[Bonus])</f>
        <v>308244983.02069992</v>
      </c>
    </row>
    <row r="58" spans="1:14" ht="12.75" customHeight="1" x14ac:dyDescent="0.25">
      <c r="A58" s="2">
        <v>31</v>
      </c>
      <c r="B58" s="10" t="s">
        <v>52</v>
      </c>
      <c r="C58" s="10" t="s">
        <v>124</v>
      </c>
      <c r="D58" s="10" t="s">
        <v>125</v>
      </c>
      <c r="E58" s="10" t="s">
        <v>2</v>
      </c>
      <c r="F58" s="10" t="s">
        <v>60</v>
      </c>
      <c r="G58" s="10" t="s">
        <v>71</v>
      </c>
      <c r="H58" s="13">
        <v>3622985.13</v>
      </c>
      <c r="I58" s="15">
        <f>IF(Table1[[#This Row],[Salary]]&lt;1000000,Table1[[#This Row],[Salary]]*0.05,Table1[[#This Row],[Salary]]*0.1)</f>
        <v>362298.51300000004</v>
      </c>
      <c r="J58" s="15">
        <f>Table1[[#This Row],[Salary]]+Table1[[#This Row],[Bonus]]</f>
        <v>3985283.6430000002</v>
      </c>
      <c r="K58" s="25">
        <f>COUNTA(Table1[Employee_ID])</f>
        <v>1000</v>
      </c>
      <c r="L58" s="1">
        <f>SUM(Table1[Salary])</f>
        <v>3119391523.8580012</v>
      </c>
      <c r="M58" s="15">
        <f>AVERAGE(Table1[Salary])</f>
        <v>3119391.5238580015</v>
      </c>
      <c r="N58" s="29">
        <f>SUM(Table1[Bonus])</f>
        <v>308244983.02069992</v>
      </c>
    </row>
    <row r="59" spans="1:14" ht="12.75" customHeight="1" x14ac:dyDescent="0.25">
      <c r="A59" s="2">
        <v>31</v>
      </c>
      <c r="B59" s="10" t="s">
        <v>322</v>
      </c>
      <c r="C59" s="10" t="s">
        <v>451</v>
      </c>
      <c r="D59" s="10" t="s">
        <v>159</v>
      </c>
      <c r="E59" s="10" t="s">
        <v>0</v>
      </c>
      <c r="F59" s="10" t="s">
        <v>22</v>
      </c>
      <c r="G59" s="10" t="s">
        <v>23</v>
      </c>
      <c r="H59" s="13">
        <v>5713576.4900000002</v>
      </c>
      <c r="I59" s="15">
        <f>IF(Table1[[#This Row],[Salary]]&lt;1000000,Table1[[#This Row],[Salary]]*0.05,Table1[[#This Row],[Salary]]*0.1)</f>
        <v>571357.64900000009</v>
      </c>
      <c r="J59" s="15">
        <f>Table1[[#This Row],[Salary]]+Table1[[#This Row],[Bonus]]</f>
        <v>6284934.1390000004</v>
      </c>
      <c r="K59" s="25">
        <f>COUNTA(Table1[Employee_ID])</f>
        <v>1000</v>
      </c>
      <c r="L59" s="1">
        <f>SUM(Table1[Salary])</f>
        <v>3119391523.8580012</v>
      </c>
      <c r="M59" s="15">
        <f>AVERAGE(Table1[Salary])</f>
        <v>3119391.5238580015</v>
      </c>
      <c r="N59" s="29">
        <f>SUM(Table1[Bonus])</f>
        <v>308244983.02069992</v>
      </c>
    </row>
    <row r="60" spans="1:14" ht="12.75" customHeight="1" x14ac:dyDescent="0.25">
      <c r="A60" s="2">
        <v>32</v>
      </c>
      <c r="B60" s="10" t="s">
        <v>126</v>
      </c>
      <c r="C60" s="10" t="s">
        <v>127</v>
      </c>
      <c r="D60" s="10" t="s">
        <v>128</v>
      </c>
      <c r="E60" s="10" t="s">
        <v>13</v>
      </c>
      <c r="F60" s="10" t="s">
        <v>43</v>
      </c>
      <c r="G60" s="10" t="s">
        <v>71</v>
      </c>
      <c r="H60" s="13">
        <v>790374.69</v>
      </c>
      <c r="I60" s="15">
        <f>IF(Table1[[#This Row],[Salary]]&lt;1000000,Table1[[#This Row],[Salary]]*0.05,Table1[[#This Row],[Salary]]*0.1)</f>
        <v>39518.734499999999</v>
      </c>
      <c r="J60" s="15">
        <f>Table1[[#This Row],[Salary]]+Table1[[#This Row],[Bonus]]</f>
        <v>829893.42449999996</v>
      </c>
      <c r="K60" s="25">
        <f>COUNTA(Table1[Employee_ID])</f>
        <v>1000</v>
      </c>
      <c r="L60" s="1">
        <f>SUM(Table1[Salary])</f>
        <v>3119391523.8580012</v>
      </c>
      <c r="M60" s="15">
        <f>AVERAGE(Table1[Salary])</f>
        <v>3119391.5238580015</v>
      </c>
      <c r="N60" s="29">
        <f>SUM(Table1[Bonus])</f>
        <v>308244983.02069992</v>
      </c>
    </row>
    <row r="61" spans="1:14" ht="12.75" customHeight="1" x14ac:dyDescent="0.25">
      <c r="A61" s="2">
        <v>32</v>
      </c>
      <c r="B61" s="10" t="s">
        <v>472</v>
      </c>
      <c r="C61" s="10" t="s">
        <v>473</v>
      </c>
      <c r="D61" s="10" t="s">
        <v>125</v>
      </c>
      <c r="E61" s="10" t="s">
        <v>0</v>
      </c>
      <c r="F61" s="10" t="s">
        <v>70</v>
      </c>
      <c r="G61" s="10" t="s">
        <v>56</v>
      </c>
      <c r="H61" s="13">
        <v>2482174.2279999997</v>
      </c>
      <c r="I61" s="15">
        <f>IF(Table1[[#This Row],[Salary]]&lt;1000000,Table1[[#This Row],[Salary]]*0.05,Table1[[#This Row],[Salary]]*0.1)</f>
        <v>248217.42279999997</v>
      </c>
      <c r="J61" s="15">
        <f>Table1[[#This Row],[Salary]]+Table1[[#This Row],[Bonus]]</f>
        <v>2730391.6507999995</v>
      </c>
      <c r="K61" s="25">
        <f>COUNTA(Table1[Employee_ID])</f>
        <v>1000</v>
      </c>
      <c r="L61" s="1">
        <f>SUM(Table1[Salary])</f>
        <v>3119391523.8580012</v>
      </c>
      <c r="M61" s="15">
        <f>AVERAGE(Table1[Salary])</f>
        <v>3119391.5238580015</v>
      </c>
      <c r="N61" s="29">
        <f>SUM(Table1[Bonus])</f>
        <v>308244983.02069992</v>
      </c>
    </row>
    <row r="62" spans="1:14" ht="12.75" customHeight="1" x14ac:dyDescent="0.25">
      <c r="A62" s="2">
        <v>33</v>
      </c>
      <c r="B62" s="10" t="s">
        <v>129</v>
      </c>
      <c r="C62" s="10" t="s">
        <v>130</v>
      </c>
      <c r="D62" s="10" t="s">
        <v>125</v>
      </c>
      <c r="E62" s="10" t="s">
        <v>63</v>
      </c>
      <c r="F62" s="10" t="s">
        <v>131</v>
      </c>
      <c r="G62" s="10" t="s">
        <v>35</v>
      </c>
      <c r="H62" s="13">
        <v>5507533.7959999992</v>
      </c>
      <c r="I62" s="15">
        <f>IF(Table1[[#This Row],[Salary]]&lt;1000000,Table1[[#This Row],[Salary]]*0.05,Table1[[#This Row],[Salary]]*0.1)</f>
        <v>550753.37959999999</v>
      </c>
      <c r="J62" s="15">
        <f>Table1[[#This Row],[Salary]]+Table1[[#This Row],[Bonus]]</f>
        <v>6058287.1755999988</v>
      </c>
      <c r="K62" s="25">
        <f>COUNTA(Table1[Employee_ID])</f>
        <v>1000</v>
      </c>
      <c r="L62" s="1">
        <f>SUM(Table1[Salary])</f>
        <v>3119391523.8580012</v>
      </c>
      <c r="M62" s="15">
        <f>AVERAGE(Table1[Salary])</f>
        <v>3119391.5238580015</v>
      </c>
      <c r="N62" s="29">
        <f>SUM(Table1[Bonus])</f>
        <v>308244983.02069992</v>
      </c>
    </row>
    <row r="63" spans="1:14" ht="12.75" customHeight="1" x14ac:dyDescent="0.25">
      <c r="A63" s="2">
        <v>33</v>
      </c>
      <c r="B63" s="10" t="s">
        <v>68</v>
      </c>
      <c r="C63" s="10" t="s">
        <v>479</v>
      </c>
      <c r="D63" s="10" t="s">
        <v>174</v>
      </c>
      <c r="E63" s="10" t="s">
        <v>0</v>
      </c>
      <c r="F63" s="10" t="s">
        <v>89</v>
      </c>
      <c r="G63" s="10" t="s">
        <v>56</v>
      </c>
      <c r="H63" s="13">
        <v>4546602.88</v>
      </c>
      <c r="I63" s="15">
        <f>IF(Table1[[#This Row],[Salary]]&lt;1000000,Table1[[#This Row],[Salary]]*0.05,Table1[[#This Row],[Salary]]*0.1)</f>
        <v>454660.288</v>
      </c>
      <c r="J63" s="15">
        <f>Table1[[#This Row],[Salary]]+Table1[[#This Row],[Bonus]]</f>
        <v>5001263.1679999996</v>
      </c>
      <c r="K63" s="25">
        <f>COUNTA(Table1[Employee_ID])</f>
        <v>1000</v>
      </c>
      <c r="L63" s="1">
        <f>SUM(Table1[Salary])</f>
        <v>3119391523.8580012</v>
      </c>
      <c r="M63" s="15">
        <f>AVERAGE(Table1[Salary])</f>
        <v>3119391.5238580015</v>
      </c>
      <c r="N63" s="29">
        <f>SUM(Table1[Bonus])</f>
        <v>308244983.02069992</v>
      </c>
    </row>
    <row r="64" spans="1:14" ht="12.75" customHeight="1" x14ac:dyDescent="0.25">
      <c r="A64" s="2">
        <v>34</v>
      </c>
      <c r="B64" s="10" t="s">
        <v>132</v>
      </c>
      <c r="C64" s="10" t="s">
        <v>133</v>
      </c>
      <c r="D64" s="10" t="s">
        <v>134</v>
      </c>
      <c r="E64" s="10" t="s">
        <v>27</v>
      </c>
      <c r="F64" s="10" t="s">
        <v>85</v>
      </c>
      <c r="G64" s="10" t="s">
        <v>29</v>
      </c>
      <c r="H64" s="13">
        <v>3449131.0320000001</v>
      </c>
      <c r="I64" s="15">
        <f>IF(Table1[[#This Row],[Salary]]&lt;1000000,Table1[[#This Row],[Salary]]*0.05,Table1[[#This Row],[Salary]]*0.1)</f>
        <v>344913.10320000001</v>
      </c>
      <c r="J64" s="15">
        <f>Table1[[#This Row],[Salary]]+Table1[[#This Row],[Bonus]]</f>
        <v>3794044.1352000004</v>
      </c>
      <c r="K64" s="25">
        <f>COUNTA(Table1[Employee_ID])</f>
        <v>1000</v>
      </c>
      <c r="L64" s="1">
        <f>SUM(Table1[Salary])</f>
        <v>3119391523.8580012</v>
      </c>
      <c r="M64" s="15">
        <f>AVERAGE(Table1[Salary])</f>
        <v>3119391.5238580015</v>
      </c>
      <c r="N64" s="29">
        <f>SUM(Table1[Bonus])</f>
        <v>308244983.02069992</v>
      </c>
    </row>
    <row r="65" spans="1:14" ht="12.75" customHeight="1" x14ac:dyDescent="0.25">
      <c r="A65" s="2">
        <v>34</v>
      </c>
      <c r="B65" s="10" t="s">
        <v>482</v>
      </c>
      <c r="C65" s="10" t="s">
        <v>483</v>
      </c>
      <c r="D65" s="10" t="s">
        <v>324</v>
      </c>
      <c r="E65" s="10" t="s">
        <v>0</v>
      </c>
      <c r="F65" s="10" t="s">
        <v>22</v>
      </c>
      <c r="G65" s="10" t="s">
        <v>23</v>
      </c>
      <c r="H65" s="13">
        <v>1690537.1839999999</v>
      </c>
      <c r="I65" s="15">
        <f>IF(Table1[[#This Row],[Salary]]&lt;1000000,Table1[[#This Row],[Salary]]*0.05,Table1[[#This Row],[Salary]]*0.1)</f>
        <v>169053.71840000001</v>
      </c>
      <c r="J65" s="15">
        <f>Table1[[#This Row],[Salary]]+Table1[[#This Row],[Bonus]]</f>
        <v>1859590.9024</v>
      </c>
      <c r="K65" s="25">
        <f>COUNTA(Table1[Employee_ID])</f>
        <v>1000</v>
      </c>
      <c r="L65" s="1">
        <f>SUM(Table1[Salary])</f>
        <v>3119391523.8580012</v>
      </c>
      <c r="M65" s="15">
        <f>AVERAGE(Table1[Salary])</f>
        <v>3119391.5238580015</v>
      </c>
      <c r="N65" s="29">
        <f>SUM(Table1[Bonus])</f>
        <v>308244983.02069992</v>
      </c>
    </row>
    <row r="66" spans="1:14" ht="12.75" customHeight="1" x14ac:dyDescent="0.25">
      <c r="A66" s="2">
        <v>35</v>
      </c>
      <c r="B66" s="10" t="s">
        <v>484</v>
      </c>
      <c r="C66" s="10" t="s">
        <v>178</v>
      </c>
      <c r="D66" s="10" t="s">
        <v>54</v>
      </c>
      <c r="E66" s="10" t="s">
        <v>0</v>
      </c>
      <c r="F66" s="10" t="s">
        <v>70</v>
      </c>
      <c r="G66" s="10" t="s">
        <v>23</v>
      </c>
      <c r="H66" s="13">
        <v>3025620.01</v>
      </c>
      <c r="I66" s="15">
        <f>IF(Table1[[#This Row],[Salary]]&lt;1000000,Table1[[#This Row],[Salary]]*0.05,Table1[[#This Row],[Salary]]*0.1)</f>
        <v>302562.00099999999</v>
      </c>
      <c r="J66" s="15">
        <f>Table1[[#This Row],[Salary]]+Table1[[#This Row],[Bonus]]</f>
        <v>3328182.0109999999</v>
      </c>
      <c r="K66" s="25">
        <f>COUNTA(Table1[Employee_ID])</f>
        <v>1000</v>
      </c>
      <c r="L66" s="1">
        <f>SUM(Table1[Salary])</f>
        <v>3119391523.8580012</v>
      </c>
      <c r="M66" s="15">
        <f>AVERAGE(Table1[Salary])</f>
        <v>3119391.5238580015</v>
      </c>
      <c r="N66" s="29">
        <f>SUM(Table1[Bonus])</f>
        <v>308244983.02069992</v>
      </c>
    </row>
    <row r="67" spans="1:14" ht="12.75" customHeight="1" x14ac:dyDescent="0.25">
      <c r="A67" s="2">
        <v>36</v>
      </c>
      <c r="B67" s="10" t="s">
        <v>202</v>
      </c>
      <c r="C67" s="10" t="s">
        <v>505</v>
      </c>
      <c r="D67" s="10" t="s">
        <v>183</v>
      </c>
      <c r="E67" s="10" t="s">
        <v>0</v>
      </c>
      <c r="F67" s="10" t="s">
        <v>89</v>
      </c>
      <c r="G67" s="10" t="s">
        <v>35</v>
      </c>
      <c r="H67" s="13">
        <v>2284927.838</v>
      </c>
      <c r="I67" s="15">
        <f>IF(Table1[[#This Row],[Salary]]&lt;1000000,Table1[[#This Row],[Salary]]*0.05,Table1[[#This Row],[Salary]]*0.1)</f>
        <v>228492.7838</v>
      </c>
      <c r="J67" s="15">
        <f>Table1[[#This Row],[Salary]]+Table1[[#This Row],[Bonus]]</f>
        <v>2513420.6217999998</v>
      </c>
      <c r="K67" s="25">
        <f>COUNTA(Table1[Employee_ID])</f>
        <v>1000</v>
      </c>
      <c r="L67" s="1">
        <f>SUM(Table1[Salary])</f>
        <v>3119391523.8580012</v>
      </c>
      <c r="M67" s="15">
        <f>AVERAGE(Table1[Salary])</f>
        <v>3119391.5238580015</v>
      </c>
      <c r="N67" s="29">
        <f>SUM(Table1[Bonus])</f>
        <v>308244983.02069992</v>
      </c>
    </row>
    <row r="68" spans="1:14" ht="12.75" customHeight="1" x14ac:dyDescent="0.25">
      <c r="A68" s="2">
        <v>37</v>
      </c>
      <c r="B68" s="10" t="s">
        <v>141</v>
      </c>
      <c r="C68" s="10" t="s">
        <v>142</v>
      </c>
      <c r="D68" s="10" t="s">
        <v>143</v>
      </c>
      <c r="E68" s="10" t="s">
        <v>6</v>
      </c>
      <c r="F68" s="10" t="s">
        <v>144</v>
      </c>
      <c r="G68" s="10" t="s">
        <v>23</v>
      </c>
      <c r="H68" s="13">
        <v>877646.2919999999</v>
      </c>
      <c r="I68" s="15">
        <f>IF(Table1[[#This Row],[Salary]]&lt;1000000,Table1[[#This Row],[Salary]]*0.05,Table1[[#This Row],[Salary]]*0.1)</f>
        <v>43882.314599999998</v>
      </c>
      <c r="J68" s="15">
        <f>Table1[[#This Row],[Salary]]+Table1[[#This Row],[Bonus]]</f>
        <v>921528.60659999994</v>
      </c>
      <c r="K68" s="25">
        <f>COUNTA(Table1[Employee_ID])</f>
        <v>1000</v>
      </c>
      <c r="L68" s="1">
        <f>SUM(Table1[Salary])</f>
        <v>3119391523.8580012</v>
      </c>
      <c r="M68" s="15">
        <f>AVERAGE(Table1[Salary])</f>
        <v>3119391.5238580015</v>
      </c>
      <c r="N68" s="29">
        <f>SUM(Table1[Bonus])</f>
        <v>308244983.02069992</v>
      </c>
    </row>
    <row r="69" spans="1:14" ht="12.75" customHeight="1" x14ac:dyDescent="0.25">
      <c r="A69" s="2">
        <v>37</v>
      </c>
      <c r="B69" s="10" t="s">
        <v>506</v>
      </c>
      <c r="C69" s="10" t="s">
        <v>507</v>
      </c>
      <c r="D69" s="10" t="s">
        <v>118</v>
      </c>
      <c r="E69" s="10" t="s">
        <v>0</v>
      </c>
      <c r="F69" s="10" t="s">
        <v>22</v>
      </c>
      <c r="G69" s="10" t="s">
        <v>48</v>
      </c>
      <c r="H69" s="13">
        <v>516079.02</v>
      </c>
      <c r="I69" s="15">
        <f>IF(Table1[[#This Row],[Salary]]&lt;1000000,Table1[[#This Row],[Salary]]*0.05,Table1[[#This Row],[Salary]]*0.1)</f>
        <v>25803.951000000001</v>
      </c>
      <c r="J69" s="15">
        <f>Table1[[#This Row],[Salary]]+Table1[[#This Row],[Bonus]]</f>
        <v>541882.97100000002</v>
      </c>
      <c r="K69" s="25">
        <f>COUNTA(Table1[Employee_ID])</f>
        <v>1000</v>
      </c>
      <c r="L69" s="1">
        <f>SUM(Table1[Salary])</f>
        <v>3119391523.8580012</v>
      </c>
      <c r="M69" s="15">
        <f>AVERAGE(Table1[Salary])</f>
        <v>3119391.5238580015</v>
      </c>
      <c r="N69" s="29">
        <f>SUM(Table1[Bonus])</f>
        <v>308244983.02069992</v>
      </c>
    </row>
    <row r="70" spans="1:14" ht="12.75" customHeight="1" x14ac:dyDescent="0.25">
      <c r="A70" s="2">
        <v>38</v>
      </c>
      <c r="B70" s="10" t="s">
        <v>19</v>
      </c>
      <c r="C70" s="10" t="s">
        <v>145</v>
      </c>
      <c r="D70" s="10" t="s">
        <v>146</v>
      </c>
      <c r="E70" s="10" t="s">
        <v>33</v>
      </c>
      <c r="F70" s="10" t="s">
        <v>55</v>
      </c>
      <c r="G70" s="10" t="s">
        <v>71</v>
      </c>
      <c r="H70" s="13">
        <v>3130625.0000000005</v>
      </c>
      <c r="I70" s="15">
        <f>IF(Table1[[#This Row],[Salary]]&lt;1000000,Table1[[#This Row],[Salary]]*0.05,Table1[[#This Row],[Salary]]*0.1)</f>
        <v>313062.50000000006</v>
      </c>
      <c r="J70" s="15">
        <f>Table1[[#This Row],[Salary]]+Table1[[#This Row],[Bonus]]</f>
        <v>3443687.5000000005</v>
      </c>
      <c r="K70" s="25">
        <f>COUNTA(Table1[Employee_ID])</f>
        <v>1000</v>
      </c>
      <c r="L70" s="1">
        <f>SUM(Table1[Salary])</f>
        <v>3119391523.8580012</v>
      </c>
      <c r="M70" s="15">
        <f>AVERAGE(Table1[Salary])</f>
        <v>3119391.5238580015</v>
      </c>
      <c r="N70" s="29">
        <f>SUM(Table1[Bonus])</f>
        <v>308244983.02069992</v>
      </c>
    </row>
    <row r="71" spans="1:14" ht="12.75" customHeight="1" x14ac:dyDescent="0.25">
      <c r="A71" s="2">
        <v>38</v>
      </c>
      <c r="B71" s="10" t="s">
        <v>510</v>
      </c>
      <c r="C71" s="10" t="s">
        <v>511</v>
      </c>
      <c r="D71" s="10" t="s">
        <v>488</v>
      </c>
      <c r="E71" s="10" t="s">
        <v>0</v>
      </c>
      <c r="F71" s="10" t="s">
        <v>70</v>
      </c>
      <c r="G71" s="10" t="s">
        <v>35</v>
      </c>
      <c r="H71" s="13">
        <v>3587499.0860000001</v>
      </c>
      <c r="I71" s="15">
        <f>IF(Table1[[#This Row],[Salary]]&lt;1000000,Table1[[#This Row],[Salary]]*0.05,Table1[[#This Row],[Salary]]*0.1)</f>
        <v>358749.90860000002</v>
      </c>
      <c r="J71" s="15">
        <f>Table1[[#This Row],[Salary]]+Table1[[#This Row],[Bonus]]</f>
        <v>3946248.9946000003</v>
      </c>
      <c r="K71" s="25">
        <f>COUNTA(Table1[Employee_ID])</f>
        <v>1000</v>
      </c>
      <c r="L71" s="1">
        <f>SUM(Table1[Salary])</f>
        <v>3119391523.8580012</v>
      </c>
      <c r="M71" s="15">
        <f>AVERAGE(Table1[Salary])</f>
        <v>3119391.5238580015</v>
      </c>
      <c r="N71" s="29">
        <f>SUM(Table1[Bonus])</f>
        <v>308244983.02069992</v>
      </c>
    </row>
    <row r="72" spans="1:14" ht="12.75" customHeight="1" x14ac:dyDescent="0.25">
      <c r="A72" s="2">
        <v>39</v>
      </c>
      <c r="B72" s="10" t="s">
        <v>147</v>
      </c>
      <c r="C72" s="10" t="s">
        <v>148</v>
      </c>
      <c r="D72" s="10" t="s">
        <v>149</v>
      </c>
      <c r="E72" s="10" t="s">
        <v>27</v>
      </c>
      <c r="F72" s="10" t="s">
        <v>106</v>
      </c>
      <c r="G72" s="10" t="s">
        <v>56</v>
      </c>
      <c r="H72" s="13">
        <v>1988572.6139999998</v>
      </c>
      <c r="I72" s="15">
        <f>IF(Table1[[#This Row],[Salary]]&lt;1000000,Table1[[#This Row],[Salary]]*0.05,Table1[[#This Row],[Salary]]*0.1)</f>
        <v>198857.26139999999</v>
      </c>
      <c r="J72" s="15">
        <f>Table1[[#This Row],[Salary]]+Table1[[#This Row],[Bonus]]</f>
        <v>2187429.8753999998</v>
      </c>
      <c r="K72" s="25">
        <f>COUNTA(Table1[Employee_ID])</f>
        <v>1000</v>
      </c>
      <c r="L72" s="1">
        <f>SUM(Table1[Salary])</f>
        <v>3119391523.8580012</v>
      </c>
      <c r="M72" s="15">
        <f>AVERAGE(Table1[Salary])</f>
        <v>3119391.5238580015</v>
      </c>
      <c r="N72" s="29">
        <f>SUM(Table1[Bonus])</f>
        <v>308244983.02069992</v>
      </c>
    </row>
    <row r="73" spans="1:14" ht="12.75" customHeight="1" x14ac:dyDescent="0.25">
      <c r="A73" s="2">
        <v>39</v>
      </c>
      <c r="B73" s="10" t="s">
        <v>132</v>
      </c>
      <c r="C73" s="10" t="s">
        <v>520</v>
      </c>
      <c r="D73" s="10" t="s">
        <v>174</v>
      </c>
      <c r="E73" s="10" t="s">
        <v>0</v>
      </c>
      <c r="F73" s="10" t="s">
        <v>89</v>
      </c>
      <c r="G73" s="10" t="s">
        <v>48</v>
      </c>
      <c r="H73" s="13">
        <v>4229783.1900000004</v>
      </c>
      <c r="I73" s="15">
        <f>IF(Table1[[#This Row],[Salary]]&lt;1000000,Table1[[#This Row],[Salary]]*0.05,Table1[[#This Row],[Salary]]*0.1)</f>
        <v>422978.31900000008</v>
      </c>
      <c r="J73" s="15">
        <f>Table1[[#This Row],[Salary]]+Table1[[#This Row],[Bonus]]</f>
        <v>4652761.5090000005</v>
      </c>
      <c r="K73" s="25">
        <f>COUNTA(Table1[Employee_ID])</f>
        <v>1000</v>
      </c>
      <c r="L73" s="1">
        <f>SUM(Table1[Salary])</f>
        <v>3119391523.8580012</v>
      </c>
      <c r="M73" s="15">
        <f>AVERAGE(Table1[Salary])</f>
        <v>3119391.5238580015</v>
      </c>
      <c r="N73" s="29">
        <f>SUM(Table1[Bonus])</f>
        <v>308244983.02069992</v>
      </c>
    </row>
    <row r="74" spans="1:14" ht="12.75" customHeight="1" x14ac:dyDescent="0.25">
      <c r="A74" s="2">
        <v>40</v>
      </c>
      <c r="B74" s="10" t="s">
        <v>526</v>
      </c>
      <c r="C74" s="10" t="s">
        <v>527</v>
      </c>
      <c r="D74" s="10" t="s">
        <v>134</v>
      </c>
      <c r="E74" s="10" t="s">
        <v>0</v>
      </c>
      <c r="F74" s="10" t="s">
        <v>22</v>
      </c>
      <c r="G74" s="10" t="s">
        <v>56</v>
      </c>
      <c r="H74" s="13">
        <v>5932929.074</v>
      </c>
      <c r="I74" s="15">
        <f>IF(Table1[[#This Row],[Salary]]&lt;1000000,Table1[[#This Row],[Salary]]*0.05,Table1[[#This Row],[Salary]]*0.1)</f>
        <v>593292.90740000003</v>
      </c>
      <c r="J74" s="15">
        <f>Table1[[#This Row],[Salary]]+Table1[[#This Row],[Bonus]]</f>
        <v>6526221.9813999999</v>
      </c>
      <c r="K74" s="25">
        <f>COUNTA(Table1[Employee_ID])</f>
        <v>1000</v>
      </c>
      <c r="L74" s="1">
        <f>SUM(Table1[Salary])</f>
        <v>3119391523.8580012</v>
      </c>
      <c r="M74" s="15">
        <f>AVERAGE(Table1[Salary])</f>
        <v>3119391.5238580015</v>
      </c>
      <c r="N74" s="29">
        <f>SUM(Table1[Bonus])</f>
        <v>308244983.02069992</v>
      </c>
    </row>
    <row r="75" spans="1:14" ht="12.75" customHeight="1" x14ac:dyDescent="0.25">
      <c r="A75" s="2">
        <v>41</v>
      </c>
      <c r="B75" s="10" t="s">
        <v>530</v>
      </c>
      <c r="C75" s="10" t="s">
        <v>531</v>
      </c>
      <c r="D75" s="10" t="s">
        <v>140</v>
      </c>
      <c r="E75" s="10" t="s">
        <v>0</v>
      </c>
      <c r="F75" s="10" t="s">
        <v>70</v>
      </c>
      <c r="G75" s="10" t="s">
        <v>23</v>
      </c>
      <c r="H75" s="13">
        <v>1551747.0379999999</v>
      </c>
      <c r="I75" s="15">
        <f>IF(Table1[[#This Row],[Salary]]&lt;1000000,Table1[[#This Row],[Salary]]*0.05,Table1[[#This Row],[Salary]]*0.1)</f>
        <v>155174.70379999999</v>
      </c>
      <c r="J75" s="15">
        <f>Table1[[#This Row],[Salary]]+Table1[[#This Row],[Bonus]]</f>
        <v>1706921.7418</v>
      </c>
      <c r="K75" s="25">
        <f>COUNTA(Table1[Employee_ID])</f>
        <v>1000</v>
      </c>
      <c r="L75" s="1">
        <f>SUM(Table1[Salary])</f>
        <v>3119391523.8580012</v>
      </c>
      <c r="M75" s="15">
        <f>AVERAGE(Table1[Salary])</f>
        <v>3119391.5238580015</v>
      </c>
      <c r="N75" s="29">
        <f>SUM(Table1[Bonus])</f>
        <v>308244983.02069992</v>
      </c>
    </row>
    <row r="76" spans="1:14" ht="12.75" customHeight="1" x14ac:dyDescent="0.25">
      <c r="A76" s="2">
        <v>42</v>
      </c>
      <c r="B76" s="10" t="s">
        <v>154</v>
      </c>
      <c r="C76" s="10" t="s">
        <v>155</v>
      </c>
      <c r="D76" s="10" t="s">
        <v>156</v>
      </c>
      <c r="E76" s="10" t="s">
        <v>27</v>
      </c>
      <c r="F76" s="10" t="s">
        <v>28</v>
      </c>
      <c r="G76" s="10" t="s">
        <v>29</v>
      </c>
      <c r="H76" s="13">
        <v>4454992.5920000002</v>
      </c>
      <c r="I76" s="15">
        <f>IF(Table1[[#This Row],[Salary]]&lt;1000000,Table1[[#This Row],[Salary]]*0.05,Table1[[#This Row],[Salary]]*0.1)</f>
        <v>445499.25920000003</v>
      </c>
      <c r="J76" s="15">
        <f>Table1[[#This Row],[Salary]]+Table1[[#This Row],[Bonus]]</f>
        <v>4900491.8512000004</v>
      </c>
      <c r="K76" s="25">
        <f>COUNTA(Table1[Employee_ID])</f>
        <v>1000</v>
      </c>
      <c r="L76" s="1">
        <f>SUM(Table1[Salary])</f>
        <v>3119391523.8580012</v>
      </c>
      <c r="M76" s="15">
        <f>AVERAGE(Table1[Salary])</f>
        <v>3119391.5238580015</v>
      </c>
      <c r="N76" s="29">
        <f>SUM(Table1[Bonus])</f>
        <v>308244983.02069992</v>
      </c>
    </row>
    <row r="77" spans="1:14" ht="12.75" customHeight="1" x14ac:dyDescent="0.25">
      <c r="A77" s="2">
        <v>42</v>
      </c>
      <c r="B77" s="10" t="s">
        <v>495</v>
      </c>
      <c r="C77" s="10" t="s">
        <v>540</v>
      </c>
      <c r="D77" s="10" t="s">
        <v>26</v>
      </c>
      <c r="E77" s="10" t="s">
        <v>0</v>
      </c>
      <c r="F77" s="10" t="s">
        <v>89</v>
      </c>
      <c r="G77" s="10" t="s">
        <v>71</v>
      </c>
      <c r="H77" s="13">
        <v>4950529.7659999998</v>
      </c>
      <c r="I77" s="15">
        <f>IF(Table1[[#This Row],[Salary]]&lt;1000000,Table1[[#This Row],[Salary]]*0.05,Table1[[#This Row],[Salary]]*0.1)</f>
        <v>495052.97659999999</v>
      </c>
      <c r="J77" s="15">
        <f>Table1[[#This Row],[Salary]]+Table1[[#This Row],[Bonus]]</f>
        <v>5445582.7425999995</v>
      </c>
      <c r="K77" s="25">
        <f>COUNTA(Table1[Employee_ID])</f>
        <v>1000</v>
      </c>
      <c r="L77" s="1">
        <f>SUM(Table1[Salary])</f>
        <v>3119391523.8580012</v>
      </c>
      <c r="M77" s="15">
        <f>AVERAGE(Table1[Salary])</f>
        <v>3119391.5238580015</v>
      </c>
      <c r="N77" s="29">
        <f>SUM(Table1[Bonus])</f>
        <v>308244983.02069992</v>
      </c>
    </row>
    <row r="78" spans="1:14" ht="12.75" customHeight="1" x14ac:dyDescent="0.25">
      <c r="A78" s="2">
        <v>43</v>
      </c>
      <c r="B78" s="10" t="s">
        <v>157</v>
      </c>
      <c r="C78" s="10" t="s">
        <v>158</v>
      </c>
      <c r="D78" s="10" t="s">
        <v>159</v>
      </c>
      <c r="E78" s="10" t="s">
        <v>27</v>
      </c>
      <c r="F78" s="10" t="s">
        <v>85</v>
      </c>
      <c r="G78" s="10" t="s">
        <v>23</v>
      </c>
      <c r="H78" s="13">
        <v>4381268.7439999999</v>
      </c>
      <c r="I78" s="15">
        <f>IF(Table1[[#This Row],[Salary]]&lt;1000000,Table1[[#This Row],[Salary]]*0.05,Table1[[#This Row],[Salary]]*0.1)</f>
        <v>438126.87440000003</v>
      </c>
      <c r="J78" s="15">
        <f>Table1[[#This Row],[Salary]]+Table1[[#This Row],[Bonus]]</f>
        <v>4819395.6184</v>
      </c>
      <c r="K78" s="25">
        <f>COUNTA(Table1[Employee_ID])</f>
        <v>1000</v>
      </c>
      <c r="L78" s="1">
        <f>SUM(Table1[Salary])</f>
        <v>3119391523.8580012</v>
      </c>
      <c r="M78" s="15">
        <f>AVERAGE(Table1[Salary])</f>
        <v>3119391.5238580015</v>
      </c>
      <c r="N78" s="29">
        <f>SUM(Table1[Bonus])</f>
        <v>308244983.02069992</v>
      </c>
    </row>
    <row r="79" spans="1:14" ht="12.75" customHeight="1" x14ac:dyDescent="0.25">
      <c r="A79" s="2">
        <v>43</v>
      </c>
      <c r="B79" s="10" t="s">
        <v>541</v>
      </c>
      <c r="C79" s="10" t="s">
        <v>542</v>
      </c>
      <c r="D79" s="10" t="s">
        <v>156</v>
      </c>
      <c r="E79" s="10" t="s">
        <v>0</v>
      </c>
      <c r="F79" s="10" t="s">
        <v>22</v>
      </c>
      <c r="G79" s="10" t="s">
        <v>29</v>
      </c>
      <c r="H79" s="13">
        <v>1948020.3</v>
      </c>
      <c r="I79" s="15">
        <f>IF(Table1[[#This Row],[Salary]]&lt;1000000,Table1[[#This Row],[Salary]]*0.05,Table1[[#This Row],[Salary]]*0.1)</f>
        <v>194802.03000000003</v>
      </c>
      <c r="J79" s="15">
        <f>Table1[[#This Row],[Salary]]+Table1[[#This Row],[Bonus]]</f>
        <v>2142822.33</v>
      </c>
      <c r="K79" s="25">
        <f>COUNTA(Table1[Employee_ID])</f>
        <v>1000</v>
      </c>
      <c r="L79" s="1">
        <f>SUM(Table1[Salary])</f>
        <v>3119391523.8580012</v>
      </c>
      <c r="M79" s="15">
        <f>AVERAGE(Table1[Salary])</f>
        <v>3119391.5238580015</v>
      </c>
      <c r="N79" s="29">
        <f>SUM(Table1[Bonus])</f>
        <v>308244983.02069992</v>
      </c>
    </row>
    <row r="80" spans="1:14" ht="12.75" customHeight="1" x14ac:dyDescent="0.25">
      <c r="A80" s="2">
        <v>44</v>
      </c>
      <c r="B80" s="10" t="s">
        <v>543</v>
      </c>
      <c r="C80" s="10" t="s">
        <v>544</v>
      </c>
      <c r="D80" s="10" t="s">
        <v>159</v>
      </c>
      <c r="E80" s="10" t="s">
        <v>0</v>
      </c>
      <c r="F80" s="10" t="s">
        <v>70</v>
      </c>
      <c r="G80" s="10" t="s">
        <v>56</v>
      </c>
      <c r="H80" s="13">
        <v>3623392.0639999998</v>
      </c>
      <c r="I80" s="15">
        <f>IF(Table1[[#This Row],[Salary]]&lt;1000000,Table1[[#This Row],[Salary]]*0.05,Table1[[#This Row],[Salary]]*0.1)</f>
        <v>362339.20640000002</v>
      </c>
      <c r="J80" s="15">
        <f>Table1[[#This Row],[Salary]]+Table1[[#This Row],[Bonus]]</f>
        <v>3985731.2703999998</v>
      </c>
      <c r="K80" s="25">
        <f>COUNTA(Table1[Employee_ID])</f>
        <v>1000</v>
      </c>
      <c r="L80" s="1">
        <f>SUM(Table1[Salary])</f>
        <v>3119391523.8580012</v>
      </c>
      <c r="M80" s="15">
        <f>AVERAGE(Table1[Salary])</f>
        <v>3119391.5238580015</v>
      </c>
      <c r="N80" s="29">
        <f>SUM(Table1[Bonus])</f>
        <v>308244983.02069992</v>
      </c>
    </row>
    <row r="81" spans="1:14" ht="12.75" customHeight="1" x14ac:dyDescent="0.25">
      <c r="A81" s="2">
        <v>45</v>
      </c>
      <c r="B81" s="10" t="s">
        <v>163</v>
      </c>
      <c r="C81" s="10" t="s">
        <v>164</v>
      </c>
      <c r="D81" s="10" t="s">
        <v>165</v>
      </c>
      <c r="E81" s="10" t="s">
        <v>2</v>
      </c>
      <c r="F81" s="10" t="s">
        <v>74</v>
      </c>
      <c r="G81" s="10" t="s">
        <v>29</v>
      </c>
      <c r="H81" s="13">
        <v>428934.51199999999</v>
      </c>
      <c r="I81" s="15">
        <f>IF(Table1[[#This Row],[Salary]]&lt;1000000,Table1[[#This Row],[Salary]]*0.05,Table1[[#This Row],[Salary]]*0.1)</f>
        <v>21446.725600000002</v>
      </c>
      <c r="J81" s="15">
        <f>Table1[[#This Row],[Salary]]+Table1[[#This Row],[Bonus]]</f>
        <v>450381.23759999999</v>
      </c>
      <c r="K81" s="25">
        <f>COUNTA(Table1[Employee_ID])</f>
        <v>1000</v>
      </c>
      <c r="L81" s="1">
        <f>SUM(Table1[Salary])</f>
        <v>3119391523.8580012</v>
      </c>
      <c r="M81" s="15">
        <f>AVERAGE(Table1[Salary])</f>
        <v>3119391.5238580015</v>
      </c>
      <c r="N81" s="29">
        <f>SUM(Table1[Bonus])</f>
        <v>308244983.02069992</v>
      </c>
    </row>
    <row r="82" spans="1:14" ht="12.75" customHeight="1" x14ac:dyDescent="0.25">
      <c r="A82" s="2">
        <v>45</v>
      </c>
      <c r="B82" s="10" t="s">
        <v>405</v>
      </c>
      <c r="C82" s="10" t="s">
        <v>547</v>
      </c>
      <c r="D82" s="10" t="s">
        <v>165</v>
      </c>
      <c r="E82" s="10" t="s">
        <v>0</v>
      </c>
      <c r="F82" s="10" t="s">
        <v>89</v>
      </c>
      <c r="G82" s="10" t="s">
        <v>23</v>
      </c>
      <c r="H82" s="13">
        <v>2291126.2939999998</v>
      </c>
      <c r="I82" s="15">
        <f>IF(Table1[[#This Row],[Salary]]&lt;1000000,Table1[[#This Row],[Salary]]*0.05,Table1[[#This Row],[Salary]]*0.1)</f>
        <v>229112.62939999998</v>
      </c>
      <c r="J82" s="15">
        <f>Table1[[#This Row],[Salary]]+Table1[[#This Row],[Bonus]]</f>
        <v>2520238.9233999997</v>
      </c>
      <c r="K82" s="25">
        <f>COUNTA(Table1[Employee_ID])</f>
        <v>1000</v>
      </c>
      <c r="L82" s="1">
        <f>SUM(Table1[Salary])</f>
        <v>3119391523.8580012</v>
      </c>
      <c r="M82" s="15">
        <f>AVERAGE(Table1[Salary])</f>
        <v>3119391.5238580015</v>
      </c>
      <c r="N82" s="29">
        <f>SUM(Table1[Bonus])</f>
        <v>308244983.02069992</v>
      </c>
    </row>
    <row r="83" spans="1:14" ht="12.75" customHeight="1" x14ac:dyDescent="0.25">
      <c r="A83" s="2">
        <v>46</v>
      </c>
      <c r="B83" s="10" t="s">
        <v>166</v>
      </c>
      <c r="C83" s="10" t="s">
        <v>167</v>
      </c>
      <c r="D83" s="10" t="s">
        <v>156</v>
      </c>
      <c r="E83" s="10" t="s">
        <v>6</v>
      </c>
      <c r="F83" s="10" t="s">
        <v>74</v>
      </c>
      <c r="G83" s="10" t="s">
        <v>29</v>
      </c>
      <c r="H83" s="13">
        <v>2596811.85</v>
      </c>
      <c r="I83" s="15">
        <f>IF(Table1[[#This Row],[Salary]]&lt;1000000,Table1[[#This Row],[Salary]]*0.05,Table1[[#This Row],[Salary]]*0.1)</f>
        <v>259681.18500000003</v>
      </c>
      <c r="J83" s="15">
        <f>Table1[[#This Row],[Salary]]+Table1[[#This Row],[Bonus]]</f>
        <v>2856493.0350000001</v>
      </c>
      <c r="K83" s="25">
        <f>COUNTA(Table1[Employee_ID])</f>
        <v>1000</v>
      </c>
      <c r="L83" s="1">
        <f>SUM(Table1[Salary])</f>
        <v>3119391523.8580012</v>
      </c>
      <c r="M83" s="15">
        <f>AVERAGE(Table1[Salary])</f>
        <v>3119391.5238580015</v>
      </c>
      <c r="N83" s="29">
        <f>SUM(Table1[Bonus])</f>
        <v>308244983.02069992</v>
      </c>
    </row>
    <row r="84" spans="1:14" ht="12.75" customHeight="1" x14ac:dyDescent="0.25">
      <c r="A84" s="2">
        <v>46</v>
      </c>
      <c r="B84" s="10" t="s">
        <v>548</v>
      </c>
      <c r="C84" s="10" t="s">
        <v>450</v>
      </c>
      <c r="D84" s="10" t="s">
        <v>156</v>
      </c>
      <c r="E84" s="10" t="s">
        <v>0</v>
      </c>
      <c r="F84" s="10" t="s">
        <v>22</v>
      </c>
      <c r="G84" s="10" t="s">
        <v>71</v>
      </c>
      <c r="H84" s="13">
        <v>4802420.9479999999</v>
      </c>
      <c r="I84" s="15">
        <f>IF(Table1[[#This Row],[Salary]]&lt;1000000,Table1[[#This Row],[Salary]]*0.05,Table1[[#This Row],[Salary]]*0.1)</f>
        <v>480242.09480000002</v>
      </c>
      <c r="J84" s="15">
        <f>Table1[[#This Row],[Salary]]+Table1[[#This Row],[Bonus]]</f>
        <v>5282663.0427999999</v>
      </c>
      <c r="K84" s="25">
        <f>COUNTA(Table1[Employee_ID])</f>
        <v>1000</v>
      </c>
      <c r="L84" s="1">
        <f>SUM(Table1[Salary])</f>
        <v>3119391523.8580012</v>
      </c>
      <c r="M84" s="15">
        <f>AVERAGE(Table1[Salary])</f>
        <v>3119391.5238580015</v>
      </c>
      <c r="N84" s="29">
        <f>SUM(Table1[Bonus])</f>
        <v>308244983.02069992</v>
      </c>
    </row>
    <row r="85" spans="1:14" ht="12.75" customHeight="1" x14ac:dyDescent="0.25">
      <c r="A85" s="2">
        <v>47</v>
      </c>
      <c r="B85" s="10" t="s">
        <v>168</v>
      </c>
      <c r="C85" s="10" t="s">
        <v>169</v>
      </c>
      <c r="D85" s="10" t="s">
        <v>21</v>
      </c>
      <c r="E85" s="10" t="s">
        <v>27</v>
      </c>
      <c r="F85" s="10" t="s">
        <v>106</v>
      </c>
      <c r="G85" s="10" t="s">
        <v>29</v>
      </c>
      <c r="H85" s="13">
        <v>1845668.82</v>
      </c>
      <c r="I85" s="15">
        <f>IF(Table1[[#This Row],[Salary]]&lt;1000000,Table1[[#This Row],[Salary]]*0.05,Table1[[#This Row],[Salary]]*0.1)</f>
        <v>184566.88200000001</v>
      </c>
      <c r="J85" s="15">
        <f>Table1[[#This Row],[Salary]]+Table1[[#This Row],[Bonus]]</f>
        <v>2030235.702</v>
      </c>
      <c r="K85" s="25">
        <f>COUNTA(Table1[Employee_ID])</f>
        <v>1000</v>
      </c>
      <c r="L85" s="1">
        <f>SUM(Table1[Salary])</f>
        <v>3119391523.8580012</v>
      </c>
      <c r="M85" s="15">
        <f>AVERAGE(Table1[Salary])</f>
        <v>3119391.5238580015</v>
      </c>
      <c r="N85" s="29">
        <f>SUM(Table1[Bonus])</f>
        <v>308244983.02069992</v>
      </c>
    </row>
    <row r="86" spans="1:14" ht="12.75" customHeight="1" x14ac:dyDescent="0.25">
      <c r="A86" s="2">
        <v>47</v>
      </c>
      <c r="B86" s="10" t="s">
        <v>444</v>
      </c>
      <c r="C86" s="10" t="s">
        <v>556</v>
      </c>
      <c r="D86" s="10" t="s">
        <v>180</v>
      </c>
      <c r="E86" s="10" t="s">
        <v>0</v>
      </c>
      <c r="F86" s="10" t="s">
        <v>70</v>
      </c>
      <c r="G86" s="10" t="s">
        <v>29</v>
      </c>
      <c r="H86" s="13">
        <v>5707478.3099999996</v>
      </c>
      <c r="I86" s="15">
        <f>IF(Table1[[#This Row],[Salary]]&lt;1000000,Table1[[#This Row],[Salary]]*0.05,Table1[[#This Row],[Salary]]*0.1)</f>
        <v>570747.83100000001</v>
      </c>
      <c r="J86" s="15">
        <f>Table1[[#This Row],[Salary]]+Table1[[#This Row],[Bonus]]</f>
        <v>6278226.1409999998</v>
      </c>
      <c r="K86" s="25">
        <f>COUNTA(Table1[Employee_ID])</f>
        <v>1000</v>
      </c>
      <c r="L86" s="1">
        <f>SUM(Table1[Salary])</f>
        <v>3119391523.8580012</v>
      </c>
      <c r="M86" s="15">
        <f>AVERAGE(Table1[Salary])</f>
        <v>3119391.5238580015</v>
      </c>
      <c r="N86" s="29">
        <f>SUM(Table1[Bonus])</f>
        <v>308244983.02069992</v>
      </c>
    </row>
    <row r="87" spans="1:14" ht="12.75" customHeight="1" x14ac:dyDescent="0.25">
      <c r="A87" s="2">
        <v>48</v>
      </c>
      <c r="B87" s="10" t="s">
        <v>170</v>
      </c>
      <c r="C87" s="10" t="s">
        <v>171</v>
      </c>
      <c r="D87" s="10" t="s">
        <v>128</v>
      </c>
      <c r="E87" s="10" t="s">
        <v>13</v>
      </c>
      <c r="F87" s="10" t="s">
        <v>67</v>
      </c>
      <c r="G87" s="10" t="s">
        <v>29</v>
      </c>
      <c r="H87" s="13">
        <v>2635693.2860000003</v>
      </c>
      <c r="I87" s="15">
        <f>IF(Table1[[#This Row],[Salary]]&lt;1000000,Table1[[#This Row],[Salary]]*0.05,Table1[[#This Row],[Salary]]*0.1)</f>
        <v>263569.32860000007</v>
      </c>
      <c r="J87" s="15">
        <f>Table1[[#This Row],[Salary]]+Table1[[#This Row],[Bonus]]</f>
        <v>2899262.6146000004</v>
      </c>
      <c r="K87" s="25">
        <f>COUNTA(Table1[Employee_ID])</f>
        <v>1000</v>
      </c>
      <c r="L87" s="1">
        <f>SUM(Table1[Salary])</f>
        <v>3119391523.8580012</v>
      </c>
      <c r="M87" s="15">
        <f>AVERAGE(Table1[Salary])</f>
        <v>3119391.5238580015</v>
      </c>
      <c r="N87" s="29">
        <f>SUM(Table1[Bonus])</f>
        <v>308244983.02069992</v>
      </c>
    </row>
    <row r="88" spans="1:14" ht="12.75" customHeight="1" x14ac:dyDescent="0.25">
      <c r="A88" s="2">
        <v>48</v>
      </c>
      <c r="B88" s="10" t="s">
        <v>602</v>
      </c>
      <c r="C88" s="10" t="s">
        <v>603</v>
      </c>
      <c r="D88" s="10" t="s">
        <v>118</v>
      </c>
      <c r="E88" s="10" t="s">
        <v>0</v>
      </c>
      <c r="F88" s="10" t="s">
        <v>89</v>
      </c>
      <c r="G88" s="10" t="s">
        <v>56</v>
      </c>
      <c r="H88" s="13">
        <v>1801464.5939999998</v>
      </c>
      <c r="I88" s="15">
        <f>IF(Table1[[#This Row],[Salary]]&lt;1000000,Table1[[#This Row],[Salary]]*0.05,Table1[[#This Row],[Salary]]*0.1)</f>
        <v>180146.45939999999</v>
      </c>
      <c r="J88" s="15">
        <f>Table1[[#This Row],[Salary]]+Table1[[#This Row],[Bonus]]</f>
        <v>1981611.0533999999</v>
      </c>
      <c r="K88" s="25">
        <f>COUNTA(Table1[Employee_ID])</f>
        <v>1000</v>
      </c>
      <c r="L88" s="1">
        <f>SUM(Table1[Salary])</f>
        <v>3119391523.8580012</v>
      </c>
      <c r="M88" s="15">
        <f>AVERAGE(Table1[Salary])</f>
        <v>3119391.5238580015</v>
      </c>
      <c r="N88" s="29">
        <f>SUM(Table1[Bonus])</f>
        <v>308244983.02069992</v>
      </c>
    </row>
    <row r="89" spans="1:14" ht="12.75" customHeight="1" x14ac:dyDescent="0.25">
      <c r="A89" s="2">
        <v>49</v>
      </c>
      <c r="B89" s="10" t="s">
        <v>172</v>
      </c>
      <c r="C89" s="10" t="s">
        <v>173</v>
      </c>
      <c r="D89" s="10" t="s">
        <v>174</v>
      </c>
      <c r="E89" s="10" t="s">
        <v>6</v>
      </c>
      <c r="F89" s="10" t="s">
        <v>123</v>
      </c>
      <c r="G89" s="10" t="s">
        <v>35</v>
      </c>
      <c r="H89" s="13">
        <v>796421.56599999999</v>
      </c>
      <c r="I89" s="15">
        <f>IF(Table1[[#This Row],[Salary]]&lt;1000000,Table1[[#This Row],[Salary]]*0.05,Table1[[#This Row],[Salary]]*0.1)</f>
        <v>39821.078300000001</v>
      </c>
      <c r="J89" s="15">
        <f>Table1[[#This Row],[Salary]]+Table1[[#This Row],[Bonus]]</f>
        <v>836242.64430000004</v>
      </c>
      <c r="K89" s="25">
        <f>COUNTA(Table1[Employee_ID])</f>
        <v>1000</v>
      </c>
      <c r="L89" s="1">
        <f>SUM(Table1[Salary])</f>
        <v>3119391523.8580012</v>
      </c>
      <c r="M89" s="15">
        <f>AVERAGE(Table1[Salary])</f>
        <v>3119391.5238580015</v>
      </c>
      <c r="N89" s="29">
        <f>SUM(Table1[Bonus])</f>
        <v>308244983.02069992</v>
      </c>
    </row>
    <row r="90" spans="1:14" ht="12.75" customHeight="1" x14ac:dyDescent="0.25">
      <c r="A90" s="2">
        <v>49</v>
      </c>
      <c r="B90" s="10" t="s">
        <v>604</v>
      </c>
      <c r="C90" s="10" t="s">
        <v>605</v>
      </c>
      <c r="D90" s="10" t="s">
        <v>46</v>
      </c>
      <c r="E90" s="10" t="s">
        <v>0</v>
      </c>
      <c r="F90" s="10" t="s">
        <v>22</v>
      </c>
      <c r="G90" s="10" t="s">
        <v>29</v>
      </c>
      <c r="H90" s="13">
        <v>2442546.5520000001</v>
      </c>
      <c r="I90" s="15">
        <f>IF(Table1[[#This Row],[Salary]]&lt;1000000,Table1[[#This Row],[Salary]]*0.05,Table1[[#This Row],[Salary]]*0.1)</f>
        <v>244254.65520000004</v>
      </c>
      <c r="J90" s="15">
        <f>Table1[[#This Row],[Salary]]+Table1[[#This Row],[Bonus]]</f>
        <v>2686801.2072000001</v>
      </c>
      <c r="K90" s="25">
        <f>COUNTA(Table1[Employee_ID])</f>
        <v>1000</v>
      </c>
      <c r="L90" s="1">
        <f>SUM(Table1[Salary])</f>
        <v>3119391523.8580012</v>
      </c>
      <c r="M90" s="15">
        <f>AVERAGE(Table1[Salary])</f>
        <v>3119391.5238580015</v>
      </c>
      <c r="N90" s="29">
        <f>SUM(Table1[Bonus])</f>
        <v>308244983.02069992</v>
      </c>
    </row>
    <row r="91" spans="1:14" ht="12.75" customHeight="1" x14ac:dyDescent="0.25">
      <c r="A91" s="2">
        <v>50</v>
      </c>
      <c r="B91" s="10" t="s">
        <v>175</v>
      </c>
      <c r="C91" s="10" t="s">
        <v>176</v>
      </c>
      <c r="D91" s="10" t="s">
        <v>177</v>
      </c>
      <c r="E91" s="10" t="s">
        <v>27</v>
      </c>
      <c r="F91" s="10" t="s">
        <v>28</v>
      </c>
      <c r="G91" s="10" t="s">
        <v>35</v>
      </c>
      <c r="H91" s="13">
        <v>3687745.9360000002</v>
      </c>
      <c r="I91" s="15">
        <f>IF(Table1[[#This Row],[Salary]]&lt;1000000,Table1[[#This Row],[Salary]]*0.05,Table1[[#This Row],[Salary]]*0.1)</f>
        <v>368774.59360000002</v>
      </c>
      <c r="J91" s="15">
        <f>Table1[[#This Row],[Salary]]+Table1[[#This Row],[Bonus]]</f>
        <v>4056520.5296</v>
      </c>
      <c r="K91" s="25">
        <f>COUNTA(Table1[Employee_ID])</f>
        <v>1000</v>
      </c>
      <c r="L91" s="1">
        <f>SUM(Table1[Salary])</f>
        <v>3119391523.8580012</v>
      </c>
      <c r="M91" s="15">
        <f>AVERAGE(Table1[Salary])</f>
        <v>3119391.5238580015</v>
      </c>
      <c r="N91" s="29">
        <f>SUM(Table1[Bonus])</f>
        <v>308244983.02069992</v>
      </c>
    </row>
    <row r="92" spans="1:14" ht="12.75" customHeight="1" x14ac:dyDescent="0.25">
      <c r="A92" s="2">
        <v>50</v>
      </c>
      <c r="B92" s="10" t="s">
        <v>403</v>
      </c>
      <c r="C92" s="10" t="s">
        <v>610</v>
      </c>
      <c r="D92" s="10" t="s">
        <v>159</v>
      </c>
      <c r="E92" s="10" t="s">
        <v>0</v>
      </c>
      <c r="F92" s="10" t="s">
        <v>70</v>
      </c>
      <c r="G92" s="10" t="s">
        <v>23</v>
      </c>
      <c r="H92" s="13">
        <v>2570429.9339999999</v>
      </c>
      <c r="I92" s="15">
        <f>IF(Table1[[#This Row],[Salary]]&lt;1000000,Table1[[#This Row],[Salary]]*0.05,Table1[[#This Row],[Salary]]*0.1)</f>
        <v>257042.99340000001</v>
      </c>
      <c r="J92" s="15">
        <f>Table1[[#This Row],[Salary]]+Table1[[#This Row],[Bonus]]</f>
        <v>2827472.9273999999</v>
      </c>
      <c r="K92" s="25">
        <f>COUNTA(Table1[Employee_ID])</f>
        <v>1000</v>
      </c>
      <c r="L92" s="1">
        <f>SUM(Table1[Salary])</f>
        <v>3119391523.8580012</v>
      </c>
      <c r="M92" s="15">
        <f>AVERAGE(Table1[Salary])</f>
        <v>3119391.5238580015</v>
      </c>
      <c r="N92" s="29">
        <f>SUM(Table1[Bonus])</f>
        <v>308244983.02069992</v>
      </c>
    </row>
    <row r="93" spans="1:14" ht="12.75" customHeight="1" x14ac:dyDescent="0.25">
      <c r="A93" s="2">
        <v>51</v>
      </c>
      <c r="B93" s="10" t="s">
        <v>178</v>
      </c>
      <c r="C93" s="10" t="s">
        <v>179</v>
      </c>
      <c r="D93" s="10" t="s">
        <v>180</v>
      </c>
      <c r="E93" s="10" t="s">
        <v>27</v>
      </c>
      <c r="F93" s="10" t="s">
        <v>85</v>
      </c>
      <c r="G93" s="10" t="s">
        <v>23</v>
      </c>
      <c r="H93" s="13">
        <v>5778487.71</v>
      </c>
      <c r="I93" s="15">
        <f>IF(Table1[[#This Row],[Salary]]&lt;1000000,Table1[[#This Row],[Salary]]*0.05,Table1[[#This Row],[Salary]]*0.1)</f>
        <v>577848.77100000007</v>
      </c>
      <c r="J93" s="15">
        <f>Table1[[#This Row],[Salary]]+Table1[[#This Row],[Bonus]]</f>
        <v>6356336.4809999997</v>
      </c>
      <c r="K93" s="25">
        <f>COUNTA(Table1[Employee_ID])</f>
        <v>1000</v>
      </c>
      <c r="L93" s="1">
        <f>SUM(Table1[Salary])</f>
        <v>3119391523.8580012</v>
      </c>
      <c r="M93" s="15">
        <f>AVERAGE(Table1[Salary])</f>
        <v>3119391.5238580015</v>
      </c>
      <c r="N93" s="29">
        <f>SUM(Table1[Bonus])</f>
        <v>308244983.02069992</v>
      </c>
    </row>
    <row r="94" spans="1:14" ht="12.75" customHeight="1" x14ac:dyDescent="0.25">
      <c r="A94" s="2">
        <v>51</v>
      </c>
      <c r="B94" s="10" t="s">
        <v>615</v>
      </c>
      <c r="C94" s="10" t="s">
        <v>616</v>
      </c>
      <c r="D94" s="10" t="s">
        <v>59</v>
      </c>
      <c r="E94" s="10" t="s">
        <v>0</v>
      </c>
      <c r="F94" s="10" t="s">
        <v>89</v>
      </c>
      <c r="G94" s="10" t="s">
        <v>29</v>
      </c>
      <c r="H94" s="13">
        <v>3005623.11</v>
      </c>
      <c r="I94" s="15">
        <f>IF(Table1[[#This Row],[Salary]]&lt;1000000,Table1[[#This Row],[Salary]]*0.05,Table1[[#This Row],[Salary]]*0.1)</f>
        <v>300562.31099999999</v>
      </c>
      <c r="J94" s="15">
        <f>Table1[[#This Row],[Salary]]+Table1[[#This Row],[Bonus]]</f>
        <v>3306185.4210000001</v>
      </c>
      <c r="K94" s="25">
        <f>COUNTA(Table1[Employee_ID])</f>
        <v>1000</v>
      </c>
      <c r="L94" s="1">
        <f>SUM(Table1[Salary])</f>
        <v>3119391523.8580012</v>
      </c>
      <c r="M94" s="15">
        <f>AVERAGE(Table1[Salary])</f>
        <v>3119391.5238580015</v>
      </c>
      <c r="N94" s="29">
        <f>SUM(Table1[Bonus])</f>
        <v>308244983.02069992</v>
      </c>
    </row>
    <row r="95" spans="1:14" ht="12.75" customHeight="1" x14ac:dyDescent="0.25">
      <c r="A95" s="2">
        <v>52</v>
      </c>
      <c r="B95" s="10" t="s">
        <v>181</v>
      </c>
      <c r="C95" s="10" t="s">
        <v>182</v>
      </c>
      <c r="D95" s="10" t="s">
        <v>183</v>
      </c>
      <c r="E95" s="10" t="s">
        <v>33</v>
      </c>
      <c r="F95" s="10" t="s">
        <v>34</v>
      </c>
      <c r="G95" s="10" t="s">
        <v>29</v>
      </c>
      <c r="H95" s="13">
        <v>2689800</v>
      </c>
      <c r="I95" s="15">
        <f>IF(Table1[[#This Row],[Salary]]&lt;1000000,Table1[[#This Row],[Salary]]*0.05,Table1[[#This Row],[Salary]]*0.1)</f>
        <v>268980</v>
      </c>
      <c r="J95" s="15">
        <f>Table1[[#This Row],[Salary]]+Table1[[#This Row],[Bonus]]</f>
        <v>2958780</v>
      </c>
      <c r="K95" s="25">
        <f>COUNTA(Table1[Employee_ID])</f>
        <v>1000</v>
      </c>
      <c r="L95" s="1">
        <f>SUM(Table1[Salary])</f>
        <v>3119391523.8580012</v>
      </c>
      <c r="M95" s="15">
        <f>AVERAGE(Table1[Salary])</f>
        <v>3119391.5238580015</v>
      </c>
      <c r="N95" s="29">
        <f>SUM(Table1[Bonus])</f>
        <v>308244983.02069992</v>
      </c>
    </row>
    <row r="96" spans="1:14" ht="12.75" customHeight="1" x14ac:dyDescent="0.25">
      <c r="A96" s="2">
        <v>52</v>
      </c>
      <c r="B96" s="10" t="s">
        <v>323</v>
      </c>
      <c r="C96" s="10" t="s">
        <v>101</v>
      </c>
      <c r="D96" s="10" t="s">
        <v>32</v>
      </c>
      <c r="E96" s="10" t="s">
        <v>0</v>
      </c>
      <c r="F96" s="10" t="s">
        <v>22</v>
      </c>
      <c r="G96" s="10" t="s">
        <v>35</v>
      </c>
      <c r="H96" s="13">
        <v>1103641.578</v>
      </c>
      <c r="I96" s="15">
        <f>IF(Table1[[#This Row],[Salary]]&lt;1000000,Table1[[#This Row],[Salary]]*0.05,Table1[[#This Row],[Salary]]*0.1)</f>
        <v>110364.1578</v>
      </c>
      <c r="J96" s="15">
        <f>Table1[[#This Row],[Salary]]+Table1[[#This Row],[Bonus]]</f>
        <v>1214005.7357999999</v>
      </c>
      <c r="K96" s="25">
        <f>COUNTA(Table1[Employee_ID])</f>
        <v>1000</v>
      </c>
      <c r="L96" s="1">
        <f>SUM(Table1[Salary])</f>
        <v>3119391523.8580012</v>
      </c>
      <c r="M96" s="15">
        <f>AVERAGE(Table1[Salary])</f>
        <v>3119391.5238580015</v>
      </c>
      <c r="N96" s="29">
        <f>SUM(Table1[Bonus])</f>
        <v>308244983.02069992</v>
      </c>
    </row>
    <row r="97" spans="1:14" ht="12.75" customHeight="1" x14ac:dyDescent="0.25">
      <c r="A97" s="2">
        <v>53</v>
      </c>
      <c r="B97" s="10" t="s">
        <v>184</v>
      </c>
      <c r="C97" s="10" t="s">
        <v>185</v>
      </c>
      <c r="D97" s="10" t="s">
        <v>21</v>
      </c>
      <c r="E97" s="10" t="s">
        <v>39</v>
      </c>
      <c r="F97" s="10" t="s">
        <v>186</v>
      </c>
      <c r="G97" s="10" t="s">
        <v>71</v>
      </c>
      <c r="H97" s="13">
        <v>1110979.216</v>
      </c>
      <c r="I97" s="15">
        <f>IF(Table1[[#This Row],[Salary]]&lt;1000000,Table1[[#This Row],[Salary]]*0.05,Table1[[#This Row],[Salary]]*0.1)</f>
        <v>111097.9216</v>
      </c>
      <c r="J97" s="15">
        <f>Table1[[#This Row],[Salary]]+Table1[[#This Row],[Bonus]]</f>
        <v>1222077.1376</v>
      </c>
      <c r="K97" s="25">
        <f>COUNTA(Table1[Employee_ID])</f>
        <v>1000</v>
      </c>
      <c r="L97" s="1">
        <f>SUM(Table1[Salary])</f>
        <v>3119391523.8580012</v>
      </c>
      <c r="M97" s="15">
        <f>AVERAGE(Table1[Salary])</f>
        <v>3119391.5238580015</v>
      </c>
      <c r="N97" s="29">
        <f>SUM(Table1[Bonus])</f>
        <v>308244983.02069992</v>
      </c>
    </row>
    <row r="98" spans="1:14" ht="12.75" customHeight="1" x14ac:dyDescent="0.25">
      <c r="A98" s="2">
        <v>53</v>
      </c>
      <c r="B98" s="10" t="s">
        <v>622</v>
      </c>
      <c r="C98" s="10" t="s">
        <v>623</v>
      </c>
      <c r="D98" s="10" t="s">
        <v>183</v>
      </c>
      <c r="E98" s="10" t="s">
        <v>0</v>
      </c>
      <c r="F98" s="10" t="s">
        <v>70</v>
      </c>
      <c r="G98" s="10" t="s">
        <v>23</v>
      </c>
      <c r="H98" s="13">
        <v>2426600.3360000001</v>
      </c>
      <c r="I98" s="15">
        <f>IF(Table1[[#This Row],[Salary]]&lt;1000000,Table1[[#This Row],[Salary]]*0.05,Table1[[#This Row],[Salary]]*0.1)</f>
        <v>242660.03360000002</v>
      </c>
      <c r="J98" s="15">
        <f>Table1[[#This Row],[Salary]]+Table1[[#This Row],[Bonus]]</f>
        <v>2669260.3696000003</v>
      </c>
      <c r="K98" s="25">
        <f>COUNTA(Table1[Employee_ID])</f>
        <v>1000</v>
      </c>
      <c r="L98" s="1">
        <f>SUM(Table1[Salary])</f>
        <v>3119391523.8580012</v>
      </c>
      <c r="M98" s="15">
        <f>AVERAGE(Table1[Salary])</f>
        <v>3119391.5238580015</v>
      </c>
      <c r="N98" s="29">
        <f>SUM(Table1[Bonus])</f>
        <v>308244983.02069992</v>
      </c>
    </row>
    <row r="99" spans="1:14" ht="12.75" customHeight="1" x14ac:dyDescent="0.25">
      <c r="A99" s="2">
        <v>54</v>
      </c>
      <c r="B99" s="10" t="s">
        <v>187</v>
      </c>
      <c r="C99" s="10" t="s">
        <v>188</v>
      </c>
      <c r="D99" s="10" t="s">
        <v>99</v>
      </c>
      <c r="E99" s="10" t="s">
        <v>39</v>
      </c>
      <c r="F99" s="10" t="s">
        <v>189</v>
      </c>
      <c r="G99" s="10" t="s">
        <v>23</v>
      </c>
      <c r="H99" s="13">
        <v>3422794.59</v>
      </c>
      <c r="I99" s="15">
        <f>IF(Table1[[#This Row],[Salary]]&lt;1000000,Table1[[#This Row],[Salary]]*0.05,Table1[[#This Row],[Salary]]*0.1)</f>
        <v>342279.45900000003</v>
      </c>
      <c r="J99" s="15">
        <f>Table1[[#This Row],[Salary]]+Table1[[#This Row],[Bonus]]</f>
        <v>3765074.0489999996</v>
      </c>
      <c r="K99" s="25">
        <f>COUNTA(Table1[Employee_ID])</f>
        <v>1000</v>
      </c>
      <c r="L99" s="1">
        <f>SUM(Table1[Salary])</f>
        <v>3119391523.8580012</v>
      </c>
      <c r="M99" s="15">
        <f>AVERAGE(Table1[Salary])</f>
        <v>3119391.5238580015</v>
      </c>
      <c r="N99" s="29">
        <f>SUM(Table1[Bonus])</f>
        <v>308244983.02069992</v>
      </c>
    </row>
    <row r="100" spans="1:14" ht="12.75" customHeight="1" x14ac:dyDescent="0.25">
      <c r="A100" s="2">
        <v>54</v>
      </c>
      <c r="B100" s="10" t="s">
        <v>178</v>
      </c>
      <c r="C100" s="10" t="s">
        <v>624</v>
      </c>
      <c r="D100" s="10" t="s">
        <v>96</v>
      </c>
      <c r="E100" s="10" t="s">
        <v>0</v>
      </c>
      <c r="F100" s="10" t="s">
        <v>89</v>
      </c>
      <c r="G100" s="10" t="s">
        <v>71</v>
      </c>
      <c r="H100" s="13">
        <v>3222619.2079999996</v>
      </c>
      <c r="I100" s="15">
        <f>IF(Table1[[#This Row],[Salary]]&lt;1000000,Table1[[#This Row],[Salary]]*0.05,Table1[[#This Row],[Salary]]*0.1)</f>
        <v>322261.92079999996</v>
      </c>
      <c r="J100" s="15">
        <f>Table1[[#This Row],[Salary]]+Table1[[#This Row],[Bonus]]</f>
        <v>3544881.1287999996</v>
      </c>
      <c r="K100" s="25">
        <f>COUNTA(Table1[Employee_ID])</f>
        <v>1000</v>
      </c>
      <c r="L100" s="1">
        <f>SUM(Table1[Salary])</f>
        <v>3119391523.8580012</v>
      </c>
      <c r="M100" s="15">
        <f>AVERAGE(Table1[Salary])</f>
        <v>3119391.5238580015</v>
      </c>
      <c r="N100" s="29">
        <f>SUM(Table1[Bonus])</f>
        <v>308244983.02069992</v>
      </c>
    </row>
    <row r="101" spans="1:14" ht="12.75" customHeight="1" x14ac:dyDescent="0.25">
      <c r="A101" s="2">
        <v>55</v>
      </c>
      <c r="B101" s="10" t="s">
        <v>190</v>
      </c>
      <c r="C101" s="10" t="s">
        <v>191</v>
      </c>
      <c r="D101" s="10" t="s">
        <v>125</v>
      </c>
      <c r="E101" s="10" t="s">
        <v>27</v>
      </c>
      <c r="F101" s="10" t="s">
        <v>106</v>
      </c>
      <c r="G101" s="10" t="s">
        <v>71</v>
      </c>
      <c r="H101" s="13">
        <v>4306193.5020000003</v>
      </c>
      <c r="I101" s="15">
        <f>IF(Table1[[#This Row],[Salary]]&lt;1000000,Table1[[#This Row],[Salary]]*0.05,Table1[[#This Row],[Salary]]*0.1)</f>
        <v>430619.35020000004</v>
      </c>
      <c r="J101" s="15">
        <f>Table1[[#This Row],[Salary]]+Table1[[#This Row],[Bonus]]</f>
        <v>4736812.8522000005</v>
      </c>
      <c r="K101" s="25">
        <f>COUNTA(Table1[Employee_ID])</f>
        <v>1000</v>
      </c>
      <c r="L101" s="1">
        <f>SUM(Table1[Salary])</f>
        <v>3119391523.8580012</v>
      </c>
      <c r="M101" s="15">
        <f>AVERAGE(Table1[Salary])</f>
        <v>3119391.5238580015</v>
      </c>
      <c r="N101" s="29">
        <f>SUM(Table1[Bonus])</f>
        <v>308244983.02069992</v>
      </c>
    </row>
    <row r="102" spans="1:14" ht="12.75" customHeight="1" x14ac:dyDescent="0.25">
      <c r="A102" s="2">
        <v>55</v>
      </c>
      <c r="B102" s="10" t="s">
        <v>625</v>
      </c>
      <c r="C102" s="10" t="s">
        <v>478</v>
      </c>
      <c r="D102" s="10" t="s">
        <v>77</v>
      </c>
      <c r="E102" s="10" t="s">
        <v>0</v>
      </c>
      <c r="F102" s="10" t="s">
        <v>22</v>
      </c>
      <c r="G102" s="10" t="s">
        <v>29</v>
      </c>
      <c r="H102" s="13">
        <v>2914965.4440000001</v>
      </c>
      <c r="I102" s="15">
        <f>IF(Table1[[#This Row],[Salary]]&lt;1000000,Table1[[#This Row],[Salary]]*0.05,Table1[[#This Row],[Salary]]*0.1)</f>
        <v>291496.54440000001</v>
      </c>
      <c r="J102" s="15">
        <f>Table1[[#This Row],[Salary]]+Table1[[#This Row],[Bonus]]</f>
        <v>3206461.9884000001</v>
      </c>
      <c r="K102" s="25">
        <f>COUNTA(Table1[Employee_ID])</f>
        <v>1000</v>
      </c>
      <c r="L102" s="1">
        <f>SUM(Table1[Salary])</f>
        <v>3119391523.8580012</v>
      </c>
      <c r="M102" s="15">
        <f>AVERAGE(Table1[Salary])</f>
        <v>3119391.5238580015</v>
      </c>
      <c r="N102" s="29">
        <f>SUM(Table1[Bonus])</f>
        <v>308244983.02069992</v>
      </c>
    </row>
    <row r="103" spans="1:14" ht="12.75" customHeight="1" x14ac:dyDescent="0.25">
      <c r="A103" s="2">
        <v>56</v>
      </c>
      <c r="B103" s="10" t="s">
        <v>192</v>
      </c>
      <c r="C103" s="10" t="s">
        <v>193</v>
      </c>
      <c r="D103" s="10" t="s">
        <v>177</v>
      </c>
      <c r="E103" s="10" t="s">
        <v>33</v>
      </c>
      <c r="F103" s="10" t="s">
        <v>47</v>
      </c>
      <c r="G103" s="10" t="s">
        <v>56</v>
      </c>
      <c r="H103" s="13">
        <v>737345.99999999988</v>
      </c>
      <c r="I103" s="15">
        <f>IF(Table1[[#This Row],[Salary]]&lt;1000000,Table1[[#This Row],[Salary]]*0.05,Table1[[#This Row],[Salary]]*0.1)</f>
        <v>36867.299999999996</v>
      </c>
      <c r="J103" s="15">
        <f>Table1[[#This Row],[Salary]]+Table1[[#This Row],[Bonus]]</f>
        <v>774213.29999999993</v>
      </c>
      <c r="K103" s="25">
        <f>COUNTA(Table1[Employee_ID])</f>
        <v>1000</v>
      </c>
      <c r="L103" s="1">
        <f>SUM(Table1[Salary])</f>
        <v>3119391523.8580012</v>
      </c>
      <c r="M103" s="15">
        <f>AVERAGE(Table1[Salary])</f>
        <v>3119391.5238580015</v>
      </c>
      <c r="N103" s="29">
        <f>SUM(Table1[Bonus])</f>
        <v>308244983.02069992</v>
      </c>
    </row>
    <row r="104" spans="1:14" ht="12.75" customHeight="1" x14ac:dyDescent="0.25">
      <c r="A104" s="2">
        <v>56</v>
      </c>
      <c r="B104" s="10" t="s">
        <v>626</v>
      </c>
      <c r="C104" s="10" t="s">
        <v>627</v>
      </c>
      <c r="D104" s="10" t="s">
        <v>88</v>
      </c>
      <c r="E104" s="10" t="s">
        <v>0</v>
      </c>
      <c r="F104" s="10" t="s">
        <v>70</v>
      </c>
      <c r="G104" s="10" t="s">
        <v>71</v>
      </c>
      <c r="H104" s="13">
        <v>4664632.3959999997</v>
      </c>
      <c r="I104" s="15">
        <f>IF(Table1[[#This Row],[Salary]]&lt;1000000,Table1[[#This Row],[Salary]]*0.05,Table1[[#This Row],[Salary]]*0.1)</f>
        <v>466463.23959999997</v>
      </c>
      <c r="J104" s="15">
        <f>Table1[[#This Row],[Salary]]+Table1[[#This Row],[Bonus]]</f>
        <v>5131095.6355999997</v>
      </c>
      <c r="K104" s="25">
        <f>COUNTA(Table1[Employee_ID])</f>
        <v>1000</v>
      </c>
      <c r="L104" s="1">
        <f>SUM(Table1[Salary])</f>
        <v>3119391523.8580012</v>
      </c>
      <c r="M104" s="15">
        <f>AVERAGE(Table1[Salary])</f>
        <v>3119391.5238580015</v>
      </c>
      <c r="N104" s="29">
        <f>SUM(Table1[Bonus])</f>
        <v>308244983.02069992</v>
      </c>
    </row>
    <row r="105" spans="1:14" ht="12.75" customHeight="1" x14ac:dyDescent="0.25">
      <c r="A105" s="2">
        <v>57</v>
      </c>
      <c r="B105" s="10" t="s">
        <v>194</v>
      </c>
      <c r="C105" s="10" t="s">
        <v>195</v>
      </c>
      <c r="D105" s="10" t="s">
        <v>96</v>
      </c>
      <c r="E105" s="10" t="s">
        <v>6</v>
      </c>
      <c r="F105" s="10" t="s">
        <v>144</v>
      </c>
      <c r="G105" s="10" t="s">
        <v>23</v>
      </c>
      <c r="H105" s="13">
        <v>3694498.2420000001</v>
      </c>
      <c r="I105" s="15">
        <f>IF(Table1[[#This Row],[Salary]]&lt;1000000,Table1[[#This Row],[Salary]]*0.05,Table1[[#This Row],[Salary]]*0.1)</f>
        <v>369449.82420000003</v>
      </c>
      <c r="J105" s="15">
        <f>Table1[[#This Row],[Salary]]+Table1[[#This Row],[Bonus]]</f>
        <v>4063948.0662000002</v>
      </c>
      <c r="K105" s="25">
        <f>COUNTA(Table1[Employee_ID])</f>
        <v>1000</v>
      </c>
      <c r="L105" s="1">
        <f>SUM(Table1[Salary])</f>
        <v>3119391523.8580012</v>
      </c>
      <c r="M105" s="15">
        <f>AVERAGE(Table1[Salary])</f>
        <v>3119391.5238580015</v>
      </c>
      <c r="N105" s="29">
        <f>SUM(Table1[Bonus])</f>
        <v>308244983.02069992</v>
      </c>
    </row>
    <row r="106" spans="1:14" ht="12.75" customHeight="1" x14ac:dyDescent="0.25">
      <c r="A106" s="2">
        <v>57</v>
      </c>
      <c r="B106" s="10" t="s">
        <v>387</v>
      </c>
      <c r="C106" s="10" t="s">
        <v>642</v>
      </c>
      <c r="D106" s="10" t="s">
        <v>32</v>
      </c>
      <c r="E106" s="10" t="s">
        <v>0</v>
      </c>
      <c r="F106" s="10" t="s">
        <v>89</v>
      </c>
      <c r="G106" s="10" t="s">
        <v>23</v>
      </c>
      <c r="H106" s="13">
        <v>677046.48600000003</v>
      </c>
      <c r="I106" s="15">
        <f>IF(Table1[[#This Row],[Salary]]&lt;1000000,Table1[[#This Row],[Salary]]*0.05,Table1[[#This Row],[Salary]]*0.1)</f>
        <v>33852.3243</v>
      </c>
      <c r="J106" s="15">
        <f>Table1[[#This Row],[Salary]]+Table1[[#This Row],[Bonus]]</f>
        <v>710898.81030000001</v>
      </c>
      <c r="K106" s="25">
        <f>COUNTA(Table1[Employee_ID])</f>
        <v>1000</v>
      </c>
      <c r="L106" s="1">
        <f>SUM(Table1[Salary])</f>
        <v>3119391523.8580012</v>
      </c>
      <c r="M106" s="15">
        <f>AVERAGE(Table1[Salary])</f>
        <v>3119391.5238580015</v>
      </c>
      <c r="N106" s="29">
        <f>SUM(Table1[Bonus])</f>
        <v>308244983.02069992</v>
      </c>
    </row>
    <row r="107" spans="1:14" ht="12.75" customHeight="1" x14ac:dyDescent="0.25">
      <c r="A107" s="2">
        <v>58</v>
      </c>
      <c r="B107" s="10" t="s">
        <v>196</v>
      </c>
      <c r="C107" s="10" t="s">
        <v>197</v>
      </c>
      <c r="D107" s="10" t="s">
        <v>105</v>
      </c>
      <c r="E107" s="10" t="s">
        <v>13</v>
      </c>
      <c r="F107" s="10" t="s">
        <v>120</v>
      </c>
      <c r="G107" s="10" t="s">
        <v>56</v>
      </c>
      <c r="H107" s="13">
        <v>4904282.7079999996</v>
      </c>
      <c r="I107" s="15">
        <f>IF(Table1[[#This Row],[Salary]]&lt;1000000,Table1[[#This Row],[Salary]]*0.05,Table1[[#This Row],[Salary]]*0.1)</f>
        <v>490428.2708</v>
      </c>
      <c r="J107" s="15">
        <f>Table1[[#This Row],[Salary]]+Table1[[#This Row],[Bonus]]</f>
        <v>5394710.9787999997</v>
      </c>
      <c r="K107" s="25">
        <f>COUNTA(Table1[Employee_ID])</f>
        <v>1000</v>
      </c>
      <c r="L107" s="1">
        <f>SUM(Table1[Salary])</f>
        <v>3119391523.8580012</v>
      </c>
      <c r="M107" s="15">
        <f>AVERAGE(Table1[Salary])</f>
        <v>3119391.5238580015</v>
      </c>
      <c r="N107" s="29">
        <f>SUM(Table1[Bonus])</f>
        <v>308244983.02069992</v>
      </c>
    </row>
    <row r="108" spans="1:14" ht="12.75" customHeight="1" x14ac:dyDescent="0.25">
      <c r="A108" s="2">
        <v>58</v>
      </c>
      <c r="B108" s="10" t="s">
        <v>656</v>
      </c>
      <c r="C108" s="10" t="s">
        <v>657</v>
      </c>
      <c r="D108" s="10" t="s">
        <v>59</v>
      </c>
      <c r="E108" s="10" t="s">
        <v>0</v>
      </c>
      <c r="F108" s="10" t="s">
        <v>22</v>
      </c>
      <c r="G108" s="10" t="s">
        <v>56</v>
      </c>
      <c r="H108" s="13">
        <v>739857.74</v>
      </c>
      <c r="I108" s="15">
        <f>IF(Table1[[#This Row],[Salary]]&lt;1000000,Table1[[#This Row],[Salary]]*0.05,Table1[[#This Row],[Salary]]*0.1)</f>
        <v>36992.887000000002</v>
      </c>
      <c r="J108" s="15">
        <f>Table1[[#This Row],[Salary]]+Table1[[#This Row],[Bonus]]</f>
        <v>776850.62699999998</v>
      </c>
      <c r="K108" s="25">
        <f>COUNTA(Table1[Employee_ID])</f>
        <v>1000</v>
      </c>
      <c r="L108" s="1">
        <f>SUM(Table1[Salary])</f>
        <v>3119391523.8580012</v>
      </c>
      <c r="M108" s="15">
        <f>AVERAGE(Table1[Salary])</f>
        <v>3119391.5238580015</v>
      </c>
      <c r="N108" s="29">
        <f>SUM(Table1[Bonus])</f>
        <v>308244983.02069992</v>
      </c>
    </row>
    <row r="109" spans="1:14" ht="12.75" customHeight="1" x14ac:dyDescent="0.25">
      <c r="A109" s="2">
        <v>59</v>
      </c>
      <c r="B109" s="10" t="s">
        <v>198</v>
      </c>
      <c r="C109" s="10" t="s">
        <v>199</v>
      </c>
      <c r="D109" s="10" t="s">
        <v>54</v>
      </c>
      <c r="E109" s="10" t="s">
        <v>33</v>
      </c>
      <c r="F109" s="10" t="s">
        <v>55</v>
      </c>
      <c r="G109" s="10" t="s">
        <v>29</v>
      </c>
      <c r="H109" s="13">
        <v>1148708</v>
      </c>
      <c r="I109" s="15">
        <f>IF(Table1[[#This Row],[Salary]]&lt;1000000,Table1[[#This Row],[Salary]]*0.05,Table1[[#This Row],[Salary]]*0.1)</f>
        <v>114870.8</v>
      </c>
      <c r="J109" s="15">
        <f>Table1[[#This Row],[Salary]]+Table1[[#This Row],[Bonus]]</f>
        <v>1263578.8</v>
      </c>
      <c r="K109" s="25">
        <f>COUNTA(Table1[Employee_ID])</f>
        <v>1000</v>
      </c>
      <c r="L109" s="1">
        <f>SUM(Table1[Salary])</f>
        <v>3119391523.8580012</v>
      </c>
      <c r="M109" s="15">
        <f>AVERAGE(Table1[Salary])</f>
        <v>3119391.5238580015</v>
      </c>
      <c r="N109" s="29">
        <f>SUM(Table1[Bonus])</f>
        <v>308244983.02069992</v>
      </c>
    </row>
    <row r="110" spans="1:14" ht="12.75" customHeight="1" x14ac:dyDescent="0.25">
      <c r="A110" s="2">
        <v>59</v>
      </c>
      <c r="B110" s="10" t="s">
        <v>668</v>
      </c>
      <c r="C110" s="10" t="s">
        <v>669</v>
      </c>
      <c r="D110" s="10" t="s">
        <v>96</v>
      </c>
      <c r="E110" s="10" t="s">
        <v>0</v>
      </c>
      <c r="F110" s="10" t="s">
        <v>70</v>
      </c>
      <c r="G110" s="10" t="s">
        <v>56</v>
      </c>
      <c r="H110" s="13">
        <v>1339459.2480000001</v>
      </c>
      <c r="I110" s="15">
        <f>IF(Table1[[#This Row],[Salary]]&lt;1000000,Table1[[#This Row],[Salary]]*0.05,Table1[[#This Row],[Salary]]*0.1)</f>
        <v>133945.92480000001</v>
      </c>
      <c r="J110" s="15">
        <f>Table1[[#This Row],[Salary]]+Table1[[#This Row],[Bonus]]</f>
        <v>1473405.1728000001</v>
      </c>
      <c r="K110" s="25">
        <f>COUNTA(Table1[Employee_ID])</f>
        <v>1000</v>
      </c>
      <c r="L110" s="1">
        <f>SUM(Table1[Salary])</f>
        <v>3119391523.8580012</v>
      </c>
      <c r="M110" s="15">
        <f>AVERAGE(Table1[Salary])</f>
        <v>3119391.5238580015</v>
      </c>
      <c r="N110" s="29">
        <f>SUM(Table1[Bonus])</f>
        <v>308244983.02069992</v>
      </c>
    </row>
    <row r="111" spans="1:14" ht="12.75" customHeight="1" x14ac:dyDescent="0.25">
      <c r="A111" s="2">
        <v>60</v>
      </c>
      <c r="B111" s="10" t="s">
        <v>670</v>
      </c>
      <c r="C111" s="10" t="s">
        <v>161</v>
      </c>
      <c r="D111" s="10" t="s">
        <v>105</v>
      </c>
      <c r="E111" s="10" t="s">
        <v>0</v>
      </c>
      <c r="F111" s="10" t="s">
        <v>89</v>
      </c>
      <c r="G111" s="10" t="s">
        <v>23</v>
      </c>
      <c r="H111" s="13">
        <v>2534132.3539999998</v>
      </c>
      <c r="I111" s="15">
        <f>IF(Table1[[#This Row],[Salary]]&lt;1000000,Table1[[#This Row],[Salary]]*0.05,Table1[[#This Row],[Salary]]*0.1)</f>
        <v>253413.23540000001</v>
      </c>
      <c r="J111" s="15">
        <f>Table1[[#This Row],[Salary]]+Table1[[#This Row],[Bonus]]</f>
        <v>2787545.5893999999</v>
      </c>
      <c r="K111" s="25">
        <f>COUNTA(Table1[Employee_ID])</f>
        <v>1000</v>
      </c>
      <c r="L111" s="1">
        <f>SUM(Table1[Salary])</f>
        <v>3119391523.8580012</v>
      </c>
      <c r="M111" s="15">
        <f>AVERAGE(Table1[Salary])</f>
        <v>3119391.5238580015</v>
      </c>
      <c r="N111" s="29">
        <f>SUM(Table1[Bonus])</f>
        <v>308244983.02069992</v>
      </c>
    </row>
    <row r="112" spans="1:14" ht="12.75" customHeight="1" x14ac:dyDescent="0.25">
      <c r="A112" s="2">
        <v>61</v>
      </c>
      <c r="B112" s="10" t="s">
        <v>202</v>
      </c>
      <c r="C112" s="10" t="s">
        <v>203</v>
      </c>
      <c r="D112" s="10" t="s">
        <v>96</v>
      </c>
      <c r="E112" s="10" t="s">
        <v>33</v>
      </c>
      <c r="F112" s="10" t="s">
        <v>34</v>
      </c>
      <c r="G112" s="10" t="s">
        <v>23</v>
      </c>
      <c r="H112" s="13">
        <v>909575.00000000012</v>
      </c>
      <c r="I112" s="15">
        <f>IF(Table1[[#This Row],[Salary]]&lt;1000000,Table1[[#This Row],[Salary]]*0.05,Table1[[#This Row],[Salary]]*0.1)</f>
        <v>45478.750000000007</v>
      </c>
      <c r="J112" s="15">
        <f>Table1[[#This Row],[Salary]]+Table1[[#This Row],[Bonus]]</f>
        <v>955053.75000000012</v>
      </c>
      <c r="K112" s="25">
        <f>COUNTA(Table1[Employee_ID])</f>
        <v>1000</v>
      </c>
      <c r="L112" s="1">
        <f>SUM(Table1[Salary])</f>
        <v>3119391523.8580012</v>
      </c>
      <c r="M112" s="15">
        <f>AVERAGE(Table1[Salary])</f>
        <v>3119391.5238580015</v>
      </c>
      <c r="N112" s="29">
        <f>SUM(Table1[Bonus])</f>
        <v>308244983.02069992</v>
      </c>
    </row>
    <row r="113" spans="1:14" ht="12.75" customHeight="1" x14ac:dyDescent="0.25">
      <c r="A113" s="2">
        <v>61</v>
      </c>
      <c r="B113" s="10" t="s">
        <v>671</v>
      </c>
      <c r="C113" s="10" t="s">
        <v>598</v>
      </c>
      <c r="D113" s="10" t="s">
        <v>54</v>
      </c>
      <c r="E113" s="10" t="s">
        <v>0</v>
      </c>
      <c r="F113" s="10" t="s">
        <v>22</v>
      </c>
      <c r="G113" s="10" t="s">
        <v>23</v>
      </c>
      <c r="H113" s="13">
        <v>948391.01</v>
      </c>
      <c r="I113" s="15">
        <f>IF(Table1[[#This Row],[Salary]]&lt;1000000,Table1[[#This Row],[Salary]]*0.05,Table1[[#This Row],[Salary]]*0.1)</f>
        <v>47419.550500000005</v>
      </c>
      <c r="J113" s="15">
        <f>Table1[[#This Row],[Salary]]+Table1[[#This Row],[Bonus]]</f>
        <v>995810.56050000002</v>
      </c>
      <c r="K113" s="25">
        <f>COUNTA(Table1[Employee_ID])</f>
        <v>1000</v>
      </c>
      <c r="L113" s="1">
        <f>SUM(Table1[Salary])</f>
        <v>3119391523.8580012</v>
      </c>
      <c r="M113" s="15">
        <f>AVERAGE(Table1[Salary])</f>
        <v>3119391.5238580015</v>
      </c>
      <c r="N113" s="29">
        <f>SUM(Table1[Bonus])</f>
        <v>308244983.02069992</v>
      </c>
    </row>
    <row r="114" spans="1:14" ht="12.75" customHeight="1" x14ac:dyDescent="0.25">
      <c r="A114" s="2">
        <v>62</v>
      </c>
      <c r="B114" s="10" t="s">
        <v>548</v>
      </c>
      <c r="C114" s="10" t="s">
        <v>680</v>
      </c>
      <c r="D114" s="10" t="s">
        <v>149</v>
      </c>
      <c r="E114" s="10" t="s">
        <v>0</v>
      </c>
      <c r="F114" s="10" t="s">
        <v>70</v>
      </c>
      <c r="G114" s="10" t="s">
        <v>35</v>
      </c>
      <c r="H114" s="13">
        <v>5513817.3700000001</v>
      </c>
      <c r="I114" s="15">
        <f>IF(Table1[[#This Row],[Salary]]&lt;1000000,Table1[[#This Row],[Salary]]*0.05,Table1[[#This Row],[Salary]]*0.1)</f>
        <v>551381.73700000008</v>
      </c>
      <c r="J114" s="15">
        <f>Table1[[#This Row],[Salary]]+Table1[[#This Row],[Bonus]]</f>
        <v>6065199.1069999998</v>
      </c>
      <c r="K114" s="25">
        <f>COUNTA(Table1[Employee_ID])</f>
        <v>1000</v>
      </c>
      <c r="L114" s="1">
        <f>SUM(Table1[Salary])</f>
        <v>3119391523.8580012</v>
      </c>
      <c r="M114" s="15">
        <f>AVERAGE(Table1[Salary])</f>
        <v>3119391.5238580015</v>
      </c>
      <c r="N114" s="29">
        <f>SUM(Table1[Bonus])</f>
        <v>308244983.02069992</v>
      </c>
    </row>
    <row r="115" spans="1:14" ht="12.75" customHeight="1" x14ac:dyDescent="0.25">
      <c r="A115" s="2">
        <v>63</v>
      </c>
      <c r="B115" s="10" t="s">
        <v>206</v>
      </c>
      <c r="C115" s="10" t="s">
        <v>207</v>
      </c>
      <c r="D115" s="10" t="s">
        <v>88</v>
      </c>
      <c r="E115" s="10" t="s">
        <v>27</v>
      </c>
      <c r="F115" s="10" t="s">
        <v>28</v>
      </c>
      <c r="G115" s="10" t="s">
        <v>29</v>
      </c>
      <c r="H115" s="13">
        <v>5047052.4120000005</v>
      </c>
      <c r="I115" s="15">
        <f>IF(Table1[[#This Row],[Salary]]&lt;1000000,Table1[[#This Row],[Salary]]*0.05,Table1[[#This Row],[Salary]]*0.1)</f>
        <v>504705.24120000005</v>
      </c>
      <c r="J115" s="15">
        <f>Table1[[#This Row],[Salary]]+Table1[[#This Row],[Bonus]]</f>
        <v>5551757.6532000005</v>
      </c>
      <c r="K115" s="25">
        <f>COUNTA(Table1[Employee_ID])</f>
        <v>1000</v>
      </c>
      <c r="L115" s="1">
        <f>SUM(Table1[Salary])</f>
        <v>3119391523.8580012</v>
      </c>
      <c r="M115" s="15">
        <f>AVERAGE(Table1[Salary])</f>
        <v>3119391.5238580015</v>
      </c>
      <c r="N115" s="29">
        <f>SUM(Table1[Bonus])</f>
        <v>308244983.02069992</v>
      </c>
    </row>
    <row r="116" spans="1:14" ht="12.75" customHeight="1" x14ac:dyDescent="0.25">
      <c r="A116" s="2">
        <v>63</v>
      </c>
      <c r="B116" s="10" t="s">
        <v>681</v>
      </c>
      <c r="C116" s="10" t="s">
        <v>682</v>
      </c>
      <c r="D116" s="10" t="s">
        <v>88</v>
      </c>
      <c r="E116" s="10" t="s">
        <v>0</v>
      </c>
      <c r="F116" s="10" t="s">
        <v>89</v>
      </c>
      <c r="G116" s="10" t="s">
        <v>48</v>
      </c>
      <c r="H116" s="13">
        <v>5583612.9640000006</v>
      </c>
      <c r="I116" s="15">
        <f>IF(Table1[[#This Row],[Salary]]&lt;1000000,Table1[[#This Row],[Salary]]*0.05,Table1[[#This Row],[Salary]]*0.1)</f>
        <v>558361.29640000011</v>
      </c>
      <c r="J116" s="15">
        <f>Table1[[#This Row],[Salary]]+Table1[[#This Row],[Bonus]]</f>
        <v>6141974.260400001</v>
      </c>
      <c r="K116" s="25">
        <f>COUNTA(Table1[Employee_ID])</f>
        <v>1000</v>
      </c>
      <c r="L116" s="1">
        <f>SUM(Table1[Salary])</f>
        <v>3119391523.8580012</v>
      </c>
      <c r="M116" s="15">
        <f>AVERAGE(Table1[Salary])</f>
        <v>3119391.5238580015</v>
      </c>
      <c r="N116" s="29">
        <f>SUM(Table1[Bonus])</f>
        <v>308244983.02069992</v>
      </c>
    </row>
    <row r="117" spans="1:14" ht="12.75" customHeight="1" x14ac:dyDescent="0.25">
      <c r="A117" s="2">
        <v>64</v>
      </c>
      <c r="B117" s="10" t="s">
        <v>208</v>
      </c>
      <c r="C117" s="10" t="s">
        <v>209</v>
      </c>
      <c r="D117" s="10" t="s">
        <v>26</v>
      </c>
      <c r="E117" s="10" t="s">
        <v>10</v>
      </c>
      <c r="F117" s="10" t="s">
        <v>131</v>
      </c>
      <c r="G117" s="10" t="s">
        <v>23</v>
      </c>
      <c r="H117" s="13">
        <v>5525950.7659999998</v>
      </c>
      <c r="I117" s="15">
        <f>IF(Table1[[#This Row],[Salary]]&lt;1000000,Table1[[#This Row],[Salary]]*0.05,Table1[[#This Row],[Salary]]*0.1)</f>
        <v>552595.07660000003</v>
      </c>
      <c r="J117" s="15">
        <f>Table1[[#This Row],[Salary]]+Table1[[#This Row],[Bonus]]</f>
        <v>6078545.8426000001</v>
      </c>
      <c r="K117" s="25">
        <f>COUNTA(Table1[Employee_ID])</f>
        <v>1000</v>
      </c>
      <c r="L117" s="1">
        <f>SUM(Table1[Salary])</f>
        <v>3119391523.8580012</v>
      </c>
      <c r="M117" s="15">
        <f>AVERAGE(Table1[Salary])</f>
        <v>3119391.5238580015</v>
      </c>
      <c r="N117" s="29">
        <f>SUM(Table1[Bonus])</f>
        <v>308244983.02069992</v>
      </c>
    </row>
    <row r="118" spans="1:14" ht="12.75" customHeight="1" x14ac:dyDescent="0.25">
      <c r="A118" s="2">
        <v>64</v>
      </c>
      <c r="B118" s="10" t="s">
        <v>689</v>
      </c>
      <c r="C118" s="10" t="s">
        <v>690</v>
      </c>
      <c r="D118" s="10" t="s">
        <v>165</v>
      </c>
      <c r="E118" s="10" t="s">
        <v>0</v>
      </c>
      <c r="F118" s="10" t="s">
        <v>22</v>
      </c>
      <c r="G118" s="10" t="s">
        <v>35</v>
      </c>
      <c r="H118" s="13">
        <v>4160958.8739999998</v>
      </c>
      <c r="I118" s="15">
        <f>IF(Table1[[#This Row],[Salary]]&lt;1000000,Table1[[#This Row],[Salary]]*0.05,Table1[[#This Row],[Salary]]*0.1)</f>
        <v>416095.88740000001</v>
      </c>
      <c r="J118" s="15">
        <f>Table1[[#This Row],[Salary]]+Table1[[#This Row],[Bonus]]</f>
        <v>4577054.7614000002</v>
      </c>
      <c r="K118" s="25">
        <f>COUNTA(Table1[Employee_ID])</f>
        <v>1000</v>
      </c>
      <c r="L118" s="1">
        <f>SUM(Table1[Salary])</f>
        <v>3119391523.8580012</v>
      </c>
      <c r="M118" s="15">
        <f>AVERAGE(Table1[Salary])</f>
        <v>3119391.5238580015</v>
      </c>
      <c r="N118" s="29">
        <f>SUM(Table1[Bonus])</f>
        <v>308244983.02069992</v>
      </c>
    </row>
    <row r="119" spans="1:14" ht="12.75" customHeight="1" x14ac:dyDescent="0.25">
      <c r="A119" s="2">
        <v>65</v>
      </c>
      <c r="B119" s="10" t="s">
        <v>210</v>
      </c>
      <c r="C119" s="10" t="s">
        <v>211</v>
      </c>
      <c r="D119" s="10" t="s">
        <v>125</v>
      </c>
      <c r="E119" s="10" t="s">
        <v>33</v>
      </c>
      <c r="F119" s="10" t="s">
        <v>47</v>
      </c>
      <c r="G119" s="10" t="s">
        <v>29</v>
      </c>
      <c r="H119" s="13">
        <v>4767877</v>
      </c>
      <c r="I119" s="15">
        <f>IF(Table1[[#This Row],[Salary]]&lt;1000000,Table1[[#This Row],[Salary]]*0.05,Table1[[#This Row],[Salary]]*0.1)</f>
        <v>476787.7</v>
      </c>
      <c r="J119" s="15">
        <f>Table1[[#This Row],[Salary]]+Table1[[#This Row],[Bonus]]</f>
        <v>5244664.7</v>
      </c>
      <c r="K119" s="25">
        <f>COUNTA(Table1[Employee_ID])</f>
        <v>1000</v>
      </c>
      <c r="L119" s="1">
        <f>SUM(Table1[Salary])</f>
        <v>3119391523.8580012</v>
      </c>
      <c r="M119" s="15">
        <f>AVERAGE(Table1[Salary])</f>
        <v>3119391.5238580015</v>
      </c>
      <c r="N119" s="29">
        <f>SUM(Table1[Bonus])</f>
        <v>308244983.02069992</v>
      </c>
    </row>
    <row r="120" spans="1:14" ht="12.75" customHeight="1" x14ac:dyDescent="0.25">
      <c r="A120" s="2">
        <v>65</v>
      </c>
      <c r="B120" s="10" t="s">
        <v>716</v>
      </c>
      <c r="C120" s="10" t="s">
        <v>717</v>
      </c>
      <c r="D120" s="10" t="s">
        <v>112</v>
      </c>
      <c r="E120" s="10" t="s">
        <v>0</v>
      </c>
      <c r="F120" s="10" t="s">
        <v>70</v>
      </c>
      <c r="G120" s="10" t="s">
        <v>48</v>
      </c>
      <c r="H120" s="13">
        <v>5880881.1659999993</v>
      </c>
      <c r="I120" s="15">
        <f>IF(Table1[[#This Row],[Salary]]&lt;1000000,Table1[[#This Row],[Salary]]*0.05,Table1[[#This Row],[Salary]]*0.1)</f>
        <v>588088.11659999995</v>
      </c>
      <c r="J120" s="15">
        <f>Table1[[#This Row],[Salary]]+Table1[[#This Row],[Bonus]]</f>
        <v>6468969.2825999996</v>
      </c>
      <c r="K120" s="25">
        <f>COUNTA(Table1[Employee_ID])</f>
        <v>1000</v>
      </c>
      <c r="L120" s="1">
        <f>SUM(Table1[Salary])</f>
        <v>3119391523.8580012</v>
      </c>
      <c r="M120" s="15">
        <f>AVERAGE(Table1[Salary])</f>
        <v>3119391.5238580015</v>
      </c>
      <c r="N120" s="29">
        <f>SUM(Table1[Bonus])</f>
        <v>308244983.02069992</v>
      </c>
    </row>
    <row r="121" spans="1:14" ht="12.75" customHeight="1" x14ac:dyDescent="0.25">
      <c r="A121" s="2">
        <v>66</v>
      </c>
      <c r="B121" s="10" t="s">
        <v>212</v>
      </c>
      <c r="C121" s="10" t="s">
        <v>213</v>
      </c>
      <c r="D121" s="10" t="s">
        <v>128</v>
      </c>
      <c r="E121" s="10" t="s">
        <v>27</v>
      </c>
      <c r="F121" s="10" t="s">
        <v>85</v>
      </c>
      <c r="G121" s="10" t="s">
        <v>71</v>
      </c>
      <c r="H121" s="13">
        <v>2869668.676</v>
      </c>
      <c r="I121" s="15">
        <f>IF(Table1[[#This Row],[Salary]]&lt;1000000,Table1[[#This Row],[Salary]]*0.05,Table1[[#This Row],[Salary]]*0.1)</f>
        <v>286966.8676</v>
      </c>
      <c r="J121" s="15">
        <f>Table1[[#This Row],[Salary]]+Table1[[#This Row],[Bonus]]</f>
        <v>3156635.5436</v>
      </c>
      <c r="K121" s="25">
        <f>COUNTA(Table1[Employee_ID])</f>
        <v>1000</v>
      </c>
      <c r="L121" s="1">
        <f>SUM(Table1[Salary])</f>
        <v>3119391523.8580012</v>
      </c>
      <c r="M121" s="15">
        <f>AVERAGE(Table1[Salary])</f>
        <v>3119391.5238580015</v>
      </c>
      <c r="N121" s="29">
        <f>SUM(Table1[Bonus])</f>
        <v>308244983.02069992</v>
      </c>
    </row>
    <row r="122" spans="1:14" ht="12.75" customHeight="1" x14ac:dyDescent="0.25">
      <c r="A122" s="2">
        <v>66</v>
      </c>
      <c r="B122" s="10" t="s">
        <v>718</v>
      </c>
      <c r="C122" s="10" t="s">
        <v>719</v>
      </c>
      <c r="D122" s="10" t="s">
        <v>174</v>
      </c>
      <c r="E122" s="10" t="s">
        <v>0</v>
      </c>
      <c r="F122" s="10" t="s">
        <v>89</v>
      </c>
      <c r="G122" s="10" t="s">
        <v>56</v>
      </c>
      <c r="H122" s="13">
        <v>2273876.4900000002</v>
      </c>
      <c r="I122" s="15">
        <f>IF(Table1[[#This Row],[Salary]]&lt;1000000,Table1[[#This Row],[Salary]]*0.05,Table1[[#This Row],[Salary]]*0.1)</f>
        <v>227387.64900000003</v>
      </c>
      <c r="J122" s="15">
        <f>Table1[[#This Row],[Salary]]+Table1[[#This Row],[Bonus]]</f>
        <v>2501264.1390000004</v>
      </c>
      <c r="K122" s="25">
        <f>COUNTA(Table1[Employee_ID])</f>
        <v>1000</v>
      </c>
      <c r="L122" s="1">
        <f>SUM(Table1[Salary])</f>
        <v>3119391523.8580012</v>
      </c>
      <c r="M122" s="15">
        <f>AVERAGE(Table1[Salary])</f>
        <v>3119391.5238580015</v>
      </c>
      <c r="N122" s="29">
        <f>SUM(Table1[Bonus])</f>
        <v>308244983.02069992</v>
      </c>
    </row>
    <row r="123" spans="1:14" ht="12.75" customHeight="1" x14ac:dyDescent="0.25">
      <c r="A123" s="2">
        <v>67</v>
      </c>
      <c r="B123" s="10" t="s">
        <v>214</v>
      </c>
      <c r="C123" s="10" t="s">
        <v>215</v>
      </c>
      <c r="D123" s="10" t="s">
        <v>125</v>
      </c>
      <c r="E123" s="10" t="s">
        <v>10</v>
      </c>
      <c r="F123" s="10" t="s">
        <v>78</v>
      </c>
      <c r="G123" s="10" t="s">
        <v>29</v>
      </c>
      <c r="H123" s="13">
        <v>5500626.4120000005</v>
      </c>
      <c r="I123" s="15">
        <f>IF(Table1[[#This Row],[Salary]]&lt;1000000,Table1[[#This Row],[Salary]]*0.05,Table1[[#This Row],[Salary]]*0.1)</f>
        <v>550062.64120000007</v>
      </c>
      <c r="J123" s="15">
        <f>Table1[[#This Row],[Salary]]+Table1[[#This Row],[Bonus]]</f>
        <v>6050689.0532000009</v>
      </c>
      <c r="K123" s="25">
        <f>COUNTA(Table1[Employee_ID])</f>
        <v>1000</v>
      </c>
      <c r="L123" s="1">
        <f>SUM(Table1[Salary])</f>
        <v>3119391523.8580012</v>
      </c>
      <c r="M123" s="15">
        <f>AVERAGE(Table1[Salary])</f>
        <v>3119391.5238580015</v>
      </c>
      <c r="N123" s="29">
        <f>SUM(Table1[Bonus])</f>
        <v>308244983.02069992</v>
      </c>
    </row>
    <row r="124" spans="1:14" ht="12.75" customHeight="1" x14ac:dyDescent="0.25">
      <c r="A124" s="2">
        <v>67</v>
      </c>
      <c r="B124" s="10" t="s">
        <v>788</v>
      </c>
      <c r="C124" s="10" t="s">
        <v>789</v>
      </c>
      <c r="D124" s="10" t="s">
        <v>32</v>
      </c>
      <c r="E124" s="10" t="s">
        <v>0</v>
      </c>
      <c r="F124" s="10" t="s">
        <v>22</v>
      </c>
      <c r="G124" s="10" t="s">
        <v>23</v>
      </c>
      <c r="H124" s="13">
        <v>4980953.0379999997</v>
      </c>
      <c r="I124" s="15">
        <f>IF(Table1[[#This Row],[Salary]]&lt;1000000,Table1[[#This Row],[Salary]]*0.05,Table1[[#This Row],[Salary]]*0.1)</f>
        <v>498095.30379999999</v>
      </c>
      <c r="J124" s="15">
        <f>Table1[[#This Row],[Salary]]+Table1[[#This Row],[Bonus]]</f>
        <v>5479048.3417999996</v>
      </c>
      <c r="K124" s="25">
        <f>COUNTA(Table1[Employee_ID])</f>
        <v>1000</v>
      </c>
      <c r="L124" s="1">
        <f>SUM(Table1[Salary])</f>
        <v>3119391523.8580012</v>
      </c>
      <c r="M124" s="15">
        <f>AVERAGE(Table1[Salary])</f>
        <v>3119391.5238580015</v>
      </c>
      <c r="N124" s="29">
        <f>SUM(Table1[Bonus])</f>
        <v>308244983.02069992</v>
      </c>
    </row>
    <row r="125" spans="1:14" ht="12.75" customHeight="1" x14ac:dyDescent="0.25">
      <c r="A125" s="2">
        <v>68</v>
      </c>
      <c r="B125" s="10" t="s">
        <v>216</v>
      </c>
      <c r="C125" s="10" t="s">
        <v>217</v>
      </c>
      <c r="D125" s="10" t="s">
        <v>134</v>
      </c>
      <c r="E125" s="10" t="s">
        <v>27</v>
      </c>
      <c r="F125" s="10" t="s">
        <v>106</v>
      </c>
      <c r="G125" s="10" t="s">
        <v>23</v>
      </c>
      <c r="H125" s="13">
        <v>3683906.298</v>
      </c>
      <c r="I125" s="15">
        <f>IF(Table1[[#This Row],[Salary]]&lt;1000000,Table1[[#This Row],[Salary]]*0.05,Table1[[#This Row],[Salary]]*0.1)</f>
        <v>368390.6298</v>
      </c>
      <c r="J125" s="15">
        <f>Table1[[#This Row],[Salary]]+Table1[[#This Row],[Bonus]]</f>
        <v>4052296.9277999997</v>
      </c>
      <c r="K125" s="25">
        <f>COUNTA(Table1[Employee_ID])</f>
        <v>1000</v>
      </c>
      <c r="L125" s="1">
        <f>SUM(Table1[Salary])</f>
        <v>3119391523.8580012</v>
      </c>
      <c r="M125" s="15">
        <f>AVERAGE(Table1[Salary])</f>
        <v>3119391.5238580015</v>
      </c>
      <c r="N125" s="29">
        <f>SUM(Table1[Bonus])</f>
        <v>308244983.02069992</v>
      </c>
    </row>
    <row r="126" spans="1:14" ht="12.75" customHeight="1" x14ac:dyDescent="0.25">
      <c r="A126" s="2">
        <v>68</v>
      </c>
      <c r="B126" s="10" t="s">
        <v>795</v>
      </c>
      <c r="C126" s="10" t="s">
        <v>796</v>
      </c>
      <c r="D126" s="10" t="s">
        <v>21</v>
      </c>
      <c r="E126" s="10" t="s">
        <v>0</v>
      </c>
      <c r="F126" s="10" t="s">
        <v>70</v>
      </c>
      <c r="G126" s="10" t="s">
        <v>71</v>
      </c>
      <c r="H126" s="13">
        <v>2214558.5720000002</v>
      </c>
      <c r="I126" s="15">
        <f>IF(Table1[[#This Row],[Salary]]&lt;1000000,Table1[[#This Row],[Salary]]*0.05,Table1[[#This Row],[Salary]]*0.1)</f>
        <v>221455.85720000003</v>
      </c>
      <c r="J126" s="15">
        <f>Table1[[#This Row],[Salary]]+Table1[[#This Row],[Bonus]]</f>
        <v>2436014.4292000001</v>
      </c>
      <c r="K126" s="25">
        <f>COUNTA(Table1[Employee_ID])</f>
        <v>1000</v>
      </c>
      <c r="L126" s="1">
        <f>SUM(Table1[Salary])</f>
        <v>3119391523.8580012</v>
      </c>
      <c r="M126" s="15">
        <f>AVERAGE(Table1[Salary])</f>
        <v>3119391.5238580015</v>
      </c>
      <c r="N126" s="29">
        <f>SUM(Table1[Bonus])</f>
        <v>308244983.02069992</v>
      </c>
    </row>
    <row r="127" spans="1:14" ht="12.75" customHeight="1" x14ac:dyDescent="0.25">
      <c r="A127" s="2">
        <v>69</v>
      </c>
      <c r="B127" s="10" t="s">
        <v>218</v>
      </c>
      <c r="C127" s="10" t="s">
        <v>219</v>
      </c>
      <c r="D127" s="10" t="s">
        <v>137</v>
      </c>
      <c r="E127" s="10" t="s">
        <v>2</v>
      </c>
      <c r="F127" s="10" t="s">
        <v>102</v>
      </c>
      <c r="G127" s="10" t="s">
        <v>56</v>
      </c>
      <c r="H127" s="13">
        <v>2451170.2879999997</v>
      </c>
      <c r="I127" s="15">
        <f>IF(Table1[[#This Row],[Salary]]&lt;1000000,Table1[[#This Row],[Salary]]*0.05,Table1[[#This Row],[Salary]]*0.1)</f>
        <v>245117.02879999997</v>
      </c>
      <c r="J127" s="15">
        <f>Table1[[#This Row],[Salary]]+Table1[[#This Row],[Bonus]]</f>
        <v>2696287.3167999997</v>
      </c>
      <c r="K127" s="25">
        <f>COUNTA(Table1[Employee_ID])</f>
        <v>1000</v>
      </c>
      <c r="L127" s="1">
        <f>SUM(Table1[Salary])</f>
        <v>3119391523.8580012</v>
      </c>
      <c r="M127" s="15">
        <f>AVERAGE(Table1[Salary])</f>
        <v>3119391.5238580015</v>
      </c>
      <c r="N127" s="29">
        <f>SUM(Table1[Bonus])</f>
        <v>308244983.02069992</v>
      </c>
    </row>
    <row r="128" spans="1:14" ht="12.75" customHeight="1" x14ac:dyDescent="0.25">
      <c r="A128" s="2">
        <v>69</v>
      </c>
      <c r="B128" s="10" t="s">
        <v>294</v>
      </c>
      <c r="C128" s="10" t="s">
        <v>807</v>
      </c>
      <c r="D128" s="10" t="s">
        <v>46</v>
      </c>
      <c r="E128" s="10" t="s">
        <v>0</v>
      </c>
      <c r="F128" s="10" t="s">
        <v>89</v>
      </c>
      <c r="G128" s="10" t="s">
        <v>29</v>
      </c>
      <c r="H128" s="13">
        <v>5536626.6620000005</v>
      </c>
      <c r="I128" s="15">
        <f>IF(Table1[[#This Row],[Salary]]&lt;1000000,Table1[[#This Row],[Salary]]*0.05,Table1[[#This Row],[Salary]]*0.1)</f>
        <v>553662.66620000009</v>
      </c>
      <c r="J128" s="15">
        <f>Table1[[#This Row],[Salary]]+Table1[[#This Row],[Bonus]]</f>
        <v>6090289.3282000003</v>
      </c>
      <c r="K128" s="25">
        <f>COUNTA(Table1[Employee_ID])</f>
        <v>1000</v>
      </c>
      <c r="L128" s="1">
        <f>SUM(Table1[Salary])</f>
        <v>3119391523.8580012</v>
      </c>
      <c r="M128" s="15">
        <f>AVERAGE(Table1[Salary])</f>
        <v>3119391.5238580015</v>
      </c>
      <c r="N128" s="29">
        <f>SUM(Table1[Bonus])</f>
        <v>308244983.02069992</v>
      </c>
    </row>
    <row r="129" spans="1:14" ht="12.75" customHeight="1" x14ac:dyDescent="0.25">
      <c r="A129" s="2">
        <v>70</v>
      </c>
      <c r="B129" s="10" t="s">
        <v>220</v>
      </c>
      <c r="C129" s="10" t="s">
        <v>221</v>
      </c>
      <c r="D129" s="10" t="s">
        <v>140</v>
      </c>
      <c r="E129" s="10" t="s">
        <v>14</v>
      </c>
      <c r="F129" s="10" t="s">
        <v>222</v>
      </c>
      <c r="G129" s="10" t="s">
        <v>48</v>
      </c>
      <c r="H129" s="13">
        <v>3062237.074</v>
      </c>
      <c r="I129" s="15">
        <f>IF(Table1[[#This Row],[Salary]]&lt;1000000,Table1[[#This Row],[Salary]]*0.05,Table1[[#This Row],[Salary]]*0.1)</f>
        <v>306223.70740000001</v>
      </c>
      <c r="J129" s="15">
        <f>Table1[[#This Row],[Salary]]+Table1[[#This Row],[Bonus]]</f>
        <v>3368460.7814000002</v>
      </c>
      <c r="K129" s="25">
        <f>COUNTA(Table1[Employee_ID])</f>
        <v>1000</v>
      </c>
      <c r="L129" s="1">
        <f>SUM(Table1[Salary])</f>
        <v>3119391523.8580012</v>
      </c>
      <c r="M129" s="15">
        <f>AVERAGE(Table1[Salary])</f>
        <v>3119391.5238580015</v>
      </c>
      <c r="N129" s="29">
        <f>SUM(Table1[Bonus])</f>
        <v>308244983.02069992</v>
      </c>
    </row>
    <row r="130" spans="1:14" ht="12.75" customHeight="1" x14ac:dyDescent="0.25">
      <c r="A130" s="2">
        <v>70</v>
      </c>
      <c r="B130" s="10" t="s">
        <v>333</v>
      </c>
      <c r="C130" s="10" t="s">
        <v>810</v>
      </c>
      <c r="D130" s="10" t="s">
        <v>96</v>
      </c>
      <c r="E130" s="10" t="s">
        <v>0</v>
      </c>
      <c r="F130" s="10" t="s">
        <v>22</v>
      </c>
      <c r="G130" s="10" t="s">
        <v>56</v>
      </c>
      <c r="H130" s="13">
        <v>3488680.5860000001</v>
      </c>
      <c r="I130" s="15">
        <f>IF(Table1[[#This Row],[Salary]]&lt;1000000,Table1[[#This Row],[Salary]]*0.05,Table1[[#This Row],[Salary]]*0.1)</f>
        <v>348868.05860000005</v>
      </c>
      <c r="J130" s="15">
        <f>Table1[[#This Row],[Salary]]+Table1[[#This Row],[Bonus]]</f>
        <v>3837548.6446000002</v>
      </c>
      <c r="K130" s="25">
        <f>COUNTA(Table1[Employee_ID])</f>
        <v>1000</v>
      </c>
      <c r="L130" s="1">
        <f>SUM(Table1[Salary])</f>
        <v>3119391523.8580012</v>
      </c>
      <c r="M130" s="15">
        <f>AVERAGE(Table1[Salary])</f>
        <v>3119391.5238580015</v>
      </c>
      <c r="N130" s="29">
        <f>SUM(Table1[Bonus])</f>
        <v>308244983.02069992</v>
      </c>
    </row>
    <row r="131" spans="1:14" ht="12.75" customHeight="1" x14ac:dyDescent="0.25">
      <c r="A131" s="2">
        <v>71</v>
      </c>
      <c r="B131" s="10" t="s">
        <v>154</v>
      </c>
      <c r="C131" s="10" t="s">
        <v>223</v>
      </c>
      <c r="D131" s="10" t="s">
        <v>143</v>
      </c>
      <c r="E131" s="10" t="s">
        <v>27</v>
      </c>
      <c r="F131" s="10" t="s">
        <v>28</v>
      </c>
      <c r="G131" s="10" t="s">
        <v>56</v>
      </c>
      <c r="H131" s="13">
        <v>5337796.8440000005</v>
      </c>
      <c r="I131" s="15">
        <f>IF(Table1[[#This Row],[Salary]]&lt;1000000,Table1[[#This Row],[Salary]]*0.05,Table1[[#This Row],[Salary]]*0.1)</f>
        <v>533779.68440000003</v>
      </c>
      <c r="J131" s="15">
        <f>Table1[[#This Row],[Salary]]+Table1[[#This Row],[Bonus]]</f>
        <v>5871576.5284000002</v>
      </c>
      <c r="K131" s="25">
        <f>COUNTA(Table1[Employee_ID])</f>
        <v>1000</v>
      </c>
      <c r="L131" s="1">
        <f>SUM(Table1[Salary])</f>
        <v>3119391523.8580012</v>
      </c>
      <c r="M131" s="15">
        <f>AVERAGE(Table1[Salary])</f>
        <v>3119391.5238580015</v>
      </c>
      <c r="N131" s="29">
        <f>SUM(Table1[Bonus])</f>
        <v>308244983.02069992</v>
      </c>
    </row>
    <row r="132" spans="1:14" ht="12.75" customHeight="1" x14ac:dyDescent="0.25">
      <c r="A132" s="2">
        <v>71</v>
      </c>
      <c r="B132" s="10" t="s">
        <v>811</v>
      </c>
      <c r="C132" s="10" t="s">
        <v>812</v>
      </c>
      <c r="D132" s="10" t="s">
        <v>99</v>
      </c>
      <c r="E132" s="10" t="s">
        <v>0</v>
      </c>
      <c r="F132" s="10" t="s">
        <v>70</v>
      </c>
      <c r="G132" s="10" t="s">
        <v>23</v>
      </c>
      <c r="H132" s="13">
        <v>2223860.92</v>
      </c>
      <c r="I132" s="15">
        <f>IF(Table1[[#This Row],[Salary]]&lt;1000000,Table1[[#This Row],[Salary]]*0.05,Table1[[#This Row],[Salary]]*0.1)</f>
        <v>222386.092</v>
      </c>
      <c r="J132" s="15">
        <f>Table1[[#This Row],[Salary]]+Table1[[#This Row],[Bonus]]</f>
        <v>2446247.0120000001</v>
      </c>
      <c r="K132" s="25">
        <f>COUNTA(Table1[Employee_ID])</f>
        <v>1000</v>
      </c>
      <c r="L132" s="1">
        <f>SUM(Table1[Salary])</f>
        <v>3119391523.8580012</v>
      </c>
      <c r="M132" s="15">
        <f>AVERAGE(Table1[Salary])</f>
        <v>3119391.5238580015</v>
      </c>
      <c r="N132" s="29">
        <f>SUM(Table1[Bonus])</f>
        <v>308244983.02069992</v>
      </c>
    </row>
    <row r="133" spans="1:14" ht="12.75" customHeight="1" x14ac:dyDescent="0.25">
      <c r="A133" s="2">
        <v>72</v>
      </c>
      <c r="B133" s="10" t="s">
        <v>224</v>
      </c>
      <c r="C133" s="10" t="s">
        <v>225</v>
      </c>
      <c r="D133" s="10" t="s">
        <v>146</v>
      </c>
      <c r="E133" s="10" t="s">
        <v>10</v>
      </c>
      <c r="F133" s="10" t="s">
        <v>109</v>
      </c>
      <c r="G133" s="10" t="s">
        <v>35</v>
      </c>
      <c r="H133" s="13">
        <v>5435319.9179999996</v>
      </c>
      <c r="I133" s="15">
        <f>IF(Table1[[#This Row],[Salary]]&lt;1000000,Table1[[#This Row],[Salary]]*0.05,Table1[[#This Row],[Salary]]*0.1)</f>
        <v>543531.99179999996</v>
      </c>
      <c r="J133" s="15">
        <f>Table1[[#This Row],[Salary]]+Table1[[#This Row],[Bonus]]</f>
        <v>5978851.9097999996</v>
      </c>
      <c r="K133" s="25">
        <f>COUNTA(Table1[Employee_ID])</f>
        <v>1000</v>
      </c>
      <c r="L133" s="1">
        <f>SUM(Table1[Salary])</f>
        <v>3119391523.8580012</v>
      </c>
      <c r="M133" s="15">
        <f>AVERAGE(Table1[Salary])</f>
        <v>3119391.5238580015</v>
      </c>
      <c r="N133" s="29">
        <f>SUM(Table1[Bonus])</f>
        <v>308244983.02069992</v>
      </c>
    </row>
    <row r="134" spans="1:14" ht="12.75" customHeight="1" x14ac:dyDescent="0.25">
      <c r="A134" s="2">
        <v>72</v>
      </c>
      <c r="B134" s="10" t="s">
        <v>819</v>
      </c>
      <c r="C134" s="10" t="s">
        <v>820</v>
      </c>
      <c r="D134" s="10" t="s">
        <v>137</v>
      </c>
      <c r="E134" s="10" t="s">
        <v>0</v>
      </c>
      <c r="F134" s="10" t="s">
        <v>89</v>
      </c>
      <c r="G134" s="10" t="s">
        <v>71</v>
      </c>
      <c r="H134" s="13">
        <v>5377012.9220000003</v>
      </c>
      <c r="I134" s="15">
        <f>IF(Table1[[#This Row],[Salary]]&lt;1000000,Table1[[#This Row],[Salary]]*0.05,Table1[[#This Row],[Salary]]*0.1)</f>
        <v>537701.29220000003</v>
      </c>
      <c r="J134" s="15">
        <f>Table1[[#This Row],[Salary]]+Table1[[#This Row],[Bonus]]</f>
        <v>5914714.2142000003</v>
      </c>
      <c r="K134" s="25">
        <f>COUNTA(Table1[Employee_ID])</f>
        <v>1000</v>
      </c>
      <c r="L134" s="1">
        <f>SUM(Table1[Salary])</f>
        <v>3119391523.8580012</v>
      </c>
      <c r="M134" s="15">
        <f>AVERAGE(Table1[Salary])</f>
        <v>3119391.5238580015</v>
      </c>
      <c r="N134" s="29">
        <f>SUM(Table1[Bonus])</f>
        <v>308244983.02069992</v>
      </c>
    </row>
    <row r="135" spans="1:14" ht="12.75" customHeight="1" x14ac:dyDescent="0.25">
      <c r="A135" s="2">
        <v>73</v>
      </c>
      <c r="B135" s="10" t="s">
        <v>226</v>
      </c>
      <c r="C135" s="10" t="s">
        <v>227</v>
      </c>
      <c r="D135" s="10" t="s">
        <v>149</v>
      </c>
      <c r="E135" s="10" t="s">
        <v>27</v>
      </c>
      <c r="F135" s="10" t="s">
        <v>85</v>
      </c>
      <c r="G135" s="10" t="s">
        <v>56</v>
      </c>
      <c r="H135" s="13">
        <v>5007338.4520000005</v>
      </c>
      <c r="I135" s="15">
        <f>IF(Table1[[#This Row],[Salary]]&lt;1000000,Table1[[#This Row],[Salary]]*0.05,Table1[[#This Row],[Salary]]*0.1)</f>
        <v>500733.8452000001</v>
      </c>
      <c r="J135" s="15">
        <f>Table1[[#This Row],[Salary]]+Table1[[#This Row],[Bonus]]</f>
        <v>5508072.2972000008</v>
      </c>
      <c r="K135" s="25">
        <f>COUNTA(Table1[Employee_ID])</f>
        <v>1000</v>
      </c>
      <c r="L135" s="1">
        <f>SUM(Table1[Salary])</f>
        <v>3119391523.8580012</v>
      </c>
      <c r="M135" s="15">
        <f>AVERAGE(Table1[Salary])</f>
        <v>3119391.5238580015</v>
      </c>
      <c r="N135" s="29">
        <f>SUM(Table1[Bonus])</f>
        <v>308244983.02069992</v>
      </c>
    </row>
    <row r="136" spans="1:14" ht="12.75" customHeight="1" x14ac:dyDescent="0.25">
      <c r="A136" s="2">
        <v>73</v>
      </c>
      <c r="B136" s="10" t="s">
        <v>108</v>
      </c>
      <c r="C136" s="10" t="s">
        <v>821</v>
      </c>
      <c r="D136" s="10" t="s">
        <v>140</v>
      </c>
      <c r="E136" s="10" t="s">
        <v>0</v>
      </c>
      <c r="F136" s="10" t="s">
        <v>22</v>
      </c>
      <c r="G136" s="10" t="s">
        <v>29</v>
      </c>
      <c r="H136" s="13">
        <v>3732944.76</v>
      </c>
      <c r="I136" s="15">
        <f>IF(Table1[[#This Row],[Salary]]&lt;1000000,Table1[[#This Row],[Salary]]*0.05,Table1[[#This Row],[Salary]]*0.1)</f>
        <v>373294.47600000002</v>
      </c>
      <c r="J136" s="15">
        <f>Table1[[#This Row],[Salary]]+Table1[[#This Row],[Bonus]]</f>
        <v>4106239.2359999996</v>
      </c>
      <c r="K136" s="25">
        <f>COUNTA(Table1[Employee_ID])</f>
        <v>1000</v>
      </c>
      <c r="L136" s="1">
        <f>SUM(Table1[Salary])</f>
        <v>3119391523.8580012</v>
      </c>
      <c r="M136" s="15">
        <f>AVERAGE(Table1[Salary])</f>
        <v>3119391.5238580015</v>
      </c>
      <c r="N136" s="29">
        <f>SUM(Table1[Bonus])</f>
        <v>308244983.02069992</v>
      </c>
    </row>
    <row r="137" spans="1:14" ht="12.75" customHeight="1" x14ac:dyDescent="0.25">
      <c r="A137" s="2">
        <v>74</v>
      </c>
      <c r="B137" s="10" t="s">
        <v>228</v>
      </c>
      <c r="C137" s="10" t="s">
        <v>229</v>
      </c>
      <c r="D137" s="10" t="s">
        <v>88</v>
      </c>
      <c r="E137" s="10" t="s">
        <v>2</v>
      </c>
      <c r="F137" s="10" t="s">
        <v>60</v>
      </c>
      <c r="G137" s="10" t="s">
        <v>23</v>
      </c>
      <c r="H137" s="13">
        <v>3148981.6439999999</v>
      </c>
      <c r="I137" s="15">
        <f>IF(Table1[[#This Row],[Salary]]&lt;1000000,Table1[[#This Row],[Salary]]*0.05,Table1[[#This Row],[Salary]]*0.1)</f>
        <v>314898.16440000001</v>
      </c>
      <c r="J137" s="15">
        <f>Table1[[#This Row],[Salary]]+Table1[[#This Row],[Bonus]]</f>
        <v>3463879.8084</v>
      </c>
      <c r="K137" s="25">
        <f>COUNTA(Table1[Employee_ID])</f>
        <v>1000</v>
      </c>
      <c r="L137" s="1">
        <f>SUM(Table1[Salary])</f>
        <v>3119391523.8580012</v>
      </c>
      <c r="M137" s="15">
        <f>AVERAGE(Table1[Salary])</f>
        <v>3119391.5238580015</v>
      </c>
      <c r="N137" s="29">
        <f>SUM(Table1[Bonus])</f>
        <v>308244983.02069992</v>
      </c>
    </row>
    <row r="138" spans="1:14" ht="12.75" customHeight="1" x14ac:dyDescent="0.25">
      <c r="A138" s="2">
        <v>74</v>
      </c>
      <c r="B138" s="10" t="s">
        <v>822</v>
      </c>
      <c r="C138" s="10" t="s">
        <v>823</v>
      </c>
      <c r="D138" s="10" t="s">
        <v>143</v>
      </c>
      <c r="E138" s="10" t="s">
        <v>0</v>
      </c>
      <c r="F138" s="10" t="s">
        <v>70</v>
      </c>
      <c r="G138" s="10" t="s">
        <v>56</v>
      </c>
      <c r="H138" s="13">
        <v>3236095.8360000001</v>
      </c>
      <c r="I138" s="15">
        <f>IF(Table1[[#This Row],[Salary]]&lt;1000000,Table1[[#This Row],[Salary]]*0.05,Table1[[#This Row],[Salary]]*0.1)</f>
        <v>323609.58360000001</v>
      </c>
      <c r="J138" s="15">
        <f>Table1[[#This Row],[Salary]]+Table1[[#This Row],[Bonus]]</f>
        <v>3559705.4196000001</v>
      </c>
      <c r="K138" s="25">
        <f>COUNTA(Table1[Employee_ID])</f>
        <v>1000</v>
      </c>
      <c r="L138" s="1">
        <f>SUM(Table1[Salary])</f>
        <v>3119391523.8580012</v>
      </c>
      <c r="M138" s="15">
        <f>AVERAGE(Table1[Salary])</f>
        <v>3119391.5238580015</v>
      </c>
      <c r="N138" s="29">
        <f>SUM(Table1[Bonus])</f>
        <v>308244983.02069992</v>
      </c>
    </row>
    <row r="139" spans="1:14" ht="12.75" customHeight="1" x14ac:dyDescent="0.25">
      <c r="A139" s="2">
        <v>75</v>
      </c>
      <c r="B139" s="10" t="s">
        <v>230</v>
      </c>
      <c r="C139" s="10" t="s">
        <v>231</v>
      </c>
      <c r="D139" s="10" t="s">
        <v>26</v>
      </c>
      <c r="E139" s="10" t="s">
        <v>33</v>
      </c>
      <c r="F139" s="10" t="s">
        <v>55</v>
      </c>
      <c r="G139" s="10" t="s">
        <v>35</v>
      </c>
      <c r="H139" s="13">
        <v>2791048</v>
      </c>
      <c r="I139" s="15">
        <f>IF(Table1[[#This Row],[Salary]]&lt;1000000,Table1[[#This Row],[Salary]]*0.05,Table1[[#This Row],[Salary]]*0.1)</f>
        <v>279104.8</v>
      </c>
      <c r="J139" s="15">
        <f>Table1[[#This Row],[Salary]]+Table1[[#This Row],[Bonus]]</f>
        <v>3070152.8</v>
      </c>
      <c r="K139" s="25">
        <f>COUNTA(Table1[Employee_ID])</f>
        <v>1000</v>
      </c>
      <c r="L139" s="1">
        <f>SUM(Table1[Salary])</f>
        <v>3119391523.8580012</v>
      </c>
      <c r="M139" s="15">
        <f>AVERAGE(Table1[Salary])</f>
        <v>3119391.5238580015</v>
      </c>
      <c r="N139" s="29">
        <f>SUM(Table1[Bonus])</f>
        <v>308244983.02069992</v>
      </c>
    </row>
    <row r="140" spans="1:14" ht="12.75" customHeight="1" x14ac:dyDescent="0.25">
      <c r="A140" s="2">
        <v>75</v>
      </c>
      <c r="B140" s="10" t="s">
        <v>829</v>
      </c>
      <c r="C140" s="10" t="s">
        <v>830</v>
      </c>
      <c r="D140" s="10" t="s">
        <v>156</v>
      </c>
      <c r="E140" s="10" t="s">
        <v>0</v>
      </c>
      <c r="F140" s="10" t="s">
        <v>89</v>
      </c>
      <c r="G140" s="10" t="s">
        <v>29</v>
      </c>
      <c r="H140" s="13">
        <v>5935765.9520000005</v>
      </c>
      <c r="I140" s="15">
        <f>IF(Table1[[#This Row],[Salary]]&lt;1000000,Table1[[#This Row],[Salary]]*0.05,Table1[[#This Row],[Salary]]*0.1)</f>
        <v>593576.5952000001</v>
      </c>
      <c r="J140" s="15">
        <f>Table1[[#This Row],[Salary]]+Table1[[#This Row],[Bonus]]</f>
        <v>6529342.5472000008</v>
      </c>
      <c r="K140" s="25">
        <f>COUNTA(Table1[Employee_ID])</f>
        <v>1000</v>
      </c>
      <c r="L140" s="1">
        <f>SUM(Table1[Salary])</f>
        <v>3119391523.8580012</v>
      </c>
      <c r="M140" s="15">
        <f>AVERAGE(Table1[Salary])</f>
        <v>3119391.5238580015</v>
      </c>
      <c r="N140" s="29">
        <f>SUM(Table1[Bonus])</f>
        <v>308244983.02069992</v>
      </c>
    </row>
    <row r="141" spans="1:14" ht="12.75" customHeight="1" x14ac:dyDescent="0.25">
      <c r="A141" s="2">
        <v>76</v>
      </c>
      <c r="B141" s="10" t="s">
        <v>232</v>
      </c>
      <c r="C141" s="10" t="s">
        <v>233</v>
      </c>
      <c r="D141" s="10" t="s">
        <v>156</v>
      </c>
      <c r="E141" s="10" t="s">
        <v>14</v>
      </c>
      <c r="F141" s="10" t="s">
        <v>234</v>
      </c>
      <c r="G141" s="10" t="s">
        <v>35</v>
      </c>
      <c r="H141" s="13">
        <v>3922872.1679999996</v>
      </c>
      <c r="I141" s="15">
        <f>IF(Table1[[#This Row],[Salary]]&lt;1000000,Table1[[#This Row],[Salary]]*0.05,Table1[[#This Row],[Salary]]*0.1)</f>
        <v>392287.21679999999</v>
      </c>
      <c r="J141" s="15">
        <f>Table1[[#This Row],[Salary]]+Table1[[#This Row],[Bonus]]</f>
        <v>4315159.3847999992</v>
      </c>
      <c r="K141" s="25">
        <f>COUNTA(Table1[Employee_ID])</f>
        <v>1000</v>
      </c>
      <c r="L141" s="1">
        <f>SUM(Table1[Salary])</f>
        <v>3119391523.8580012</v>
      </c>
      <c r="M141" s="15">
        <f>AVERAGE(Table1[Salary])</f>
        <v>3119391.5238580015</v>
      </c>
      <c r="N141" s="29">
        <f>SUM(Table1[Bonus])</f>
        <v>308244983.02069992</v>
      </c>
    </row>
    <row r="142" spans="1:14" ht="12.75" customHeight="1" x14ac:dyDescent="0.25">
      <c r="A142" s="2">
        <v>76</v>
      </c>
      <c r="B142" s="10" t="s">
        <v>831</v>
      </c>
      <c r="C142" s="10" t="s">
        <v>832</v>
      </c>
      <c r="D142" s="10" t="s">
        <v>159</v>
      </c>
      <c r="E142" s="10" t="s">
        <v>0</v>
      </c>
      <c r="F142" s="10" t="s">
        <v>22</v>
      </c>
      <c r="G142" s="10" t="s">
        <v>23</v>
      </c>
      <c r="H142" s="13">
        <v>3045426.852</v>
      </c>
      <c r="I142" s="15">
        <f>IF(Table1[[#This Row],[Salary]]&lt;1000000,Table1[[#This Row],[Salary]]*0.05,Table1[[#This Row],[Salary]]*0.1)</f>
        <v>304542.68520000001</v>
      </c>
      <c r="J142" s="15">
        <f>Table1[[#This Row],[Salary]]+Table1[[#This Row],[Bonus]]</f>
        <v>3349969.5372000001</v>
      </c>
      <c r="K142" s="25">
        <f>COUNTA(Table1[Employee_ID])</f>
        <v>1000</v>
      </c>
      <c r="L142" s="1">
        <f>SUM(Table1[Salary])</f>
        <v>3119391523.8580012</v>
      </c>
      <c r="M142" s="15">
        <f>AVERAGE(Table1[Salary])</f>
        <v>3119391.5238580015</v>
      </c>
      <c r="N142" s="29">
        <f>SUM(Table1[Bonus])</f>
        <v>308244983.02069992</v>
      </c>
    </row>
    <row r="143" spans="1:14" ht="12.75" customHeight="1" x14ac:dyDescent="0.25">
      <c r="A143" s="2">
        <v>77</v>
      </c>
      <c r="B143" s="10" t="s">
        <v>235</v>
      </c>
      <c r="C143" s="10" t="s">
        <v>236</v>
      </c>
      <c r="D143" s="10" t="s">
        <v>159</v>
      </c>
      <c r="E143" s="10" t="s">
        <v>27</v>
      </c>
      <c r="F143" s="10" t="s">
        <v>106</v>
      </c>
      <c r="G143" s="10" t="s">
        <v>23</v>
      </c>
      <c r="H143" s="13">
        <v>324092.45599999995</v>
      </c>
      <c r="I143" s="15">
        <f>IF(Table1[[#This Row],[Salary]]&lt;1000000,Table1[[#This Row],[Salary]]*0.05,Table1[[#This Row],[Salary]]*0.1)</f>
        <v>16204.622799999997</v>
      </c>
      <c r="J143" s="15">
        <f>Table1[[#This Row],[Salary]]+Table1[[#This Row],[Bonus]]</f>
        <v>340297.07879999996</v>
      </c>
      <c r="K143" s="25">
        <f>COUNTA(Table1[Employee_ID])</f>
        <v>1000</v>
      </c>
      <c r="L143" s="1">
        <f>SUM(Table1[Salary])</f>
        <v>3119391523.8580012</v>
      </c>
      <c r="M143" s="15">
        <f>AVERAGE(Table1[Salary])</f>
        <v>3119391.5238580015</v>
      </c>
      <c r="N143" s="29">
        <f>SUM(Table1[Bonus])</f>
        <v>308244983.02069992</v>
      </c>
    </row>
    <row r="144" spans="1:14" ht="12.75" customHeight="1" x14ac:dyDescent="0.25">
      <c r="A144" s="2">
        <v>77</v>
      </c>
      <c r="B144" s="10" t="s">
        <v>840</v>
      </c>
      <c r="C144" s="10" t="s">
        <v>582</v>
      </c>
      <c r="D144" s="10" t="s">
        <v>177</v>
      </c>
      <c r="E144" s="10" t="s">
        <v>0</v>
      </c>
      <c r="F144" s="10" t="s">
        <v>70</v>
      </c>
      <c r="G144" s="10" t="s">
        <v>29</v>
      </c>
      <c r="H144" s="13">
        <v>1794648.1580000001</v>
      </c>
      <c r="I144" s="15">
        <f>IF(Table1[[#This Row],[Salary]]&lt;1000000,Table1[[#This Row],[Salary]]*0.05,Table1[[#This Row],[Salary]]*0.1)</f>
        <v>179464.81580000001</v>
      </c>
      <c r="J144" s="15">
        <f>Table1[[#This Row],[Salary]]+Table1[[#This Row],[Bonus]]</f>
        <v>1974112.9738</v>
      </c>
      <c r="K144" s="25">
        <f>COUNTA(Table1[Employee_ID])</f>
        <v>1000</v>
      </c>
      <c r="L144" s="1">
        <f>SUM(Table1[Salary])</f>
        <v>3119391523.8580012</v>
      </c>
      <c r="M144" s="15">
        <f>AVERAGE(Table1[Salary])</f>
        <v>3119391.5238580015</v>
      </c>
      <c r="N144" s="29">
        <f>SUM(Table1[Bonus])</f>
        <v>308244983.02069992</v>
      </c>
    </row>
    <row r="145" spans="1:14" ht="12.75" customHeight="1" x14ac:dyDescent="0.25">
      <c r="A145" s="2">
        <v>78</v>
      </c>
      <c r="B145" s="10" t="s">
        <v>237</v>
      </c>
      <c r="C145" s="10" t="s">
        <v>238</v>
      </c>
      <c r="D145" s="10" t="s">
        <v>162</v>
      </c>
      <c r="E145" s="10" t="s">
        <v>33</v>
      </c>
      <c r="F145" s="10" t="s">
        <v>34</v>
      </c>
      <c r="G145" s="10" t="s">
        <v>23</v>
      </c>
      <c r="H145" s="13">
        <v>1378967</v>
      </c>
      <c r="I145" s="15">
        <f>IF(Table1[[#This Row],[Salary]]&lt;1000000,Table1[[#This Row],[Salary]]*0.05,Table1[[#This Row],[Salary]]*0.1)</f>
        <v>137896.70000000001</v>
      </c>
      <c r="J145" s="15">
        <f>Table1[[#This Row],[Salary]]+Table1[[#This Row],[Bonus]]</f>
        <v>1516863.7</v>
      </c>
      <c r="K145" s="25">
        <f>COUNTA(Table1[Employee_ID])</f>
        <v>1000</v>
      </c>
      <c r="L145" s="1">
        <f>SUM(Table1[Salary])</f>
        <v>3119391523.8580012</v>
      </c>
      <c r="M145" s="15">
        <f>AVERAGE(Table1[Salary])</f>
        <v>3119391.5238580015</v>
      </c>
      <c r="N145" s="29">
        <f>SUM(Table1[Bonus])</f>
        <v>308244983.02069992</v>
      </c>
    </row>
    <row r="146" spans="1:14" ht="12.75" customHeight="1" x14ac:dyDescent="0.25">
      <c r="A146" s="2">
        <v>78</v>
      </c>
      <c r="B146" s="10" t="s">
        <v>270</v>
      </c>
      <c r="C146" s="10" t="s">
        <v>836</v>
      </c>
      <c r="D146" s="10" t="s">
        <v>21</v>
      </c>
      <c r="E146" s="10" t="s">
        <v>0</v>
      </c>
      <c r="F146" s="10" t="s">
        <v>89</v>
      </c>
      <c r="G146" s="10" t="s">
        <v>35</v>
      </c>
      <c r="H146" s="13">
        <v>1043417.6780000001</v>
      </c>
      <c r="I146" s="15">
        <f>IF(Table1[[#This Row],[Salary]]&lt;1000000,Table1[[#This Row],[Salary]]*0.05,Table1[[#This Row],[Salary]]*0.1)</f>
        <v>104341.76780000002</v>
      </c>
      <c r="J146" s="15">
        <f>Table1[[#This Row],[Salary]]+Table1[[#This Row],[Bonus]]</f>
        <v>1147759.4458000001</v>
      </c>
      <c r="K146" s="25">
        <f>COUNTA(Table1[Employee_ID])</f>
        <v>1000</v>
      </c>
      <c r="L146" s="1">
        <f>SUM(Table1[Salary])</f>
        <v>3119391523.8580012</v>
      </c>
      <c r="M146" s="15">
        <f>AVERAGE(Table1[Salary])</f>
        <v>3119391.5238580015</v>
      </c>
      <c r="N146" s="29">
        <f>SUM(Table1[Bonus])</f>
        <v>308244983.02069992</v>
      </c>
    </row>
    <row r="147" spans="1:14" ht="12.75" customHeight="1" x14ac:dyDescent="0.25">
      <c r="A147" s="2">
        <v>79</v>
      </c>
      <c r="B147" s="10" t="s">
        <v>239</v>
      </c>
      <c r="C147" s="10" t="s">
        <v>240</v>
      </c>
      <c r="D147" s="10" t="s">
        <v>165</v>
      </c>
      <c r="E147" s="10" t="s">
        <v>63</v>
      </c>
      <c r="F147" s="10" t="s">
        <v>64</v>
      </c>
      <c r="G147" s="10" t="s">
        <v>48</v>
      </c>
      <c r="H147" s="13">
        <v>1691948.044</v>
      </c>
      <c r="I147" s="15">
        <f>IF(Table1[[#This Row],[Salary]]&lt;1000000,Table1[[#This Row],[Salary]]*0.05,Table1[[#This Row],[Salary]]*0.1)</f>
        <v>169194.80440000002</v>
      </c>
      <c r="J147" s="15">
        <f>Table1[[#This Row],[Salary]]+Table1[[#This Row],[Bonus]]</f>
        <v>1861142.8484</v>
      </c>
      <c r="K147" s="25">
        <f>COUNTA(Table1[Employee_ID])</f>
        <v>1000</v>
      </c>
      <c r="L147" s="1">
        <f>SUM(Table1[Salary])</f>
        <v>3119391523.8580012</v>
      </c>
      <c r="M147" s="15">
        <f>AVERAGE(Table1[Salary])</f>
        <v>3119391.5238580015</v>
      </c>
      <c r="N147" s="29">
        <f>SUM(Table1[Bonus])</f>
        <v>308244983.02069992</v>
      </c>
    </row>
    <row r="148" spans="1:14" ht="12.75" customHeight="1" x14ac:dyDescent="0.25">
      <c r="A148" s="2">
        <v>79</v>
      </c>
      <c r="B148" s="10" t="s">
        <v>845</v>
      </c>
      <c r="C148" s="10" t="s">
        <v>831</v>
      </c>
      <c r="D148" s="10" t="s">
        <v>146</v>
      </c>
      <c r="E148" s="10" t="s">
        <v>0</v>
      </c>
      <c r="F148" s="10" t="s">
        <v>22</v>
      </c>
      <c r="G148" s="10" t="s">
        <v>23</v>
      </c>
      <c r="H148" s="13">
        <v>4041352.926</v>
      </c>
      <c r="I148" s="15">
        <f>IF(Table1[[#This Row],[Salary]]&lt;1000000,Table1[[#This Row],[Salary]]*0.05,Table1[[#This Row],[Salary]]*0.1)</f>
        <v>404135.29260000004</v>
      </c>
      <c r="J148" s="15">
        <f>Table1[[#This Row],[Salary]]+Table1[[#This Row],[Bonus]]</f>
        <v>4445488.2186000003</v>
      </c>
      <c r="K148" s="25">
        <f>COUNTA(Table1[Employee_ID])</f>
        <v>1000</v>
      </c>
      <c r="L148" s="1">
        <f>SUM(Table1[Salary])</f>
        <v>3119391523.8580012</v>
      </c>
      <c r="M148" s="15">
        <f>AVERAGE(Table1[Salary])</f>
        <v>3119391.5238580015</v>
      </c>
      <c r="N148" s="29">
        <f>SUM(Table1[Bonus])</f>
        <v>308244983.02069992</v>
      </c>
    </row>
    <row r="149" spans="1:14" ht="12.75" customHeight="1" x14ac:dyDescent="0.25">
      <c r="A149" s="2">
        <v>80</v>
      </c>
      <c r="B149" s="10" t="s">
        <v>135</v>
      </c>
      <c r="C149" s="10" t="s">
        <v>744</v>
      </c>
      <c r="D149" s="10" t="s">
        <v>162</v>
      </c>
      <c r="E149" s="10" t="s">
        <v>0</v>
      </c>
      <c r="F149" s="10" t="s">
        <v>70</v>
      </c>
      <c r="G149" s="10" t="s">
        <v>71</v>
      </c>
      <c r="H149" s="13">
        <v>4013695.406</v>
      </c>
      <c r="I149" s="15">
        <f>IF(Table1[[#This Row],[Salary]]&lt;1000000,Table1[[#This Row],[Salary]]*0.05,Table1[[#This Row],[Salary]]*0.1)</f>
        <v>401369.54060000001</v>
      </c>
      <c r="J149" s="15">
        <f>Table1[[#This Row],[Salary]]+Table1[[#This Row],[Bonus]]</f>
        <v>4415064.9466000004</v>
      </c>
      <c r="K149" s="25">
        <f>COUNTA(Table1[Employee_ID])</f>
        <v>1000</v>
      </c>
      <c r="L149" s="1">
        <f>SUM(Table1[Salary])</f>
        <v>3119391523.8580012</v>
      </c>
      <c r="M149" s="15">
        <f>AVERAGE(Table1[Salary])</f>
        <v>3119391.5238580015</v>
      </c>
      <c r="N149" s="29">
        <f>SUM(Table1[Bonus])</f>
        <v>308244983.02069992</v>
      </c>
    </row>
    <row r="150" spans="1:14" ht="12.75" customHeight="1" x14ac:dyDescent="0.25">
      <c r="A150" s="2">
        <v>81</v>
      </c>
      <c r="B150" s="10" t="s">
        <v>243</v>
      </c>
      <c r="C150" s="10" t="s">
        <v>244</v>
      </c>
      <c r="D150" s="10" t="s">
        <v>21</v>
      </c>
      <c r="E150" s="10" t="s">
        <v>13</v>
      </c>
      <c r="F150" s="10" t="s">
        <v>43</v>
      </c>
      <c r="G150" s="10" t="s">
        <v>29</v>
      </c>
      <c r="H150" s="13">
        <v>3768118.3160000001</v>
      </c>
      <c r="I150" s="15">
        <f>IF(Table1[[#This Row],[Salary]]&lt;1000000,Table1[[#This Row],[Salary]]*0.05,Table1[[#This Row],[Salary]]*0.1)</f>
        <v>376811.83160000003</v>
      </c>
      <c r="J150" s="15">
        <f>Table1[[#This Row],[Salary]]+Table1[[#This Row],[Bonus]]</f>
        <v>4144930.1476000003</v>
      </c>
      <c r="K150" s="25">
        <f>COUNTA(Table1[Employee_ID])</f>
        <v>1000</v>
      </c>
      <c r="L150" s="1">
        <f>SUM(Table1[Salary])</f>
        <v>3119391523.8580012</v>
      </c>
      <c r="M150" s="15">
        <f>AVERAGE(Table1[Salary])</f>
        <v>3119391.5238580015</v>
      </c>
      <c r="N150" s="29">
        <f>SUM(Table1[Bonus])</f>
        <v>308244983.02069992</v>
      </c>
    </row>
    <row r="151" spans="1:14" ht="12.75" customHeight="1" x14ac:dyDescent="0.25">
      <c r="A151" s="2">
        <v>81</v>
      </c>
      <c r="B151" s="10" t="s">
        <v>846</v>
      </c>
      <c r="C151" s="10" t="s">
        <v>863</v>
      </c>
      <c r="D151" s="10" t="s">
        <v>183</v>
      </c>
      <c r="E151" s="10" t="s">
        <v>0</v>
      </c>
      <c r="F151" s="10" t="s">
        <v>89</v>
      </c>
      <c r="G151" s="10" t="s">
        <v>29</v>
      </c>
      <c r="H151" s="13">
        <v>713459.5</v>
      </c>
      <c r="I151" s="15">
        <f>IF(Table1[[#This Row],[Salary]]&lt;1000000,Table1[[#This Row],[Salary]]*0.05,Table1[[#This Row],[Salary]]*0.1)</f>
        <v>35672.974999999999</v>
      </c>
      <c r="J151" s="15">
        <f>Table1[[#This Row],[Salary]]+Table1[[#This Row],[Bonus]]</f>
        <v>749132.47499999998</v>
      </c>
      <c r="K151" s="25">
        <f>COUNTA(Table1[Employee_ID])</f>
        <v>1000</v>
      </c>
      <c r="L151" s="1">
        <f>SUM(Table1[Salary])</f>
        <v>3119391523.8580012</v>
      </c>
      <c r="M151" s="15">
        <f>AVERAGE(Table1[Salary])</f>
        <v>3119391.5238580015</v>
      </c>
      <c r="N151" s="29">
        <f>SUM(Table1[Bonus])</f>
        <v>308244983.02069992</v>
      </c>
    </row>
    <row r="152" spans="1:14" ht="12.75" customHeight="1" x14ac:dyDescent="0.25">
      <c r="A152" s="2">
        <v>82</v>
      </c>
      <c r="B152" s="10" t="s">
        <v>245</v>
      </c>
      <c r="C152" s="10" t="s">
        <v>246</v>
      </c>
      <c r="D152" s="10" t="s">
        <v>21</v>
      </c>
      <c r="E152" s="10" t="s">
        <v>27</v>
      </c>
      <c r="F152" s="10" t="s">
        <v>28</v>
      </c>
      <c r="G152" s="10" t="s">
        <v>23</v>
      </c>
      <c r="H152" s="13">
        <v>1878700.4339999999</v>
      </c>
      <c r="I152" s="15">
        <f>IF(Table1[[#This Row],[Salary]]&lt;1000000,Table1[[#This Row],[Salary]]*0.05,Table1[[#This Row],[Salary]]*0.1)</f>
        <v>187870.0434</v>
      </c>
      <c r="J152" s="15">
        <f>Table1[[#This Row],[Salary]]+Table1[[#This Row],[Bonus]]</f>
        <v>2066570.4774</v>
      </c>
      <c r="K152" s="25">
        <f>COUNTA(Table1[Employee_ID])</f>
        <v>1000</v>
      </c>
      <c r="L152" s="1">
        <f>SUM(Table1[Salary])</f>
        <v>3119391523.8580012</v>
      </c>
      <c r="M152" s="15">
        <f>AVERAGE(Table1[Salary])</f>
        <v>3119391.5238580015</v>
      </c>
      <c r="N152" s="29">
        <f>SUM(Table1[Bonus])</f>
        <v>308244983.02069992</v>
      </c>
    </row>
    <row r="153" spans="1:14" ht="12.75" customHeight="1" x14ac:dyDescent="0.25">
      <c r="A153" s="2">
        <v>82</v>
      </c>
      <c r="B153" s="10" t="s">
        <v>841</v>
      </c>
      <c r="C153" s="10" t="s">
        <v>864</v>
      </c>
      <c r="D153" s="10" t="s">
        <v>21</v>
      </c>
      <c r="E153" s="10" t="s">
        <v>0</v>
      </c>
      <c r="F153" s="10" t="s">
        <v>22</v>
      </c>
      <c r="G153" s="10" t="s">
        <v>71</v>
      </c>
      <c r="H153" s="13">
        <v>5622384.7959999992</v>
      </c>
      <c r="I153" s="15">
        <f>IF(Table1[[#This Row],[Salary]]&lt;1000000,Table1[[#This Row],[Salary]]*0.05,Table1[[#This Row],[Salary]]*0.1)</f>
        <v>562238.47959999996</v>
      </c>
      <c r="J153" s="15">
        <f>Table1[[#This Row],[Salary]]+Table1[[#This Row],[Bonus]]</f>
        <v>6184623.2755999994</v>
      </c>
      <c r="K153" s="25">
        <f>COUNTA(Table1[Employee_ID])</f>
        <v>1000</v>
      </c>
      <c r="L153" s="1">
        <f>SUM(Table1[Salary])</f>
        <v>3119391523.8580012</v>
      </c>
      <c r="M153" s="15">
        <f>AVERAGE(Table1[Salary])</f>
        <v>3119391.5238580015</v>
      </c>
      <c r="N153" s="29">
        <f>SUM(Table1[Bonus])</f>
        <v>308244983.02069992</v>
      </c>
    </row>
    <row r="154" spans="1:14" ht="12.75" customHeight="1" x14ac:dyDescent="0.25">
      <c r="A154" s="2">
        <v>83</v>
      </c>
      <c r="B154" s="10" t="s">
        <v>247</v>
      </c>
      <c r="C154" s="10" t="s">
        <v>248</v>
      </c>
      <c r="D154" s="10" t="s">
        <v>26</v>
      </c>
      <c r="E154" s="10" t="s">
        <v>6</v>
      </c>
      <c r="F154" s="10" t="s">
        <v>74</v>
      </c>
      <c r="G154" s="10" t="s">
        <v>71</v>
      </c>
      <c r="H154" s="13">
        <v>5960766.1579999998</v>
      </c>
      <c r="I154" s="15">
        <f>IF(Table1[[#This Row],[Salary]]&lt;1000000,Table1[[#This Row],[Salary]]*0.05,Table1[[#This Row],[Salary]]*0.1)</f>
        <v>596076.61580000003</v>
      </c>
      <c r="J154" s="15">
        <f>Table1[[#This Row],[Salary]]+Table1[[#This Row],[Bonus]]</f>
        <v>6556842.7737999996</v>
      </c>
      <c r="K154" s="25">
        <f>COUNTA(Table1[Employee_ID])</f>
        <v>1000</v>
      </c>
      <c r="L154" s="1">
        <f>SUM(Table1[Salary])</f>
        <v>3119391523.8580012</v>
      </c>
      <c r="M154" s="15">
        <f>AVERAGE(Table1[Salary])</f>
        <v>3119391.5238580015</v>
      </c>
      <c r="N154" s="29">
        <f>SUM(Table1[Bonus])</f>
        <v>308244983.02069992</v>
      </c>
    </row>
    <row r="155" spans="1:14" ht="12.75" customHeight="1" x14ac:dyDescent="0.25">
      <c r="A155" s="2">
        <v>83</v>
      </c>
      <c r="B155" s="10" t="s">
        <v>838</v>
      </c>
      <c r="C155" s="10" t="s">
        <v>867</v>
      </c>
      <c r="D155" s="10" t="s">
        <v>125</v>
      </c>
      <c r="E155" s="10" t="s">
        <v>0</v>
      </c>
      <c r="F155" s="10" t="s">
        <v>70</v>
      </c>
      <c r="G155" s="10" t="s">
        <v>23</v>
      </c>
      <c r="H155" s="13">
        <v>4826729.716</v>
      </c>
      <c r="I155" s="15">
        <f>IF(Table1[[#This Row],[Salary]]&lt;1000000,Table1[[#This Row],[Salary]]*0.05,Table1[[#This Row],[Salary]]*0.1)</f>
        <v>482672.97160000005</v>
      </c>
      <c r="J155" s="15">
        <f>Table1[[#This Row],[Salary]]+Table1[[#This Row],[Bonus]]</f>
        <v>5309402.6875999998</v>
      </c>
      <c r="K155" s="25">
        <f>COUNTA(Table1[Employee_ID])</f>
        <v>1000</v>
      </c>
      <c r="L155" s="1">
        <f>SUM(Table1[Salary])</f>
        <v>3119391523.8580012</v>
      </c>
      <c r="M155" s="15">
        <f>AVERAGE(Table1[Salary])</f>
        <v>3119391.5238580015</v>
      </c>
      <c r="N155" s="29">
        <f>SUM(Table1[Bonus])</f>
        <v>308244983.02069992</v>
      </c>
    </row>
    <row r="156" spans="1:14" ht="12.75" customHeight="1" x14ac:dyDescent="0.25">
      <c r="A156" s="2">
        <v>84</v>
      </c>
      <c r="B156" s="10" t="s">
        <v>249</v>
      </c>
      <c r="C156" s="10" t="s">
        <v>250</v>
      </c>
      <c r="D156" s="10" t="s">
        <v>32</v>
      </c>
      <c r="E156" s="10" t="s">
        <v>27</v>
      </c>
      <c r="F156" s="10" t="s">
        <v>85</v>
      </c>
      <c r="G156" s="10" t="s">
        <v>35</v>
      </c>
      <c r="H156" s="13">
        <v>5037864.3320000004</v>
      </c>
      <c r="I156" s="15">
        <f>IF(Table1[[#This Row],[Salary]]&lt;1000000,Table1[[#This Row],[Salary]]*0.05,Table1[[#This Row],[Salary]]*0.1)</f>
        <v>503786.43320000009</v>
      </c>
      <c r="J156" s="15">
        <f>Table1[[#This Row],[Salary]]+Table1[[#This Row],[Bonus]]</f>
        <v>5541650.7652000003</v>
      </c>
      <c r="K156" s="25">
        <f>COUNTA(Table1[Employee_ID])</f>
        <v>1000</v>
      </c>
      <c r="L156" s="1">
        <f>SUM(Table1[Salary])</f>
        <v>3119391523.8580012</v>
      </c>
      <c r="M156" s="15">
        <f>AVERAGE(Table1[Salary])</f>
        <v>3119391.5238580015</v>
      </c>
      <c r="N156" s="29">
        <f>SUM(Table1[Bonus])</f>
        <v>308244983.02069992</v>
      </c>
    </row>
    <row r="157" spans="1:14" ht="12.75" customHeight="1" x14ac:dyDescent="0.25">
      <c r="A157" s="2">
        <v>84</v>
      </c>
      <c r="B157" s="10" t="s">
        <v>868</v>
      </c>
      <c r="C157" s="10" t="s">
        <v>852</v>
      </c>
      <c r="D157" s="10" t="s">
        <v>177</v>
      </c>
      <c r="E157" s="10" t="s">
        <v>0</v>
      </c>
      <c r="F157" s="10" t="s">
        <v>89</v>
      </c>
      <c r="G157" s="10" t="s">
        <v>56</v>
      </c>
      <c r="H157" s="13">
        <v>1733849.42</v>
      </c>
      <c r="I157" s="15">
        <f>IF(Table1[[#This Row],[Salary]]&lt;1000000,Table1[[#This Row],[Salary]]*0.05,Table1[[#This Row],[Salary]]*0.1)</f>
        <v>173384.94200000001</v>
      </c>
      <c r="J157" s="15">
        <f>Table1[[#This Row],[Salary]]+Table1[[#This Row],[Bonus]]</f>
        <v>1907234.362</v>
      </c>
      <c r="K157" s="25">
        <f>COUNTA(Table1[Employee_ID])</f>
        <v>1000</v>
      </c>
      <c r="L157" s="1">
        <f>SUM(Table1[Salary])</f>
        <v>3119391523.8580012</v>
      </c>
      <c r="M157" s="15">
        <f>AVERAGE(Table1[Salary])</f>
        <v>3119391.5238580015</v>
      </c>
      <c r="N157" s="29">
        <f>SUM(Table1[Bonus])</f>
        <v>308244983.02069992</v>
      </c>
    </row>
    <row r="158" spans="1:14" ht="12.75" customHeight="1" x14ac:dyDescent="0.25">
      <c r="A158" s="2">
        <v>85</v>
      </c>
      <c r="B158" s="10" t="s">
        <v>251</v>
      </c>
      <c r="C158" s="10" t="s">
        <v>252</v>
      </c>
      <c r="D158" s="10" t="s">
        <v>38</v>
      </c>
      <c r="E158" s="10" t="s">
        <v>39</v>
      </c>
      <c r="F158" s="10" t="s">
        <v>40</v>
      </c>
      <c r="G158" s="10" t="s">
        <v>56</v>
      </c>
      <c r="H158" s="13">
        <v>5331571.57</v>
      </c>
      <c r="I158" s="15">
        <f>IF(Table1[[#This Row],[Salary]]&lt;1000000,Table1[[#This Row],[Salary]]*0.05,Table1[[#This Row],[Salary]]*0.1)</f>
        <v>533157.15700000001</v>
      </c>
      <c r="J158" s="15">
        <f>Table1[[#This Row],[Salary]]+Table1[[#This Row],[Bonus]]</f>
        <v>5864728.727</v>
      </c>
      <c r="K158" s="25">
        <f>COUNTA(Table1[Employee_ID])</f>
        <v>1000</v>
      </c>
      <c r="L158" s="1">
        <f>SUM(Table1[Salary])</f>
        <v>3119391523.8580012</v>
      </c>
      <c r="M158" s="15">
        <f>AVERAGE(Table1[Salary])</f>
        <v>3119391.5238580015</v>
      </c>
      <c r="N158" s="29">
        <f>SUM(Table1[Bonus])</f>
        <v>308244983.02069992</v>
      </c>
    </row>
    <row r="159" spans="1:14" ht="12.75" customHeight="1" x14ac:dyDescent="0.25">
      <c r="A159" s="2">
        <v>85</v>
      </c>
      <c r="B159" s="10" t="s">
        <v>874</v>
      </c>
      <c r="C159" s="10" t="s">
        <v>850</v>
      </c>
      <c r="D159" s="10" t="s">
        <v>174</v>
      </c>
      <c r="E159" s="10" t="s">
        <v>0</v>
      </c>
      <c r="F159" s="10" t="s">
        <v>22</v>
      </c>
      <c r="G159" s="10" t="s">
        <v>56</v>
      </c>
      <c r="H159" s="13">
        <v>651996.14199999999</v>
      </c>
      <c r="I159" s="15">
        <f>IF(Table1[[#This Row],[Salary]]&lt;1000000,Table1[[#This Row],[Salary]]*0.05,Table1[[#This Row],[Salary]]*0.1)</f>
        <v>32599.807100000002</v>
      </c>
      <c r="J159" s="15">
        <f>Table1[[#This Row],[Salary]]+Table1[[#This Row],[Bonus]]</f>
        <v>684595.94909999997</v>
      </c>
      <c r="K159" s="25">
        <f>COUNTA(Table1[Employee_ID])</f>
        <v>1000</v>
      </c>
      <c r="L159" s="1">
        <f>SUM(Table1[Salary])</f>
        <v>3119391523.8580012</v>
      </c>
      <c r="M159" s="15">
        <f>AVERAGE(Table1[Salary])</f>
        <v>3119391.5238580015</v>
      </c>
      <c r="N159" s="29">
        <f>SUM(Table1[Bonus])</f>
        <v>308244983.02069992</v>
      </c>
    </row>
    <row r="160" spans="1:14" ht="12.75" customHeight="1" x14ac:dyDescent="0.25">
      <c r="A160" s="2">
        <v>86</v>
      </c>
      <c r="B160" s="10" t="s">
        <v>253</v>
      </c>
      <c r="C160" s="10" t="s">
        <v>254</v>
      </c>
      <c r="D160" s="10" t="s">
        <v>32</v>
      </c>
      <c r="E160" s="10" t="s">
        <v>13</v>
      </c>
      <c r="F160" s="10" t="s">
        <v>67</v>
      </c>
      <c r="G160" s="10" t="s">
        <v>23</v>
      </c>
      <c r="H160" s="13">
        <v>1752154.4539999999</v>
      </c>
      <c r="I160" s="15">
        <f>IF(Table1[[#This Row],[Salary]]&lt;1000000,Table1[[#This Row],[Salary]]*0.05,Table1[[#This Row],[Salary]]*0.1)</f>
        <v>175215.4454</v>
      </c>
      <c r="J160" s="15">
        <f>Table1[[#This Row],[Salary]]+Table1[[#This Row],[Bonus]]</f>
        <v>1927369.8994</v>
      </c>
      <c r="K160" s="25">
        <f>COUNTA(Table1[Employee_ID])</f>
        <v>1000</v>
      </c>
      <c r="L160" s="1">
        <f>SUM(Table1[Salary])</f>
        <v>3119391523.8580012</v>
      </c>
      <c r="M160" s="15">
        <f>AVERAGE(Table1[Salary])</f>
        <v>3119391.5238580015</v>
      </c>
      <c r="N160" s="29">
        <f>SUM(Table1[Bonus])</f>
        <v>308244983.02069992</v>
      </c>
    </row>
    <row r="161" spans="1:14" ht="12.75" customHeight="1" x14ac:dyDescent="0.25">
      <c r="A161" s="2">
        <v>86</v>
      </c>
      <c r="B161" s="10" t="s">
        <v>263</v>
      </c>
      <c r="C161" s="10" t="s">
        <v>891</v>
      </c>
      <c r="D161" s="10" t="s">
        <v>174</v>
      </c>
      <c r="E161" s="10" t="s">
        <v>0</v>
      </c>
      <c r="F161" s="10" t="s">
        <v>70</v>
      </c>
      <c r="G161" s="10" t="s">
        <v>23</v>
      </c>
      <c r="H161" s="13">
        <v>5170966.7300000004</v>
      </c>
      <c r="I161" s="15">
        <f>IF(Table1[[#This Row],[Salary]]&lt;1000000,Table1[[#This Row],[Salary]]*0.05,Table1[[#This Row],[Salary]]*0.1)</f>
        <v>517096.67300000007</v>
      </c>
      <c r="J161" s="15">
        <f>Table1[[#This Row],[Salary]]+Table1[[#This Row],[Bonus]]</f>
        <v>5688063.4030000009</v>
      </c>
      <c r="K161" s="25">
        <f>COUNTA(Table1[Employee_ID])</f>
        <v>1000</v>
      </c>
      <c r="L161" s="1">
        <f>SUM(Table1[Salary])</f>
        <v>3119391523.8580012</v>
      </c>
      <c r="M161" s="15">
        <f>AVERAGE(Table1[Salary])</f>
        <v>3119391.5238580015</v>
      </c>
      <c r="N161" s="29">
        <f>SUM(Table1[Bonus])</f>
        <v>308244983.02069992</v>
      </c>
    </row>
    <row r="162" spans="1:14" ht="12.75" customHeight="1" x14ac:dyDescent="0.25">
      <c r="A162" s="2">
        <v>87</v>
      </c>
      <c r="B162" s="10" t="s">
        <v>255</v>
      </c>
      <c r="C162" s="10" t="s">
        <v>256</v>
      </c>
      <c r="D162" s="10" t="s">
        <v>46</v>
      </c>
      <c r="E162" s="10" t="s">
        <v>33</v>
      </c>
      <c r="F162" s="10" t="s">
        <v>47</v>
      </c>
      <c r="G162" s="10" t="s">
        <v>71</v>
      </c>
      <c r="H162" s="13">
        <v>260788.00000000003</v>
      </c>
      <c r="I162" s="15">
        <f>IF(Table1[[#This Row],[Salary]]&lt;1000000,Table1[[#This Row],[Salary]]*0.05,Table1[[#This Row],[Salary]]*0.1)</f>
        <v>13039.400000000001</v>
      </c>
      <c r="J162" s="15">
        <f>Table1[[#This Row],[Salary]]+Table1[[#This Row],[Bonus]]</f>
        <v>273827.40000000002</v>
      </c>
      <c r="K162" s="25">
        <f>COUNTA(Table1[Employee_ID])</f>
        <v>1000</v>
      </c>
      <c r="L162" s="1">
        <f>SUM(Table1[Salary])</f>
        <v>3119391523.8580012</v>
      </c>
      <c r="M162" s="15">
        <f>AVERAGE(Table1[Salary])</f>
        <v>3119391.5238580015</v>
      </c>
      <c r="N162" s="29">
        <f>SUM(Table1[Bonus])</f>
        <v>308244983.02069992</v>
      </c>
    </row>
    <row r="163" spans="1:14" ht="12.75" customHeight="1" x14ac:dyDescent="0.25">
      <c r="A163" s="2">
        <v>87</v>
      </c>
      <c r="B163" s="10" t="s">
        <v>901</v>
      </c>
      <c r="C163" s="10" t="s">
        <v>902</v>
      </c>
      <c r="D163" s="10" t="s">
        <v>32</v>
      </c>
      <c r="E163" s="10" t="s">
        <v>0</v>
      </c>
      <c r="F163" s="10" t="s">
        <v>89</v>
      </c>
      <c r="G163" s="10" t="s">
        <v>23</v>
      </c>
      <c r="H163" s="13">
        <v>4432991.3379999995</v>
      </c>
      <c r="I163" s="15">
        <f>IF(Table1[[#This Row],[Salary]]&lt;1000000,Table1[[#This Row],[Salary]]*0.05,Table1[[#This Row],[Salary]]*0.1)</f>
        <v>443299.13379999995</v>
      </c>
      <c r="J163" s="15">
        <f>Table1[[#This Row],[Salary]]+Table1[[#This Row],[Bonus]]</f>
        <v>4876290.4717999995</v>
      </c>
      <c r="K163" s="25">
        <f>COUNTA(Table1[Employee_ID])</f>
        <v>1000</v>
      </c>
      <c r="L163" s="1">
        <f>SUM(Table1[Salary])</f>
        <v>3119391523.8580012</v>
      </c>
      <c r="M163" s="15">
        <f>AVERAGE(Table1[Salary])</f>
        <v>3119391.5238580015</v>
      </c>
      <c r="N163" s="29">
        <f>SUM(Table1[Bonus])</f>
        <v>308244983.02069992</v>
      </c>
    </row>
    <row r="164" spans="1:14" ht="12.75" customHeight="1" x14ac:dyDescent="0.25">
      <c r="A164" s="2">
        <v>88</v>
      </c>
      <c r="B164" s="10" t="s">
        <v>257</v>
      </c>
      <c r="C164" s="10" t="s">
        <v>258</v>
      </c>
      <c r="D164" s="10" t="s">
        <v>21</v>
      </c>
      <c r="E164" s="10" t="s">
        <v>39</v>
      </c>
      <c r="F164" s="10" t="s">
        <v>186</v>
      </c>
      <c r="G164" s="10" t="s">
        <v>56</v>
      </c>
      <c r="H164" s="13">
        <v>1178024.216</v>
      </c>
      <c r="I164" s="15">
        <f>IF(Table1[[#This Row],[Salary]]&lt;1000000,Table1[[#This Row],[Salary]]*0.05,Table1[[#This Row],[Salary]]*0.1)</f>
        <v>117802.4216</v>
      </c>
      <c r="J164" s="15">
        <f>Table1[[#This Row],[Salary]]+Table1[[#This Row],[Bonus]]</f>
        <v>1295826.6376</v>
      </c>
      <c r="K164" s="25">
        <f>COUNTA(Table1[Employee_ID])</f>
        <v>1000</v>
      </c>
      <c r="L164" s="1">
        <f>SUM(Table1[Salary])</f>
        <v>3119391523.8580012</v>
      </c>
      <c r="M164" s="15">
        <f>AVERAGE(Table1[Salary])</f>
        <v>3119391.5238580015</v>
      </c>
      <c r="N164" s="29">
        <f>SUM(Table1[Bonus])</f>
        <v>308244983.02069992</v>
      </c>
    </row>
    <row r="165" spans="1:14" ht="12.75" customHeight="1" x14ac:dyDescent="0.25">
      <c r="A165" s="2">
        <v>88</v>
      </c>
      <c r="B165" s="10" t="s">
        <v>239</v>
      </c>
      <c r="C165" s="10" t="s">
        <v>557</v>
      </c>
      <c r="D165" s="10" t="s">
        <v>38</v>
      </c>
      <c r="E165" s="10" t="s">
        <v>0</v>
      </c>
      <c r="F165" s="10" t="s">
        <v>22</v>
      </c>
      <c r="G165" s="10" t="s">
        <v>35</v>
      </c>
      <c r="H165" s="13">
        <v>4991992.7259999998</v>
      </c>
      <c r="I165" s="15">
        <f>IF(Table1[[#This Row],[Salary]]&lt;1000000,Table1[[#This Row],[Salary]]*0.05,Table1[[#This Row],[Salary]]*0.1)</f>
        <v>499199.27260000003</v>
      </c>
      <c r="J165" s="15">
        <f>Table1[[#This Row],[Salary]]+Table1[[#This Row],[Bonus]]</f>
        <v>5491191.9985999996</v>
      </c>
      <c r="K165" s="25">
        <f>COUNTA(Table1[Employee_ID])</f>
        <v>1000</v>
      </c>
      <c r="L165" s="1">
        <f>SUM(Table1[Salary])</f>
        <v>3119391523.8580012</v>
      </c>
      <c r="M165" s="15">
        <f>AVERAGE(Table1[Salary])</f>
        <v>3119391.5238580015</v>
      </c>
      <c r="N165" s="29">
        <f>SUM(Table1[Bonus])</f>
        <v>308244983.02069992</v>
      </c>
    </row>
    <row r="166" spans="1:14" ht="12.75" customHeight="1" x14ac:dyDescent="0.25">
      <c r="A166" s="2">
        <v>89</v>
      </c>
      <c r="B166" s="10" t="s">
        <v>259</v>
      </c>
      <c r="C166" s="10" t="s">
        <v>260</v>
      </c>
      <c r="D166" s="10" t="s">
        <v>54</v>
      </c>
      <c r="E166" s="10" t="s">
        <v>33</v>
      </c>
      <c r="F166" s="10" t="s">
        <v>55</v>
      </c>
      <c r="G166" s="10" t="s">
        <v>29</v>
      </c>
      <c r="H166" s="13">
        <v>768391.99999999988</v>
      </c>
      <c r="I166" s="15">
        <f>IF(Table1[[#This Row],[Salary]]&lt;1000000,Table1[[#This Row],[Salary]]*0.05,Table1[[#This Row],[Salary]]*0.1)</f>
        <v>38419.599999999999</v>
      </c>
      <c r="J166" s="15">
        <f>Table1[[#This Row],[Salary]]+Table1[[#This Row],[Bonus]]</f>
        <v>806811.59999999986</v>
      </c>
      <c r="K166" s="25">
        <f>COUNTA(Table1[Employee_ID])</f>
        <v>1000</v>
      </c>
      <c r="L166" s="1">
        <f>SUM(Table1[Salary])</f>
        <v>3119391523.8580012</v>
      </c>
      <c r="M166" s="15">
        <f>AVERAGE(Table1[Salary])</f>
        <v>3119391.5238580015</v>
      </c>
      <c r="N166" s="29">
        <f>SUM(Table1[Bonus])</f>
        <v>308244983.02069992</v>
      </c>
    </row>
    <row r="167" spans="1:14" ht="12.75" customHeight="1" x14ac:dyDescent="0.25">
      <c r="A167" s="2">
        <v>89</v>
      </c>
      <c r="B167" s="10" t="s">
        <v>714</v>
      </c>
      <c r="C167" s="10" t="s">
        <v>922</v>
      </c>
      <c r="D167" s="10" t="s">
        <v>54</v>
      </c>
      <c r="E167" s="10" t="s">
        <v>0</v>
      </c>
      <c r="F167" s="10" t="s">
        <v>70</v>
      </c>
      <c r="G167" s="10" t="s">
        <v>48</v>
      </c>
      <c r="H167" s="13">
        <v>5082018.42</v>
      </c>
      <c r="I167" s="15">
        <f>IF(Table1[[#This Row],[Salary]]&lt;1000000,Table1[[#This Row],[Salary]]*0.05,Table1[[#This Row],[Salary]]*0.1)</f>
        <v>508201.842</v>
      </c>
      <c r="J167" s="15">
        <f>Table1[[#This Row],[Salary]]+Table1[[#This Row],[Bonus]]</f>
        <v>5590220.2620000001</v>
      </c>
      <c r="K167" s="25">
        <f>COUNTA(Table1[Employee_ID])</f>
        <v>1000</v>
      </c>
      <c r="L167" s="1">
        <f>SUM(Table1[Salary])</f>
        <v>3119391523.8580012</v>
      </c>
      <c r="M167" s="15">
        <f>AVERAGE(Table1[Salary])</f>
        <v>3119391.5238580015</v>
      </c>
      <c r="N167" s="29">
        <f>SUM(Table1[Bonus])</f>
        <v>308244983.02069992</v>
      </c>
    </row>
    <row r="168" spans="1:14" ht="12.75" customHeight="1" x14ac:dyDescent="0.25">
      <c r="A168" s="2">
        <v>90</v>
      </c>
      <c r="B168" s="10" t="s">
        <v>261</v>
      </c>
      <c r="C168" s="10" t="s">
        <v>262</v>
      </c>
      <c r="D168" s="10" t="s">
        <v>59</v>
      </c>
      <c r="E168" s="10" t="s">
        <v>14</v>
      </c>
      <c r="F168" s="10" t="s">
        <v>51</v>
      </c>
      <c r="G168" s="10" t="s">
        <v>48</v>
      </c>
      <c r="H168" s="13">
        <v>4564068.3940000003</v>
      </c>
      <c r="I168" s="15">
        <f>IF(Table1[[#This Row],[Salary]]&lt;1000000,Table1[[#This Row],[Salary]]*0.05,Table1[[#This Row],[Salary]]*0.1)</f>
        <v>456406.83940000006</v>
      </c>
      <c r="J168" s="15">
        <f>Table1[[#This Row],[Salary]]+Table1[[#This Row],[Bonus]]</f>
        <v>5020475.2334000003</v>
      </c>
      <c r="K168" s="25">
        <f>COUNTA(Table1[Employee_ID])</f>
        <v>1000</v>
      </c>
      <c r="L168" s="1">
        <f>SUM(Table1[Salary])</f>
        <v>3119391523.8580012</v>
      </c>
      <c r="M168" s="15">
        <f>AVERAGE(Table1[Salary])</f>
        <v>3119391.5238580015</v>
      </c>
      <c r="N168" s="29">
        <f>SUM(Table1[Bonus])</f>
        <v>308244983.02069992</v>
      </c>
    </row>
    <row r="169" spans="1:14" ht="12.75" customHeight="1" x14ac:dyDescent="0.25">
      <c r="A169" s="2">
        <v>90</v>
      </c>
      <c r="B169" s="10" t="s">
        <v>671</v>
      </c>
      <c r="C169" s="10" t="s">
        <v>932</v>
      </c>
      <c r="D169" s="10" t="s">
        <v>96</v>
      </c>
      <c r="E169" s="10" t="s">
        <v>0</v>
      </c>
      <c r="F169" s="10" t="s">
        <v>89</v>
      </c>
      <c r="G169" s="10" t="s">
        <v>35</v>
      </c>
      <c r="H169" s="13">
        <v>2990995.64</v>
      </c>
      <c r="I169" s="15">
        <f>IF(Table1[[#This Row],[Salary]]&lt;1000000,Table1[[#This Row],[Salary]]*0.05,Table1[[#This Row],[Salary]]*0.1)</f>
        <v>299099.56400000001</v>
      </c>
      <c r="J169" s="15">
        <f>Table1[[#This Row],[Salary]]+Table1[[#This Row],[Bonus]]</f>
        <v>3290095.2039999999</v>
      </c>
      <c r="K169" s="25">
        <f>COUNTA(Table1[Employee_ID])</f>
        <v>1000</v>
      </c>
      <c r="L169" s="1">
        <f>SUM(Table1[Salary])</f>
        <v>3119391523.8580012</v>
      </c>
      <c r="M169" s="15">
        <f>AVERAGE(Table1[Salary])</f>
        <v>3119391.5238580015</v>
      </c>
      <c r="N169" s="29">
        <f>SUM(Table1[Bonus])</f>
        <v>308244983.02069992</v>
      </c>
    </row>
    <row r="170" spans="1:14" ht="12.75" customHeight="1" x14ac:dyDescent="0.25">
      <c r="A170" s="2">
        <v>91</v>
      </c>
      <c r="B170" s="10" t="s">
        <v>263</v>
      </c>
      <c r="C170" s="10" t="s">
        <v>264</v>
      </c>
      <c r="D170" s="10" t="s">
        <v>21</v>
      </c>
      <c r="E170" s="10" t="s">
        <v>27</v>
      </c>
      <c r="F170" s="10" t="s">
        <v>106</v>
      </c>
      <c r="G170" s="10" t="s">
        <v>48</v>
      </c>
      <c r="H170" s="13">
        <v>1927842.67</v>
      </c>
      <c r="I170" s="15">
        <f>IF(Table1[[#This Row],[Salary]]&lt;1000000,Table1[[#This Row],[Salary]]*0.05,Table1[[#This Row],[Salary]]*0.1)</f>
        <v>192784.26699999999</v>
      </c>
      <c r="J170" s="15">
        <f>Table1[[#This Row],[Salary]]+Table1[[#This Row],[Bonus]]</f>
        <v>2120626.9369999999</v>
      </c>
      <c r="K170" s="25">
        <f>COUNTA(Table1[Employee_ID])</f>
        <v>1000</v>
      </c>
      <c r="L170" s="1">
        <f>SUM(Table1[Salary])</f>
        <v>3119391523.8580012</v>
      </c>
      <c r="M170" s="15">
        <f>AVERAGE(Table1[Salary])</f>
        <v>3119391.5238580015</v>
      </c>
      <c r="N170" s="29">
        <f>SUM(Table1[Bonus])</f>
        <v>308244983.02069992</v>
      </c>
    </row>
    <row r="171" spans="1:14" ht="12.75" customHeight="1" x14ac:dyDescent="0.25">
      <c r="A171" s="2">
        <v>91</v>
      </c>
      <c r="B171" s="10" t="s">
        <v>100</v>
      </c>
      <c r="C171" s="10" t="s">
        <v>952</v>
      </c>
      <c r="D171" s="10" t="s">
        <v>159</v>
      </c>
      <c r="E171" s="10" t="s">
        <v>0</v>
      </c>
      <c r="F171" s="10" t="s">
        <v>22</v>
      </c>
      <c r="G171" s="10" t="s">
        <v>48</v>
      </c>
      <c r="H171" s="13">
        <v>4619602.642</v>
      </c>
      <c r="I171" s="15">
        <f>IF(Table1[[#This Row],[Salary]]&lt;1000000,Table1[[#This Row],[Salary]]*0.05,Table1[[#This Row],[Salary]]*0.1)</f>
        <v>461960.26420000003</v>
      </c>
      <c r="J171" s="15">
        <f>Table1[[#This Row],[Salary]]+Table1[[#This Row],[Bonus]]</f>
        <v>5081562.9062000001</v>
      </c>
      <c r="K171" s="25">
        <f>COUNTA(Table1[Employee_ID])</f>
        <v>1000</v>
      </c>
      <c r="L171" s="1">
        <f>SUM(Table1[Salary])</f>
        <v>3119391523.8580012</v>
      </c>
      <c r="M171" s="15">
        <f>AVERAGE(Table1[Salary])</f>
        <v>3119391.5238580015</v>
      </c>
      <c r="N171" s="29">
        <f>SUM(Table1[Bonus])</f>
        <v>308244983.02069992</v>
      </c>
    </row>
    <row r="172" spans="1:14" ht="12.75" customHeight="1" x14ac:dyDescent="0.25">
      <c r="A172" s="2">
        <v>92</v>
      </c>
      <c r="B172" s="10" t="s">
        <v>265</v>
      </c>
      <c r="C172" s="10" t="s">
        <v>266</v>
      </c>
      <c r="D172" s="10" t="s">
        <v>46</v>
      </c>
      <c r="E172" s="10" t="s">
        <v>27</v>
      </c>
      <c r="F172" s="10" t="s">
        <v>28</v>
      </c>
      <c r="G172" s="10" t="s">
        <v>35</v>
      </c>
      <c r="H172" s="13">
        <v>5826140.9640000006</v>
      </c>
      <c r="I172" s="15">
        <f>IF(Table1[[#This Row],[Salary]]&lt;1000000,Table1[[#This Row],[Salary]]*0.05,Table1[[#This Row],[Salary]]*0.1)</f>
        <v>582614.09640000004</v>
      </c>
      <c r="J172" s="15">
        <f>Table1[[#This Row],[Salary]]+Table1[[#This Row],[Bonus]]</f>
        <v>6408755.0604000008</v>
      </c>
      <c r="K172" s="25">
        <f>COUNTA(Table1[Employee_ID])</f>
        <v>1000</v>
      </c>
      <c r="L172" s="1">
        <f>SUM(Table1[Salary])</f>
        <v>3119391523.8580012</v>
      </c>
      <c r="M172" s="15">
        <f>AVERAGE(Table1[Salary])</f>
        <v>3119391.5238580015</v>
      </c>
      <c r="N172" s="29">
        <f>SUM(Table1[Bonus])</f>
        <v>308244983.02069992</v>
      </c>
    </row>
    <row r="173" spans="1:14" ht="12.75" customHeight="1" x14ac:dyDescent="0.25">
      <c r="A173" s="2">
        <v>92</v>
      </c>
      <c r="B173" s="10" t="s">
        <v>902</v>
      </c>
      <c r="C173" s="10" t="s">
        <v>958</v>
      </c>
      <c r="D173" s="10" t="s">
        <v>174</v>
      </c>
      <c r="E173" s="10" t="s">
        <v>0</v>
      </c>
      <c r="F173" s="10" t="s">
        <v>70</v>
      </c>
      <c r="G173" s="10" t="s">
        <v>56</v>
      </c>
      <c r="H173" s="13">
        <v>1508810.254</v>
      </c>
      <c r="I173" s="15">
        <f>IF(Table1[[#This Row],[Salary]]&lt;1000000,Table1[[#This Row],[Salary]]*0.05,Table1[[#This Row],[Salary]]*0.1)</f>
        <v>150881.02540000001</v>
      </c>
      <c r="J173" s="15">
        <f>Table1[[#This Row],[Salary]]+Table1[[#This Row],[Bonus]]</f>
        <v>1659691.2793999999</v>
      </c>
      <c r="K173" s="25">
        <f>COUNTA(Table1[Employee_ID])</f>
        <v>1000</v>
      </c>
      <c r="L173" s="1">
        <f>SUM(Table1[Salary])</f>
        <v>3119391523.8580012</v>
      </c>
      <c r="M173" s="15">
        <f>AVERAGE(Table1[Salary])</f>
        <v>3119391.5238580015</v>
      </c>
      <c r="N173" s="29">
        <f>SUM(Table1[Bonus])</f>
        <v>308244983.02069992</v>
      </c>
    </row>
    <row r="174" spans="1:14" ht="12.75" customHeight="1" x14ac:dyDescent="0.25">
      <c r="A174" s="2">
        <v>93</v>
      </c>
      <c r="B174" s="10" t="s">
        <v>267</v>
      </c>
      <c r="C174" s="10" t="s">
        <v>268</v>
      </c>
      <c r="D174" s="10" t="s">
        <v>59</v>
      </c>
      <c r="E174" s="10" t="s">
        <v>33</v>
      </c>
      <c r="F174" s="10" t="s">
        <v>34</v>
      </c>
      <c r="G174" s="10" t="s">
        <v>71</v>
      </c>
      <c r="H174" s="13">
        <v>857786</v>
      </c>
      <c r="I174" s="15">
        <f>IF(Table1[[#This Row],[Salary]]&lt;1000000,Table1[[#This Row],[Salary]]*0.05,Table1[[#This Row],[Salary]]*0.1)</f>
        <v>42889.3</v>
      </c>
      <c r="J174" s="15">
        <f>Table1[[#This Row],[Salary]]+Table1[[#This Row],[Bonus]]</f>
        <v>900675.3</v>
      </c>
      <c r="K174" s="25">
        <f>COUNTA(Table1[Employee_ID])</f>
        <v>1000</v>
      </c>
      <c r="L174" s="1">
        <f>SUM(Table1[Salary])</f>
        <v>3119391523.8580012</v>
      </c>
      <c r="M174" s="15">
        <f>AVERAGE(Table1[Salary])</f>
        <v>3119391.5238580015</v>
      </c>
      <c r="N174" s="29">
        <f>SUM(Table1[Bonus])</f>
        <v>308244983.02069992</v>
      </c>
    </row>
    <row r="175" spans="1:14" ht="12.75" customHeight="1" x14ac:dyDescent="0.25">
      <c r="A175" s="2">
        <v>93</v>
      </c>
      <c r="B175" s="10" t="s">
        <v>971</v>
      </c>
      <c r="C175" s="10" t="s">
        <v>972</v>
      </c>
      <c r="D175" s="10" t="s">
        <v>54</v>
      </c>
      <c r="E175" s="10" t="s">
        <v>0</v>
      </c>
      <c r="F175" s="10" t="s">
        <v>89</v>
      </c>
      <c r="G175" s="10" t="s">
        <v>23</v>
      </c>
      <c r="H175" s="13">
        <v>4584680.9419999998</v>
      </c>
      <c r="I175" s="15">
        <f>IF(Table1[[#This Row],[Salary]]&lt;1000000,Table1[[#This Row],[Salary]]*0.05,Table1[[#This Row],[Salary]]*0.1)</f>
        <v>458468.09419999999</v>
      </c>
      <c r="J175" s="15">
        <f>Table1[[#This Row],[Salary]]+Table1[[#This Row],[Bonus]]</f>
        <v>5043149.0362</v>
      </c>
      <c r="K175" s="25">
        <f>COUNTA(Table1[Employee_ID])</f>
        <v>1000</v>
      </c>
      <c r="L175" s="1">
        <f>SUM(Table1[Salary])</f>
        <v>3119391523.8580012</v>
      </c>
      <c r="M175" s="15">
        <f>AVERAGE(Table1[Salary])</f>
        <v>3119391.5238580015</v>
      </c>
      <c r="N175" s="29">
        <f>SUM(Table1[Bonus])</f>
        <v>308244983.02069992</v>
      </c>
    </row>
    <row r="176" spans="1:14" ht="12.75" customHeight="1" x14ac:dyDescent="0.25">
      <c r="A176" s="2">
        <v>94</v>
      </c>
      <c r="B176" s="10" t="s">
        <v>484</v>
      </c>
      <c r="C176" s="10" t="s">
        <v>995</v>
      </c>
      <c r="D176" s="10" t="s">
        <v>26</v>
      </c>
      <c r="E176" s="10" t="s">
        <v>0</v>
      </c>
      <c r="F176" s="10" t="s">
        <v>22</v>
      </c>
      <c r="G176" s="10" t="s">
        <v>71</v>
      </c>
      <c r="H176" s="13">
        <v>2830811.7260000003</v>
      </c>
      <c r="I176" s="15">
        <f>IF(Table1[[#This Row],[Salary]]&lt;1000000,Table1[[#This Row],[Salary]]*0.05,Table1[[#This Row],[Salary]]*0.1)</f>
        <v>283081.17260000005</v>
      </c>
      <c r="J176" s="15">
        <f>Table1[[#This Row],[Salary]]+Table1[[#This Row],[Bonus]]</f>
        <v>3113892.8986000004</v>
      </c>
      <c r="K176" s="25">
        <f>COUNTA(Table1[Employee_ID])</f>
        <v>1000</v>
      </c>
      <c r="L176" s="1">
        <f>SUM(Table1[Salary])</f>
        <v>3119391523.8580012</v>
      </c>
      <c r="M176" s="15">
        <f>AVERAGE(Table1[Salary])</f>
        <v>3119391.5238580015</v>
      </c>
      <c r="N176" s="29">
        <f>SUM(Table1[Bonus])</f>
        <v>308244983.02069992</v>
      </c>
    </row>
    <row r="177" spans="1:14" ht="12.75" customHeight="1" x14ac:dyDescent="0.25">
      <c r="A177" s="2">
        <v>95</v>
      </c>
      <c r="B177" s="10" t="s">
        <v>270</v>
      </c>
      <c r="C177" s="10" t="s">
        <v>271</v>
      </c>
      <c r="D177" s="10" t="s">
        <v>77</v>
      </c>
      <c r="E177" s="10" t="s">
        <v>39</v>
      </c>
      <c r="F177" s="10" t="s">
        <v>189</v>
      </c>
      <c r="G177" s="10" t="s">
        <v>23</v>
      </c>
      <c r="H177" s="13">
        <v>1020318.0519999999</v>
      </c>
      <c r="I177" s="15">
        <f>IF(Table1[[#This Row],[Salary]]&lt;1000000,Table1[[#This Row],[Salary]]*0.05,Table1[[#This Row],[Salary]]*0.1)</f>
        <v>102031.8052</v>
      </c>
      <c r="J177" s="15">
        <f>Table1[[#This Row],[Salary]]+Table1[[#This Row],[Bonus]]</f>
        <v>1122349.8572</v>
      </c>
      <c r="K177" s="25">
        <f>COUNTA(Table1[Employee_ID])</f>
        <v>1000</v>
      </c>
      <c r="L177" s="1">
        <f>SUM(Table1[Salary])</f>
        <v>3119391523.8580012</v>
      </c>
      <c r="M177" s="15">
        <f>AVERAGE(Table1[Salary])</f>
        <v>3119391.5238580015</v>
      </c>
      <c r="N177" s="29">
        <f>SUM(Table1[Bonus])</f>
        <v>308244983.02069992</v>
      </c>
    </row>
    <row r="178" spans="1:14" ht="12.75" customHeight="1" x14ac:dyDescent="0.25">
      <c r="A178" s="2">
        <v>95</v>
      </c>
      <c r="B178" s="10" t="s">
        <v>65</v>
      </c>
      <c r="C178" s="10" t="s">
        <v>1010</v>
      </c>
      <c r="D178" s="10" t="s">
        <v>32</v>
      </c>
      <c r="E178" s="10" t="s">
        <v>0</v>
      </c>
      <c r="F178" s="10" t="s">
        <v>70</v>
      </c>
      <c r="G178" s="10" t="s">
        <v>29</v>
      </c>
      <c r="H178" s="13">
        <v>1363148.87</v>
      </c>
      <c r="I178" s="15">
        <f>IF(Table1[[#This Row],[Salary]]&lt;1000000,Table1[[#This Row],[Salary]]*0.05,Table1[[#This Row],[Salary]]*0.1)</f>
        <v>136314.88700000002</v>
      </c>
      <c r="J178" s="15">
        <f>Table1[[#This Row],[Salary]]+Table1[[#This Row],[Bonus]]</f>
        <v>1499463.7570000002</v>
      </c>
      <c r="K178" s="25">
        <f>COUNTA(Table1[Employee_ID])</f>
        <v>1000</v>
      </c>
      <c r="L178" s="1">
        <f>SUM(Table1[Salary])</f>
        <v>3119391523.8580012</v>
      </c>
      <c r="M178" s="15">
        <f>AVERAGE(Table1[Salary])</f>
        <v>3119391.5238580015</v>
      </c>
      <c r="N178" s="29">
        <f>SUM(Table1[Bonus])</f>
        <v>308244983.02069992</v>
      </c>
    </row>
    <row r="179" spans="1:14" ht="12.75" customHeight="1" x14ac:dyDescent="0.25">
      <c r="A179" s="2">
        <v>96</v>
      </c>
      <c r="B179" s="10" t="s">
        <v>272</v>
      </c>
      <c r="C179" s="10" t="s">
        <v>273</v>
      </c>
      <c r="D179" s="10" t="s">
        <v>21</v>
      </c>
      <c r="E179" s="10" t="s">
        <v>6</v>
      </c>
      <c r="F179" s="10" t="s">
        <v>123</v>
      </c>
      <c r="G179" s="10" t="s">
        <v>29</v>
      </c>
      <c r="H179" s="13">
        <v>5789008.5279999999</v>
      </c>
      <c r="I179" s="15">
        <f>IF(Table1[[#This Row],[Salary]]&lt;1000000,Table1[[#This Row],[Salary]]*0.05,Table1[[#This Row],[Salary]]*0.1)</f>
        <v>578900.85279999999</v>
      </c>
      <c r="J179" s="15">
        <f>Table1[[#This Row],[Salary]]+Table1[[#This Row],[Bonus]]</f>
        <v>6367909.3807999995</v>
      </c>
      <c r="K179" s="25">
        <f>COUNTA(Table1[Employee_ID])</f>
        <v>1000</v>
      </c>
      <c r="L179" s="1">
        <f>SUM(Table1[Salary])</f>
        <v>3119391523.8580012</v>
      </c>
      <c r="M179" s="15">
        <f>AVERAGE(Table1[Salary])</f>
        <v>3119391.5238580015</v>
      </c>
      <c r="N179" s="29">
        <f>SUM(Table1[Bonus])</f>
        <v>308244983.02069992</v>
      </c>
    </row>
    <row r="180" spans="1:14" ht="12.75" customHeight="1" x14ac:dyDescent="0.25">
      <c r="A180" s="2">
        <v>96</v>
      </c>
      <c r="B180" s="10" t="s">
        <v>19</v>
      </c>
      <c r="C180" s="10" t="s">
        <v>745</v>
      </c>
      <c r="D180" s="10" t="s">
        <v>32</v>
      </c>
      <c r="E180" s="10" t="s">
        <v>0</v>
      </c>
      <c r="F180" s="10" t="s">
        <v>89</v>
      </c>
      <c r="G180" s="10" t="s">
        <v>56</v>
      </c>
      <c r="H180" s="13">
        <v>1357931.02</v>
      </c>
      <c r="I180" s="15">
        <f>IF(Table1[[#This Row],[Salary]]&lt;1000000,Table1[[#This Row],[Salary]]*0.05,Table1[[#This Row],[Salary]]*0.1)</f>
        <v>135793.10200000001</v>
      </c>
      <c r="J180" s="15">
        <f>Table1[[#This Row],[Salary]]+Table1[[#This Row],[Bonus]]</f>
        <v>1493724.122</v>
      </c>
      <c r="K180" s="25">
        <f>COUNTA(Table1[Employee_ID])</f>
        <v>1000</v>
      </c>
      <c r="L180" s="1">
        <f>SUM(Table1[Salary])</f>
        <v>3119391523.8580012</v>
      </c>
      <c r="M180" s="15">
        <f>AVERAGE(Table1[Salary])</f>
        <v>3119391.5238580015</v>
      </c>
      <c r="N180" s="29">
        <f>SUM(Table1[Bonus])</f>
        <v>308244983.02069992</v>
      </c>
    </row>
    <row r="181" spans="1:14" ht="12.75" customHeight="1" x14ac:dyDescent="0.25">
      <c r="A181" s="2">
        <v>97</v>
      </c>
      <c r="B181" s="10" t="s">
        <v>274</v>
      </c>
      <c r="C181" s="10" t="s">
        <v>275</v>
      </c>
      <c r="D181" s="10" t="s">
        <v>59</v>
      </c>
      <c r="E181" s="10" t="s">
        <v>33</v>
      </c>
      <c r="F181" s="10" t="s">
        <v>47</v>
      </c>
      <c r="G181" s="10" t="s">
        <v>23</v>
      </c>
      <c r="H181" s="13">
        <v>1303312</v>
      </c>
      <c r="I181" s="15">
        <f>IF(Table1[[#This Row],[Salary]]&lt;1000000,Table1[[#This Row],[Salary]]*0.05,Table1[[#This Row],[Salary]]*0.1)</f>
        <v>130331.20000000001</v>
      </c>
      <c r="J181" s="15">
        <f>Table1[[#This Row],[Salary]]+Table1[[#This Row],[Bonus]]</f>
        <v>1433643.2</v>
      </c>
      <c r="K181" s="25">
        <f>COUNTA(Table1[Employee_ID])</f>
        <v>1000</v>
      </c>
      <c r="L181" s="1">
        <f>SUM(Table1[Salary])</f>
        <v>3119391523.8580012</v>
      </c>
      <c r="M181" s="15">
        <f>AVERAGE(Table1[Salary])</f>
        <v>3119391.5238580015</v>
      </c>
      <c r="N181" s="29">
        <f>SUM(Table1[Bonus])</f>
        <v>308244983.02069992</v>
      </c>
    </row>
    <row r="182" spans="1:14" ht="12.75" customHeight="1" x14ac:dyDescent="0.25">
      <c r="A182" s="2">
        <v>97</v>
      </c>
      <c r="B182" s="10" t="s">
        <v>933</v>
      </c>
      <c r="C182" s="10" t="s">
        <v>1015</v>
      </c>
      <c r="D182" s="10" t="s">
        <v>21</v>
      </c>
      <c r="E182" s="10" t="s">
        <v>0</v>
      </c>
      <c r="F182" s="10" t="s">
        <v>22</v>
      </c>
      <c r="G182" s="10" t="s">
        <v>23</v>
      </c>
      <c r="H182" s="13">
        <v>5371890.6840000004</v>
      </c>
      <c r="I182" s="15">
        <f>IF(Table1[[#This Row],[Salary]]&lt;1000000,Table1[[#This Row],[Salary]]*0.05,Table1[[#This Row],[Salary]]*0.1)</f>
        <v>537189.06840000011</v>
      </c>
      <c r="J182" s="15">
        <f>Table1[[#This Row],[Salary]]+Table1[[#This Row],[Bonus]]</f>
        <v>5909079.7524000006</v>
      </c>
      <c r="K182" s="25">
        <f>COUNTA(Table1[Employee_ID])</f>
        <v>1000</v>
      </c>
      <c r="L182" s="1">
        <f>SUM(Table1[Salary])</f>
        <v>3119391523.8580012</v>
      </c>
      <c r="M182" s="15">
        <f>AVERAGE(Table1[Salary])</f>
        <v>3119391.5238580015</v>
      </c>
      <c r="N182" s="29">
        <f>SUM(Table1[Bonus])</f>
        <v>308244983.02069992</v>
      </c>
    </row>
    <row r="183" spans="1:14" ht="12.75" customHeight="1" x14ac:dyDescent="0.25">
      <c r="A183" s="2">
        <v>98</v>
      </c>
      <c r="B183" s="10" t="s">
        <v>781</v>
      </c>
      <c r="C183" s="10" t="s">
        <v>568</v>
      </c>
      <c r="D183" s="10" t="s">
        <v>21</v>
      </c>
      <c r="E183" s="10" t="s">
        <v>0</v>
      </c>
      <c r="F183" s="10" t="s">
        <v>70</v>
      </c>
      <c r="G183" s="10" t="s">
        <v>71</v>
      </c>
      <c r="H183" s="13">
        <v>2807561.6860000002</v>
      </c>
      <c r="I183" s="15">
        <f>IF(Table1[[#This Row],[Salary]]&lt;1000000,Table1[[#This Row],[Salary]]*0.05,Table1[[#This Row],[Salary]]*0.1)</f>
        <v>280756.16860000003</v>
      </c>
      <c r="J183" s="15">
        <f>Table1[[#This Row],[Salary]]+Table1[[#This Row],[Bonus]]</f>
        <v>3088317.8546000002</v>
      </c>
      <c r="K183" s="25">
        <f>COUNTA(Table1[Employee_ID])</f>
        <v>1000</v>
      </c>
      <c r="L183" s="1">
        <f>SUM(Table1[Salary])</f>
        <v>3119391523.8580012</v>
      </c>
      <c r="M183" s="15">
        <f>AVERAGE(Table1[Salary])</f>
        <v>3119391.5238580015</v>
      </c>
      <c r="N183" s="29">
        <f>SUM(Table1[Bonus])</f>
        <v>308244983.02069992</v>
      </c>
    </row>
    <row r="184" spans="1:14" ht="12.75" customHeight="1" x14ac:dyDescent="0.25">
      <c r="A184" s="2">
        <v>99</v>
      </c>
      <c r="B184" s="10" t="s">
        <v>1029</v>
      </c>
      <c r="C184" s="10" t="s">
        <v>1030</v>
      </c>
      <c r="D184" s="10" t="s">
        <v>46</v>
      </c>
      <c r="E184" s="10" t="s">
        <v>0</v>
      </c>
      <c r="F184" s="10" t="s">
        <v>89</v>
      </c>
      <c r="G184" s="10" t="s">
        <v>29</v>
      </c>
      <c r="H184" s="13">
        <v>4218136.0159999998</v>
      </c>
      <c r="I184" s="15">
        <f>IF(Table1[[#This Row],[Salary]]&lt;1000000,Table1[[#This Row],[Salary]]*0.05,Table1[[#This Row],[Salary]]*0.1)</f>
        <v>421813.60159999999</v>
      </c>
      <c r="J184" s="15">
        <f>Table1[[#This Row],[Salary]]+Table1[[#This Row],[Bonus]]</f>
        <v>4639949.6175999995</v>
      </c>
      <c r="K184" s="25">
        <f>COUNTA(Table1[Employee_ID])</f>
        <v>1000</v>
      </c>
      <c r="L184" s="1">
        <f>SUM(Table1[Salary])</f>
        <v>3119391523.8580012</v>
      </c>
      <c r="M184" s="15">
        <f>AVERAGE(Table1[Salary])</f>
        <v>3119391.5238580015</v>
      </c>
      <c r="N184" s="29">
        <f>SUM(Table1[Bonus])</f>
        <v>308244983.02069992</v>
      </c>
    </row>
    <row r="185" spans="1:14" ht="12.75" customHeight="1" x14ac:dyDescent="0.25">
      <c r="A185" s="2">
        <v>100</v>
      </c>
      <c r="B185" s="10" t="s">
        <v>279</v>
      </c>
      <c r="C185" s="10" t="s">
        <v>280</v>
      </c>
      <c r="D185" s="10" t="s">
        <v>46</v>
      </c>
      <c r="E185" s="10" t="s">
        <v>13</v>
      </c>
      <c r="F185" s="10" t="s">
        <v>120</v>
      </c>
      <c r="G185" s="10" t="s">
        <v>29</v>
      </c>
      <c r="H185" s="13">
        <v>2316296.736</v>
      </c>
      <c r="I185" s="15">
        <f>IF(Table1[[#This Row],[Salary]]&lt;1000000,Table1[[#This Row],[Salary]]*0.05,Table1[[#This Row],[Salary]]*0.1)</f>
        <v>231629.67360000001</v>
      </c>
      <c r="J185" s="15">
        <f>Table1[[#This Row],[Salary]]+Table1[[#This Row],[Bonus]]</f>
        <v>2547926.4095999999</v>
      </c>
      <c r="K185" s="25">
        <f>COUNTA(Table1[Employee_ID])</f>
        <v>1000</v>
      </c>
      <c r="L185" s="1">
        <f>SUM(Table1[Salary])</f>
        <v>3119391523.8580012</v>
      </c>
      <c r="M185" s="15">
        <f>AVERAGE(Table1[Salary])</f>
        <v>3119391.5238580015</v>
      </c>
      <c r="N185" s="29">
        <f>SUM(Table1[Bonus])</f>
        <v>308244983.02069992</v>
      </c>
    </row>
    <row r="186" spans="1:14" ht="12.75" customHeight="1" x14ac:dyDescent="0.25">
      <c r="A186" s="2">
        <v>100</v>
      </c>
      <c r="B186" s="10" t="s">
        <v>1052</v>
      </c>
      <c r="C186" s="10" t="s">
        <v>1053</v>
      </c>
      <c r="D186" s="10" t="s">
        <v>303</v>
      </c>
      <c r="E186" s="10" t="s">
        <v>0</v>
      </c>
      <c r="F186" s="10" t="s">
        <v>22</v>
      </c>
      <c r="G186" s="10" t="s">
        <v>56</v>
      </c>
      <c r="H186" s="13">
        <v>5290507.3820000002</v>
      </c>
      <c r="I186" s="15">
        <f>IF(Table1[[#This Row],[Salary]]&lt;1000000,Table1[[#This Row],[Salary]]*0.05,Table1[[#This Row],[Salary]]*0.1)</f>
        <v>529050.73820000002</v>
      </c>
      <c r="J186" s="15">
        <f>Table1[[#This Row],[Salary]]+Table1[[#This Row],[Bonus]]</f>
        <v>5819558.1202000007</v>
      </c>
      <c r="K186" s="25">
        <f>COUNTA(Table1[Employee_ID])</f>
        <v>1000</v>
      </c>
      <c r="L186" s="1">
        <f>SUM(Table1[Salary])</f>
        <v>3119391523.8580012</v>
      </c>
      <c r="M186" s="15">
        <f>AVERAGE(Table1[Salary])</f>
        <v>3119391.5238580015</v>
      </c>
      <c r="N186" s="29">
        <f>SUM(Table1[Bonus])</f>
        <v>308244983.02069992</v>
      </c>
    </row>
    <row r="187" spans="1:14" ht="12.75" customHeight="1" x14ac:dyDescent="0.25">
      <c r="A187" s="2">
        <v>101</v>
      </c>
      <c r="B187" s="10" t="s">
        <v>281</v>
      </c>
      <c r="C187" s="10" t="s">
        <v>282</v>
      </c>
      <c r="D187" s="10" t="s">
        <v>54</v>
      </c>
      <c r="E187" s="10" t="s">
        <v>13</v>
      </c>
      <c r="F187" s="10" t="s">
        <v>43</v>
      </c>
      <c r="G187" s="10" t="s">
        <v>35</v>
      </c>
      <c r="H187" s="13">
        <v>429196.86200000002</v>
      </c>
      <c r="I187" s="15">
        <f>IF(Table1[[#This Row],[Salary]]&lt;1000000,Table1[[#This Row],[Salary]]*0.05,Table1[[#This Row],[Salary]]*0.1)</f>
        <v>21459.843100000002</v>
      </c>
      <c r="J187" s="15">
        <f>Table1[[#This Row],[Salary]]+Table1[[#This Row],[Bonus]]</f>
        <v>450656.70510000002</v>
      </c>
      <c r="K187" s="25">
        <f>COUNTA(Table1[Employee_ID])</f>
        <v>1000</v>
      </c>
      <c r="L187" s="1">
        <f>SUM(Table1[Salary])</f>
        <v>3119391523.8580012</v>
      </c>
      <c r="M187" s="15">
        <f>AVERAGE(Table1[Salary])</f>
        <v>3119391.5238580015</v>
      </c>
      <c r="N187" s="29">
        <f>SUM(Table1[Bonus])</f>
        <v>308244983.02069992</v>
      </c>
    </row>
    <row r="188" spans="1:14" ht="12.75" customHeight="1" x14ac:dyDescent="0.25">
      <c r="A188" s="2">
        <v>101</v>
      </c>
      <c r="B188" s="10" t="s">
        <v>1061</v>
      </c>
      <c r="C188" s="10" t="s">
        <v>1051</v>
      </c>
      <c r="D188" s="10" t="s">
        <v>143</v>
      </c>
      <c r="E188" s="10" t="s">
        <v>0</v>
      </c>
      <c r="F188" s="10" t="s">
        <v>70</v>
      </c>
      <c r="G188" s="10" t="s">
        <v>29</v>
      </c>
      <c r="H188" s="13">
        <v>3323592.4760000003</v>
      </c>
      <c r="I188" s="15">
        <f>IF(Table1[[#This Row],[Salary]]&lt;1000000,Table1[[#This Row],[Salary]]*0.05,Table1[[#This Row],[Salary]]*0.1)</f>
        <v>332359.24760000006</v>
      </c>
      <c r="J188" s="15">
        <f>Table1[[#This Row],[Salary]]+Table1[[#This Row],[Bonus]]</f>
        <v>3655951.7236000001</v>
      </c>
      <c r="K188" s="25">
        <f>COUNTA(Table1[Employee_ID])</f>
        <v>1000</v>
      </c>
      <c r="L188" s="1">
        <f>SUM(Table1[Salary])</f>
        <v>3119391523.8580012</v>
      </c>
      <c r="M188" s="15">
        <f>AVERAGE(Table1[Salary])</f>
        <v>3119391.5238580015</v>
      </c>
      <c r="N188" s="29">
        <f>SUM(Table1[Bonus])</f>
        <v>308244983.02069992</v>
      </c>
    </row>
    <row r="189" spans="1:14" ht="12.75" customHeight="1" x14ac:dyDescent="0.25">
      <c r="A189" s="2">
        <v>102</v>
      </c>
      <c r="B189" s="10" t="s">
        <v>283</v>
      </c>
      <c r="C189" s="10" t="s">
        <v>284</v>
      </c>
      <c r="D189" s="10" t="s">
        <v>96</v>
      </c>
      <c r="E189" s="10" t="s">
        <v>27</v>
      </c>
      <c r="F189" s="10" t="s">
        <v>85</v>
      </c>
      <c r="G189" s="10" t="s">
        <v>48</v>
      </c>
      <c r="H189" s="13">
        <v>4648105.5120000001</v>
      </c>
      <c r="I189" s="15">
        <f>IF(Table1[[#This Row],[Salary]]&lt;1000000,Table1[[#This Row],[Salary]]*0.05,Table1[[#This Row],[Salary]]*0.1)</f>
        <v>464810.55120000005</v>
      </c>
      <c r="J189" s="15">
        <f>Table1[[#This Row],[Salary]]+Table1[[#This Row],[Bonus]]</f>
        <v>5112916.0631999997</v>
      </c>
      <c r="K189" s="25">
        <f>COUNTA(Table1[Employee_ID])</f>
        <v>1000</v>
      </c>
      <c r="L189" s="1">
        <f>SUM(Table1[Salary])</f>
        <v>3119391523.8580012</v>
      </c>
      <c r="M189" s="15">
        <f>AVERAGE(Table1[Salary])</f>
        <v>3119391.5238580015</v>
      </c>
      <c r="N189" s="29">
        <f>SUM(Table1[Bonus])</f>
        <v>308244983.02069992</v>
      </c>
    </row>
    <row r="190" spans="1:14" ht="12.75" customHeight="1" x14ac:dyDescent="0.25">
      <c r="A190" s="2">
        <v>102</v>
      </c>
      <c r="B190" s="10" t="s">
        <v>1062</v>
      </c>
      <c r="C190" s="10" t="s">
        <v>1063</v>
      </c>
      <c r="D190" s="10" t="s">
        <v>21</v>
      </c>
      <c r="E190" s="10" t="s">
        <v>0</v>
      </c>
      <c r="F190" s="10" t="s">
        <v>89</v>
      </c>
      <c r="G190" s="10" t="s">
        <v>23</v>
      </c>
      <c r="H190" s="13">
        <v>1125368.8219999999</v>
      </c>
      <c r="I190" s="15">
        <f>IF(Table1[[#This Row],[Salary]]&lt;1000000,Table1[[#This Row],[Salary]]*0.05,Table1[[#This Row],[Salary]]*0.1)</f>
        <v>112536.88219999999</v>
      </c>
      <c r="J190" s="15">
        <f>Table1[[#This Row],[Salary]]+Table1[[#This Row],[Bonus]]</f>
        <v>1237905.7042</v>
      </c>
      <c r="K190" s="25">
        <f>COUNTA(Table1[Employee_ID])</f>
        <v>1000</v>
      </c>
      <c r="L190" s="1">
        <f>SUM(Table1[Salary])</f>
        <v>3119391523.8580012</v>
      </c>
      <c r="M190" s="15">
        <f>AVERAGE(Table1[Salary])</f>
        <v>3119391.5238580015</v>
      </c>
      <c r="N190" s="29">
        <f>SUM(Table1[Bonus])</f>
        <v>308244983.02069992</v>
      </c>
    </row>
    <row r="191" spans="1:14" ht="12.75" customHeight="1" x14ac:dyDescent="0.25">
      <c r="A191" s="2">
        <v>103</v>
      </c>
      <c r="B191" s="10" t="s">
        <v>656</v>
      </c>
      <c r="C191" s="10" t="s">
        <v>1077</v>
      </c>
      <c r="D191" s="10" t="s">
        <v>21</v>
      </c>
      <c r="E191" s="10" t="s">
        <v>0</v>
      </c>
      <c r="F191" s="10" t="s">
        <v>22</v>
      </c>
      <c r="G191" s="10" t="s">
        <v>29</v>
      </c>
      <c r="H191" s="13">
        <v>641843.78</v>
      </c>
      <c r="I191" s="15">
        <f>IF(Table1[[#This Row],[Salary]]&lt;1000000,Table1[[#This Row],[Salary]]*0.05,Table1[[#This Row],[Salary]]*0.1)</f>
        <v>32092.189000000002</v>
      </c>
      <c r="J191" s="15">
        <f>Table1[[#This Row],[Salary]]+Table1[[#This Row],[Bonus]]</f>
        <v>673935.96900000004</v>
      </c>
      <c r="K191" s="25">
        <f>COUNTA(Table1[Employee_ID])</f>
        <v>1000</v>
      </c>
      <c r="L191" s="1">
        <f>SUM(Table1[Salary])</f>
        <v>3119391523.8580012</v>
      </c>
      <c r="M191" s="15">
        <f>AVERAGE(Table1[Salary])</f>
        <v>3119391.5238580015</v>
      </c>
      <c r="N191" s="29">
        <f>SUM(Table1[Bonus])</f>
        <v>308244983.02069992</v>
      </c>
    </row>
    <row r="192" spans="1:14" ht="12.75" customHeight="1" x14ac:dyDescent="0.25">
      <c r="A192" s="2">
        <v>104</v>
      </c>
      <c r="B192" s="10" t="s">
        <v>232</v>
      </c>
      <c r="C192" s="10" t="s">
        <v>287</v>
      </c>
      <c r="D192" s="10" t="s">
        <v>96</v>
      </c>
      <c r="E192" s="10" t="s">
        <v>33</v>
      </c>
      <c r="F192" s="10" t="s">
        <v>55</v>
      </c>
      <c r="G192" s="10" t="s">
        <v>56</v>
      </c>
      <c r="H192" s="13">
        <v>1135984</v>
      </c>
      <c r="I192" s="15">
        <f>IF(Table1[[#This Row],[Salary]]&lt;1000000,Table1[[#This Row],[Salary]]*0.05,Table1[[#This Row],[Salary]]*0.1)</f>
        <v>113598.40000000001</v>
      </c>
      <c r="J192" s="15">
        <f>Table1[[#This Row],[Salary]]+Table1[[#This Row],[Bonus]]</f>
        <v>1249582.3999999999</v>
      </c>
      <c r="K192" s="25">
        <f>COUNTA(Table1[Employee_ID])</f>
        <v>1000</v>
      </c>
      <c r="L192" s="1">
        <f>SUM(Table1[Salary])</f>
        <v>3119391523.8580012</v>
      </c>
      <c r="M192" s="15">
        <f>AVERAGE(Table1[Salary])</f>
        <v>3119391.5238580015</v>
      </c>
      <c r="N192" s="29">
        <f>SUM(Table1[Bonus])</f>
        <v>308244983.02069992</v>
      </c>
    </row>
    <row r="193" spans="1:14" ht="12.75" customHeight="1" x14ac:dyDescent="0.25">
      <c r="A193" s="2">
        <v>104</v>
      </c>
      <c r="B193" s="10" t="s">
        <v>1102</v>
      </c>
      <c r="C193" s="10" t="s">
        <v>1103</v>
      </c>
      <c r="D193" s="10" t="s">
        <v>112</v>
      </c>
      <c r="E193" s="10" t="s">
        <v>0</v>
      </c>
      <c r="F193" s="10" t="s">
        <v>70</v>
      </c>
      <c r="G193" s="10" t="s">
        <v>35</v>
      </c>
      <c r="H193" s="13">
        <v>4327323.7539999997</v>
      </c>
      <c r="I193" s="15">
        <f>IF(Table1[[#This Row],[Salary]]&lt;1000000,Table1[[#This Row],[Salary]]*0.05,Table1[[#This Row],[Salary]]*0.1)</f>
        <v>432732.37540000002</v>
      </c>
      <c r="J193" s="15">
        <f>Table1[[#This Row],[Salary]]+Table1[[#This Row],[Bonus]]</f>
        <v>4760056.1294</v>
      </c>
      <c r="K193" s="25">
        <f>COUNTA(Table1[Employee_ID])</f>
        <v>1000</v>
      </c>
      <c r="L193" s="1">
        <f>SUM(Table1[Salary])</f>
        <v>3119391523.8580012</v>
      </c>
      <c r="M193" s="15">
        <f>AVERAGE(Table1[Salary])</f>
        <v>3119391.5238580015</v>
      </c>
      <c r="N193" s="29">
        <f>SUM(Table1[Bonus])</f>
        <v>308244983.02069992</v>
      </c>
    </row>
    <row r="194" spans="1:14" ht="12.75" customHeight="1" x14ac:dyDescent="0.25">
      <c r="A194" s="2">
        <v>105</v>
      </c>
      <c r="B194" s="10" t="s">
        <v>1112</v>
      </c>
      <c r="C194" s="10" t="s">
        <v>1113</v>
      </c>
      <c r="D194" s="10" t="s">
        <v>183</v>
      </c>
      <c r="E194" s="10" t="s">
        <v>0</v>
      </c>
      <c r="F194" s="10" t="s">
        <v>89</v>
      </c>
      <c r="G194" s="10" t="s">
        <v>23</v>
      </c>
      <c r="H194" s="13">
        <v>3867667.8979999996</v>
      </c>
      <c r="I194" s="15">
        <f>IF(Table1[[#This Row],[Salary]]&lt;1000000,Table1[[#This Row],[Salary]]*0.05,Table1[[#This Row],[Salary]]*0.1)</f>
        <v>386766.78979999997</v>
      </c>
      <c r="J194" s="15">
        <f>Table1[[#This Row],[Salary]]+Table1[[#This Row],[Bonus]]</f>
        <v>4254434.6877999995</v>
      </c>
      <c r="K194" s="25">
        <f>COUNTA(Table1[Employee_ID])</f>
        <v>1000</v>
      </c>
      <c r="L194" s="1">
        <f>SUM(Table1[Salary])</f>
        <v>3119391523.8580012</v>
      </c>
      <c r="M194" s="15">
        <f>AVERAGE(Table1[Salary])</f>
        <v>3119391.5238580015</v>
      </c>
      <c r="N194" s="29">
        <f>SUM(Table1[Bonus])</f>
        <v>308244983.02069992</v>
      </c>
    </row>
    <row r="195" spans="1:14" ht="12.75" customHeight="1" x14ac:dyDescent="0.25">
      <c r="A195" s="2">
        <v>106</v>
      </c>
      <c r="B195" s="10" t="s">
        <v>290</v>
      </c>
      <c r="C195" s="10" t="s">
        <v>291</v>
      </c>
      <c r="D195" s="10" t="s">
        <v>54</v>
      </c>
      <c r="E195" s="10" t="s">
        <v>33</v>
      </c>
      <c r="F195" s="10" t="s">
        <v>34</v>
      </c>
      <c r="G195" s="10" t="s">
        <v>56</v>
      </c>
      <c r="H195" s="13">
        <v>1219227</v>
      </c>
      <c r="I195" s="15">
        <f>IF(Table1[[#This Row],[Salary]]&lt;1000000,Table1[[#This Row],[Salary]]*0.05,Table1[[#This Row],[Salary]]*0.1)</f>
        <v>121922.70000000001</v>
      </c>
      <c r="J195" s="15">
        <f>Table1[[#This Row],[Salary]]+Table1[[#This Row],[Bonus]]</f>
        <v>1341149.7</v>
      </c>
      <c r="K195" s="25">
        <f>COUNTA(Table1[Employee_ID])</f>
        <v>1000</v>
      </c>
      <c r="L195" s="1">
        <f>SUM(Table1[Salary])</f>
        <v>3119391523.8580012</v>
      </c>
      <c r="M195" s="15">
        <f>AVERAGE(Table1[Salary])</f>
        <v>3119391.5238580015</v>
      </c>
      <c r="N195" s="29">
        <f>SUM(Table1[Bonus])</f>
        <v>308244983.02069992</v>
      </c>
    </row>
    <row r="196" spans="1:14" ht="12.75" customHeight="1" x14ac:dyDescent="0.25">
      <c r="A196" s="2">
        <v>106</v>
      </c>
      <c r="B196" s="10" t="s">
        <v>1116</v>
      </c>
      <c r="C196" s="10" t="s">
        <v>1117</v>
      </c>
      <c r="D196" s="10" t="s">
        <v>77</v>
      </c>
      <c r="E196" s="10" t="s">
        <v>0</v>
      </c>
      <c r="F196" s="10" t="s">
        <v>22</v>
      </c>
      <c r="G196" s="10" t="s">
        <v>71</v>
      </c>
      <c r="H196" s="13">
        <v>2188268.77</v>
      </c>
      <c r="I196" s="15">
        <f>IF(Table1[[#This Row],[Salary]]&lt;1000000,Table1[[#This Row],[Salary]]*0.05,Table1[[#This Row],[Salary]]*0.1)</f>
        <v>218826.87700000001</v>
      </c>
      <c r="J196" s="15">
        <f>Table1[[#This Row],[Salary]]+Table1[[#This Row],[Bonus]]</f>
        <v>2407095.6469999999</v>
      </c>
      <c r="K196" s="25">
        <f>COUNTA(Table1[Employee_ID])</f>
        <v>1000</v>
      </c>
      <c r="L196" s="1">
        <f>SUM(Table1[Salary])</f>
        <v>3119391523.8580012</v>
      </c>
      <c r="M196" s="15">
        <f>AVERAGE(Table1[Salary])</f>
        <v>3119391.5238580015</v>
      </c>
      <c r="N196" s="29">
        <f>SUM(Table1[Bonus])</f>
        <v>308244983.02069992</v>
      </c>
    </row>
    <row r="197" spans="1:14" ht="12.75" customHeight="1" x14ac:dyDescent="0.25">
      <c r="A197" s="2">
        <v>107</v>
      </c>
      <c r="B197" s="10" t="s">
        <v>292</v>
      </c>
      <c r="C197" s="10" t="s">
        <v>293</v>
      </c>
      <c r="D197" s="10" t="s">
        <v>112</v>
      </c>
      <c r="E197" s="10" t="s">
        <v>27</v>
      </c>
      <c r="F197" s="10" t="s">
        <v>106</v>
      </c>
      <c r="G197" s="10" t="s">
        <v>56</v>
      </c>
      <c r="H197" s="13">
        <v>2960872.03</v>
      </c>
      <c r="I197" s="15">
        <f>IF(Table1[[#This Row],[Salary]]&lt;1000000,Table1[[#This Row],[Salary]]*0.05,Table1[[#This Row],[Salary]]*0.1)</f>
        <v>296087.20299999998</v>
      </c>
      <c r="J197" s="15">
        <f>Table1[[#This Row],[Salary]]+Table1[[#This Row],[Bonus]]</f>
        <v>3256959.233</v>
      </c>
      <c r="K197" s="25">
        <f>COUNTA(Table1[Employee_ID])</f>
        <v>1000</v>
      </c>
      <c r="L197" s="1">
        <f>SUM(Table1[Salary])</f>
        <v>3119391523.8580012</v>
      </c>
      <c r="M197" s="15">
        <f>AVERAGE(Table1[Salary])</f>
        <v>3119391.5238580015</v>
      </c>
      <c r="N197" s="29">
        <f>SUM(Table1[Bonus])</f>
        <v>308244983.02069992</v>
      </c>
    </row>
    <row r="198" spans="1:14" ht="12.75" customHeight="1" x14ac:dyDescent="0.25">
      <c r="A198" s="2">
        <v>107</v>
      </c>
      <c r="B198" s="10" t="s">
        <v>1083</v>
      </c>
      <c r="C198" s="10" t="s">
        <v>1119</v>
      </c>
      <c r="D198" s="10" t="s">
        <v>96</v>
      </c>
      <c r="E198" s="10" t="s">
        <v>0</v>
      </c>
      <c r="F198" s="10" t="s">
        <v>70</v>
      </c>
      <c r="G198" s="10" t="s">
        <v>29</v>
      </c>
      <c r="H198" s="13">
        <v>4857527.2740000002</v>
      </c>
      <c r="I198" s="15">
        <f>IF(Table1[[#This Row],[Salary]]&lt;1000000,Table1[[#This Row],[Salary]]*0.05,Table1[[#This Row],[Salary]]*0.1)</f>
        <v>485752.72740000003</v>
      </c>
      <c r="J198" s="15">
        <f>Table1[[#This Row],[Salary]]+Table1[[#This Row],[Bonus]]</f>
        <v>5343280.0014000004</v>
      </c>
      <c r="K198" s="25">
        <f>COUNTA(Table1[Employee_ID])</f>
        <v>1000</v>
      </c>
      <c r="L198" s="1">
        <f>SUM(Table1[Salary])</f>
        <v>3119391523.8580012</v>
      </c>
      <c r="M198" s="15">
        <f>AVERAGE(Table1[Salary])</f>
        <v>3119391.5238580015</v>
      </c>
      <c r="N198" s="29">
        <f>SUM(Table1[Bonus])</f>
        <v>308244983.02069992</v>
      </c>
    </row>
    <row r="199" spans="1:14" ht="12.75" customHeight="1" x14ac:dyDescent="0.25">
      <c r="A199" s="2">
        <v>108</v>
      </c>
      <c r="B199" s="10" t="s">
        <v>294</v>
      </c>
      <c r="C199" s="10" t="s">
        <v>295</v>
      </c>
      <c r="D199" s="10" t="s">
        <v>99</v>
      </c>
      <c r="E199" s="10" t="s">
        <v>33</v>
      </c>
      <c r="F199" s="10" t="s">
        <v>47</v>
      </c>
      <c r="G199" s="10" t="s">
        <v>23</v>
      </c>
      <c r="H199" s="13">
        <v>1772291</v>
      </c>
      <c r="I199" s="15">
        <f>IF(Table1[[#This Row],[Salary]]&lt;1000000,Table1[[#This Row],[Salary]]*0.05,Table1[[#This Row],[Salary]]*0.1)</f>
        <v>177229.1</v>
      </c>
      <c r="J199" s="15">
        <f>Table1[[#This Row],[Salary]]+Table1[[#This Row],[Bonus]]</f>
        <v>1949520.1</v>
      </c>
      <c r="K199" s="25">
        <f>COUNTA(Table1[Employee_ID])</f>
        <v>1000</v>
      </c>
      <c r="L199" s="1">
        <f>SUM(Table1[Salary])</f>
        <v>3119391523.8580012</v>
      </c>
      <c r="M199" s="15">
        <f>AVERAGE(Table1[Salary])</f>
        <v>3119391.5238580015</v>
      </c>
      <c r="N199" s="29">
        <f>SUM(Table1[Bonus])</f>
        <v>308244983.02069992</v>
      </c>
    </row>
    <row r="200" spans="1:14" ht="12.75" customHeight="1" x14ac:dyDescent="0.25">
      <c r="A200" s="2">
        <v>108</v>
      </c>
      <c r="B200" s="10" t="s">
        <v>1120</v>
      </c>
      <c r="C200" s="10" t="s">
        <v>1121</v>
      </c>
      <c r="D200" s="10" t="s">
        <v>316</v>
      </c>
      <c r="E200" s="10" t="s">
        <v>0</v>
      </c>
      <c r="F200" s="10" t="s">
        <v>89</v>
      </c>
      <c r="G200" s="10" t="s">
        <v>71</v>
      </c>
      <c r="H200" s="13">
        <v>2039321.598</v>
      </c>
      <c r="I200" s="15">
        <f>IF(Table1[[#This Row],[Salary]]&lt;1000000,Table1[[#This Row],[Salary]]*0.05,Table1[[#This Row],[Salary]]*0.1)</f>
        <v>203932.15980000002</v>
      </c>
      <c r="J200" s="15">
        <f>Table1[[#This Row],[Salary]]+Table1[[#This Row],[Bonus]]</f>
        <v>2243253.7577999998</v>
      </c>
      <c r="K200" s="25">
        <f>COUNTA(Table1[Employee_ID])</f>
        <v>1000</v>
      </c>
      <c r="L200" s="1">
        <f>SUM(Table1[Salary])</f>
        <v>3119391523.8580012</v>
      </c>
      <c r="M200" s="15">
        <f>AVERAGE(Table1[Salary])</f>
        <v>3119391.5238580015</v>
      </c>
      <c r="N200" s="29">
        <f>SUM(Table1[Bonus])</f>
        <v>308244983.02069992</v>
      </c>
    </row>
    <row r="201" spans="1:14" ht="12.75" customHeight="1" x14ac:dyDescent="0.25">
      <c r="A201" s="2">
        <v>109</v>
      </c>
      <c r="B201" s="10" t="s">
        <v>1114</v>
      </c>
      <c r="C201" s="10" t="s">
        <v>1090</v>
      </c>
      <c r="D201" s="10" t="s">
        <v>156</v>
      </c>
      <c r="E201" s="10" t="s">
        <v>0</v>
      </c>
      <c r="F201" s="10" t="s">
        <v>22</v>
      </c>
      <c r="G201" s="10" t="s">
        <v>23</v>
      </c>
      <c r="H201" s="13">
        <v>3248696.798</v>
      </c>
      <c r="I201" s="15">
        <f>IF(Table1[[#This Row],[Salary]]&lt;1000000,Table1[[#This Row],[Salary]]*0.05,Table1[[#This Row],[Salary]]*0.1)</f>
        <v>324869.67980000004</v>
      </c>
      <c r="J201" s="15">
        <f>Table1[[#This Row],[Salary]]+Table1[[#This Row],[Bonus]]</f>
        <v>3573566.4778</v>
      </c>
      <c r="K201" s="25">
        <f>COUNTA(Table1[Employee_ID])</f>
        <v>1000</v>
      </c>
      <c r="L201" s="1">
        <f>SUM(Table1[Salary])</f>
        <v>3119391523.8580012</v>
      </c>
      <c r="M201" s="15">
        <f>AVERAGE(Table1[Salary])</f>
        <v>3119391.5238580015</v>
      </c>
      <c r="N201" s="29">
        <f>SUM(Table1[Bonus])</f>
        <v>308244983.02069992</v>
      </c>
    </row>
    <row r="202" spans="1:14" ht="12.75" customHeight="1" x14ac:dyDescent="0.25">
      <c r="A202" s="2">
        <v>110</v>
      </c>
      <c r="B202" s="10" t="s">
        <v>297</v>
      </c>
      <c r="C202" s="10" t="s">
        <v>298</v>
      </c>
      <c r="D202" s="10" t="s">
        <v>125</v>
      </c>
      <c r="E202" s="10" t="s">
        <v>27</v>
      </c>
      <c r="F202" s="10" t="s">
        <v>28</v>
      </c>
      <c r="G202" s="10" t="s">
        <v>23</v>
      </c>
      <c r="H202" s="13">
        <v>1095923.824</v>
      </c>
      <c r="I202" s="15">
        <f>IF(Table1[[#This Row],[Salary]]&lt;1000000,Table1[[#This Row],[Salary]]*0.05,Table1[[#This Row],[Salary]]*0.1)</f>
        <v>109592.3824</v>
      </c>
      <c r="J202" s="15">
        <f>Table1[[#This Row],[Salary]]+Table1[[#This Row],[Bonus]]</f>
        <v>1205516.2064</v>
      </c>
      <c r="K202" s="25">
        <f>COUNTA(Table1[Employee_ID])</f>
        <v>1000</v>
      </c>
      <c r="L202" s="1">
        <f>SUM(Table1[Salary])</f>
        <v>3119391523.8580012</v>
      </c>
      <c r="M202" s="15">
        <f>AVERAGE(Table1[Salary])</f>
        <v>3119391.5238580015</v>
      </c>
      <c r="N202" s="29">
        <f>SUM(Table1[Bonus])</f>
        <v>308244983.02069992</v>
      </c>
    </row>
    <row r="203" spans="1:14" ht="12.75" customHeight="1" x14ac:dyDescent="0.25">
      <c r="A203" s="2">
        <v>110</v>
      </c>
      <c r="B203" s="10" t="s">
        <v>656</v>
      </c>
      <c r="C203" s="10" t="s">
        <v>568</v>
      </c>
      <c r="D203" s="10" t="s">
        <v>118</v>
      </c>
      <c r="E203" s="10" t="s">
        <v>0</v>
      </c>
      <c r="F203" s="10" t="s">
        <v>70</v>
      </c>
      <c r="G203" s="10" t="s">
        <v>56</v>
      </c>
      <c r="H203" s="13">
        <v>3970681.6660000002</v>
      </c>
      <c r="I203" s="15">
        <f>IF(Table1[[#This Row],[Salary]]&lt;1000000,Table1[[#This Row],[Salary]]*0.05,Table1[[#This Row],[Salary]]*0.1)</f>
        <v>397068.16660000006</v>
      </c>
      <c r="J203" s="15">
        <f>Table1[[#This Row],[Salary]]+Table1[[#This Row],[Bonus]]</f>
        <v>4367749.8326000003</v>
      </c>
      <c r="K203" s="25">
        <f>COUNTA(Table1[Employee_ID])</f>
        <v>1000</v>
      </c>
      <c r="L203" s="1">
        <f>SUM(Table1[Salary])</f>
        <v>3119391523.8580012</v>
      </c>
      <c r="M203" s="15">
        <f>AVERAGE(Table1[Salary])</f>
        <v>3119391.5238580015</v>
      </c>
      <c r="N203" s="29">
        <f>SUM(Table1[Bonus])</f>
        <v>308244983.02069992</v>
      </c>
    </row>
    <row r="204" spans="1:14" ht="12.75" customHeight="1" x14ac:dyDescent="0.25">
      <c r="A204" s="2">
        <v>111</v>
      </c>
      <c r="B204" s="10" t="s">
        <v>1070</v>
      </c>
      <c r="C204" s="10" t="s">
        <v>1082</v>
      </c>
      <c r="D204" s="10" t="s">
        <v>137</v>
      </c>
      <c r="E204" s="10" t="s">
        <v>0</v>
      </c>
      <c r="F204" s="10" t="s">
        <v>89</v>
      </c>
      <c r="G204" s="10" t="s">
        <v>56</v>
      </c>
      <c r="H204" s="13">
        <v>2503098.0979999998</v>
      </c>
      <c r="I204" s="15">
        <f>IF(Table1[[#This Row],[Salary]]&lt;1000000,Table1[[#This Row],[Salary]]*0.05,Table1[[#This Row],[Salary]]*0.1)</f>
        <v>250309.80979999999</v>
      </c>
      <c r="J204" s="15">
        <f>Table1[[#This Row],[Salary]]+Table1[[#This Row],[Bonus]]</f>
        <v>2753407.9077999997</v>
      </c>
      <c r="K204" s="25">
        <f>COUNTA(Table1[Employee_ID])</f>
        <v>1000</v>
      </c>
      <c r="L204" s="1">
        <f>SUM(Table1[Salary])</f>
        <v>3119391523.8580012</v>
      </c>
      <c r="M204" s="15">
        <f>AVERAGE(Table1[Salary])</f>
        <v>3119391.5238580015</v>
      </c>
      <c r="N204" s="29">
        <f>SUM(Table1[Bonus])</f>
        <v>308244983.02069992</v>
      </c>
    </row>
    <row r="205" spans="1:14" ht="12.75" customHeight="1" x14ac:dyDescent="0.25">
      <c r="A205" s="2">
        <v>112</v>
      </c>
      <c r="B205" s="10" t="s">
        <v>301</v>
      </c>
      <c r="C205" s="10" t="s">
        <v>302</v>
      </c>
      <c r="D205" s="10" t="s">
        <v>303</v>
      </c>
      <c r="E205" s="10" t="s">
        <v>33</v>
      </c>
      <c r="F205" s="10" t="s">
        <v>55</v>
      </c>
      <c r="G205" s="10" t="s">
        <v>23</v>
      </c>
      <c r="H205" s="13">
        <v>1243560</v>
      </c>
      <c r="I205" s="15">
        <f>IF(Table1[[#This Row],[Salary]]&lt;1000000,Table1[[#This Row],[Salary]]*0.05,Table1[[#This Row],[Salary]]*0.1)</f>
        <v>124356</v>
      </c>
      <c r="J205" s="15">
        <f>Table1[[#This Row],[Salary]]+Table1[[#This Row],[Bonus]]</f>
        <v>1367916</v>
      </c>
      <c r="K205" s="25">
        <f>COUNTA(Table1[Employee_ID])</f>
        <v>1000</v>
      </c>
      <c r="L205" s="1">
        <f>SUM(Table1[Salary])</f>
        <v>3119391523.8580012</v>
      </c>
      <c r="M205" s="15">
        <f>AVERAGE(Table1[Salary])</f>
        <v>3119391.5238580015</v>
      </c>
      <c r="N205" s="29">
        <f>SUM(Table1[Bonus])</f>
        <v>308244983.02069992</v>
      </c>
    </row>
    <row r="206" spans="1:14" ht="12.75" customHeight="1" x14ac:dyDescent="0.25">
      <c r="A206" s="2">
        <v>112</v>
      </c>
      <c r="B206" s="10" t="s">
        <v>1073</v>
      </c>
      <c r="C206" s="10" t="s">
        <v>1108</v>
      </c>
      <c r="D206" s="10" t="s">
        <v>99</v>
      </c>
      <c r="E206" s="10" t="s">
        <v>0</v>
      </c>
      <c r="F206" s="10" t="s">
        <v>22</v>
      </c>
      <c r="G206" s="10" t="s">
        <v>23</v>
      </c>
      <c r="H206" s="13">
        <v>3154663.5620000004</v>
      </c>
      <c r="I206" s="15">
        <f>IF(Table1[[#This Row],[Salary]]&lt;1000000,Table1[[#This Row],[Salary]]*0.05,Table1[[#This Row],[Salary]]*0.1)</f>
        <v>315466.35620000004</v>
      </c>
      <c r="J206" s="15">
        <f>Table1[[#This Row],[Salary]]+Table1[[#This Row],[Bonus]]</f>
        <v>3470129.9182000002</v>
      </c>
      <c r="K206" s="25">
        <f>COUNTA(Table1[Employee_ID])</f>
        <v>1000</v>
      </c>
      <c r="L206" s="1">
        <f>SUM(Table1[Salary])</f>
        <v>3119391523.8580012</v>
      </c>
      <c r="M206" s="15">
        <f>AVERAGE(Table1[Salary])</f>
        <v>3119391.5238580015</v>
      </c>
      <c r="N206" s="29">
        <f>SUM(Table1[Bonus])</f>
        <v>308244983.02069992</v>
      </c>
    </row>
    <row r="207" spans="1:14" ht="12.75" customHeight="1" x14ac:dyDescent="0.25">
      <c r="A207" s="2">
        <v>113</v>
      </c>
      <c r="B207" s="10" t="s">
        <v>304</v>
      </c>
      <c r="C207" s="10" t="s">
        <v>305</v>
      </c>
      <c r="D207" s="10" t="s">
        <v>32</v>
      </c>
      <c r="E207" s="10" t="s">
        <v>33</v>
      </c>
      <c r="F207" s="10" t="s">
        <v>34</v>
      </c>
      <c r="G207" s="10" t="s">
        <v>35</v>
      </c>
      <c r="H207" s="13">
        <v>1094416</v>
      </c>
      <c r="I207" s="15">
        <f>IF(Table1[[#This Row],[Salary]]&lt;1000000,Table1[[#This Row],[Salary]]*0.05,Table1[[#This Row],[Salary]]*0.1)</f>
        <v>109441.60000000001</v>
      </c>
      <c r="J207" s="15">
        <f>Table1[[#This Row],[Salary]]+Table1[[#This Row],[Bonus]]</f>
        <v>1203857.6000000001</v>
      </c>
      <c r="K207" s="25">
        <f>COUNTA(Table1[Employee_ID])</f>
        <v>1000</v>
      </c>
      <c r="L207" s="1">
        <f>SUM(Table1[Salary])</f>
        <v>3119391523.8580012</v>
      </c>
      <c r="M207" s="15">
        <f>AVERAGE(Table1[Salary])</f>
        <v>3119391.5238580015</v>
      </c>
      <c r="N207" s="29">
        <f>SUM(Table1[Bonus])</f>
        <v>308244983.02069992</v>
      </c>
    </row>
    <row r="208" spans="1:14" ht="12.75" customHeight="1" x14ac:dyDescent="0.25">
      <c r="A208" s="2">
        <v>113</v>
      </c>
      <c r="B208" s="10" t="s">
        <v>1098</v>
      </c>
      <c r="C208" s="10" t="s">
        <v>1092</v>
      </c>
      <c r="D208" s="10" t="s">
        <v>128</v>
      </c>
      <c r="E208" s="10" t="s">
        <v>0</v>
      </c>
      <c r="F208" s="10" t="s">
        <v>70</v>
      </c>
      <c r="G208" s="10" t="s">
        <v>23</v>
      </c>
      <c r="H208" s="13">
        <v>4307795.5860000001</v>
      </c>
      <c r="I208" s="15">
        <f>IF(Table1[[#This Row],[Salary]]&lt;1000000,Table1[[#This Row],[Salary]]*0.05,Table1[[#This Row],[Salary]]*0.1)</f>
        <v>430779.55860000005</v>
      </c>
      <c r="J208" s="15">
        <f>Table1[[#This Row],[Salary]]+Table1[[#This Row],[Bonus]]</f>
        <v>4738575.1446000002</v>
      </c>
      <c r="K208" s="25">
        <f>COUNTA(Table1[Employee_ID])</f>
        <v>1000</v>
      </c>
      <c r="L208" s="1">
        <f>SUM(Table1[Salary])</f>
        <v>3119391523.8580012</v>
      </c>
      <c r="M208" s="15">
        <f>AVERAGE(Table1[Salary])</f>
        <v>3119391.5238580015</v>
      </c>
      <c r="N208" s="29">
        <f>SUM(Table1[Bonus])</f>
        <v>308244983.02069992</v>
      </c>
    </row>
    <row r="209" spans="1:14" ht="12.75" customHeight="1" x14ac:dyDescent="0.25">
      <c r="A209" s="2">
        <v>114</v>
      </c>
      <c r="B209" s="10" t="s">
        <v>306</v>
      </c>
      <c r="C209" s="10" t="s">
        <v>307</v>
      </c>
      <c r="D209" s="10" t="s">
        <v>162</v>
      </c>
      <c r="E209" s="10" t="s">
        <v>27</v>
      </c>
      <c r="F209" s="10" t="s">
        <v>85</v>
      </c>
      <c r="G209" s="10" t="s">
        <v>71</v>
      </c>
      <c r="H209" s="13">
        <v>593548.06000000006</v>
      </c>
      <c r="I209" s="15">
        <f>IF(Table1[[#This Row],[Salary]]&lt;1000000,Table1[[#This Row],[Salary]]*0.05,Table1[[#This Row],[Salary]]*0.1)</f>
        <v>29677.403000000006</v>
      </c>
      <c r="J209" s="15">
        <f>Table1[[#This Row],[Salary]]+Table1[[#This Row],[Bonus]]</f>
        <v>623225.46300000011</v>
      </c>
      <c r="K209" s="25">
        <f>COUNTA(Table1[Employee_ID])</f>
        <v>1000</v>
      </c>
      <c r="L209" s="1">
        <f>SUM(Table1[Salary])</f>
        <v>3119391523.8580012</v>
      </c>
      <c r="M209" s="15">
        <f>AVERAGE(Table1[Salary])</f>
        <v>3119391.5238580015</v>
      </c>
      <c r="N209" s="29">
        <f>SUM(Table1[Bonus])</f>
        <v>308244983.02069992</v>
      </c>
    </row>
    <row r="210" spans="1:14" ht="12.75" customHeight="1" x14ac:dyDescent="0.25">
      <c r="A210" s="2">
        <v>114</v>
      </c>
      <c r="B210" s="10" t="s">
        <v>530</v>
      </c>
      <c r="C210" s="10" t="s">
        <v>1087</v>
      </c>
      <c r="D210" s="10" t="s">
        <v>125</v>
      </c>
      <c r="E210" s="10" t="s">
        <v>0</v>
      </c>
      <c r="F210" s="10" t="s">
        <v>89</v>
      </c>
      <c r="G210" s="10" t="s">
        <v>35</v>
      </c>
      <c r="H210" s="13">
        <v>538500.03399999999</v>
      </c>
      <c r="I210" s="15">
        <f>IF(Table1[[#This Row],[Salary]]&lt;1000000,Table1[[#This Row],[Salary]]*0.05,Table1[[#This Row],[Salary]]*0.1)</f>
        <v>26925.001700000001</v>
      </c>
      <c r="J210" s="15">
        <f>Table1[[#This Row],[Salary]]+Table1[[#This Row],[Bonus]]</f>
        <v>565425.03570000001</v>
      </c>
      <c r="K210" s="25">
        <f>COUNTA(Table1[Employee_ID])</f>
        <v>1000</v>
      </c>
      <c r="L210" s="1">
        <f>SUM(Table1[Salary])</f>
        <v>3119391523.8580012</v>
      </c>
      <c r="M210" s="15">
        <f>AVERAGE(Table1[Salary])</f>
        <v>3119391.5238580015</v>
      </c>
      <c r="N210" s="29">
        <f>SUM(Table1[Bonus])</f>
        <v>308244983.02069992</v>
      </c>
    </row>
    <row r="211" spans="1:14" ht="12.75" customHeight="1" x14ac:dyDescent="0.25">
      <c r="A211" s="2">
        <v>115</v>
      </c>
      <c r="B211" s="10" t="s">
        <v>1085</v>
      </c>
      <c r="C211" s="10" t="s">
        <v>1103</v>
      </c>
      <c r="D211" s="10" t="s">
        <v>183</v>
      </c>
      <c r="E211" s="10" t="s">
        <v>0</v>
      </c>
      <c r="F211" s="10" t="s">
        <v>22</v>
      </c>
      <c r="G211" s="10" t="s">
        <v>48</v>
      </c>
      <c r="H211" s="13">
        <v>4282257.8540000003</v>
      </c>
      <c r="I211" s="15">
        <f>IF(Table1[[#This Row],[Salary]]&lt;1000000,Table1[[#This Row],[Salary]]*0.05,Table1[[#This Row],[Salary]]*0.1)</f>
        <v>428225.78540000005</v>
      </c>
      <c r="J211" s="15">
        <f>Table1[[#This Row],[Salary]]+Table1[[#This Row],[Bonus]]</f>
        <v>4710483.6394000007</v>
      </c>
      <c r="K211" s="25">
        <f>COUNTA(Table1[Employee_ID])</f>
        <v>1000</v>
      </c>
      <c r="L211" s="1">
        <f>SUM(Table1[Salary])</f>
        <v>3119391523.8580012</v>
      </c>
      <c r="M211" s="15">
        <f>AVERAGE(Table1[Salary])</f>
        <v>3119391.5238580015</v>
      </c>
      <c r="N211" s="29">
        <f>SUM(Table1[Bonus])</f>
        <v>308244983.02069992</v>
      </c>
    </row>
    <row r="212" spans="1:14" ht="12.75" customHeight="1" x14ac:dyDescent="0.25">
      <c r="A212" s="2">
        <v>116</v>
      </c>
      <c r="B212" s="10" t="s">
        <v>310</v>
      </c>
      <c r="C212" s="10" t="s">
        <v>311</v>
      </c>
      <c r="D212" s="10" t="s">
        <v>303</v>
      </c>
      <c r="E212" s="10" t="s">
        <v>27</v>
      </c>
      <c r="F212" s="10" t="s">
        <v>106</v>
      </c>
      <c r="G212" s="10" t="s">
        <v>29</v>
      </c>
      <c r="H212" s="13">
        <v>3405789.6460000002</v>
      </c>
      <c r="I212" s="15">
        <f>IF(Table1[[#This Row],[Salary]]&lt;1000000,Table1[[#This Row],[Salary]]*0.05,Table1[[#This Row],[Salary]]*0.1)</f>
        <v>340578.96460000006</v>
      </c>
      <c r="J212" s="15">
        <f>Table1[[#This Row],[Salary]]+Table1[[#This Row],[Bonus]]</f>
        <v>3746368.6106000002</v>
      </c>
      <c r="K212" s="25">
        <f>COUNTA(Table1[Employee_ID])</f>
        <v>1000</v>
      </c>
      <c r="L212" s="1">
        <f>SUM(Table1[Salary])</f>
        <v>3119391523.8580012</v>
      </c>
      <c r="M212" s="15">
        <f>AVERAGE(Table1[Salary])</f>
        <v>3119391.5238580015</v>
      </c>
      <c r="N212" s="29">
        <f>SUM(Table1[Bonus])</f>
        <v>308244983.02069992</v>
      </c>
    </row>
    <row r="213" spans="1:14" ht="12.75" customHeight="1" x14ac:dyDescent="0.25">
      <c r="A213" s="2">
        <v>116</v>
      </c>
      <c r="B213" s="10" t="s">
        <v>19</v>
      </c>
      <c r="C213" s="10" t="s">
        <v>1130</v>
      </c>
      <c r="D213" s="10" t="s">
        <v>21</v>
      </c>
      <c r="E213" s="10" t="s">
        <v>0</v>
      </c>
      <c r="F213" s="10" t="s">
        <v>70</v>
      </c>
      <c r="G213" s="10" t="s">
        <v>35</v>
      </c>
      <c r="H213" s="13">
        <v>2714784.2320000003</v>
      </c>
      <c r="I213" s="15">
        <f>IF(Table1[[#This Row],[Salary]]&lt;1000000,Table1[[#This Row],[Salary]]*0.05,Table1[[#This Row],[Salary]]*0.1)</f>
        <v>271478.42320000002</v>
      </c>
      <c r="J213" s="15">
        <f>Table1[[#This Row],[Salary]]+Table1[[#This Row],[Bonus]]</f>
        <v>2986262.6552000004</v>
      </c>
      <c r="K213" s="25">
        <f>COUNTA(Table1[Employee_ID])</f>
        <v>1000</v>
      </c>
      <c r="L213" s="1">
        <f>SUM(Table1[Salary])</f>
        <v>3119391523.8580012</v>
      </c>
      <c r="M213" s="15">
        <f>AVERAGE(Table1[Salary])</f>
        <v>3119391.5238580015</v>
      </c>
      <c r="N213" s="29">
        <f>SUM(Table1[Bonus])</f>
        <v>308244983.02069992</v>
      </c>
    </row>
    <row r="214" spans="1:14" ht="12.75" customHeight="1" x14ac:dyDescent="0.25">
      <c r="A214" s="2">
        <v>117</v>
      </c>
      <c r="B214" s="10" t="s">
        <v>100</v>
      </c>
      <c r="C214" s="10" t="s">
        <v>312</v>
      </c>
      <c r="D214" s="10" t="s">
        <v>313</v>
      </c>
      <c r="E214" s="10" t="s">
        <v>13</v>
      </c>
      <c r="F214" s="10" t="s">
        <v>67</v>
      </c>
      <c r="G214" s="10" t="s">
        <v>23</v>
      </c>
      <c r="H214" s="13">
        <v>5462379.2800000003</v>
      </c>
      <c r="I214" s="15">
        <f>IF(Table1[[#This Row],[Salary]]&lt;1000000,Table1[[#This Row],[Salary]]*0.05,Table1[[#This Row],[Salary]]*0.1)</f>
        <v>546237.92800000007</v>
      </c>
      <c r="J214" s="15">
        <f>Table1[[#This Row],[Salary]]+Table1[[#This Row],[Bonus]]</f>
        <v>6008617.2080000006</v>
      </c>
      <c r="K214" s="25">
        <f>COUNTA(Table1[Employee_ID])</f>
        <v>1000</v>
      </c>
      <c r="L214" s="1">
        <f>SUM(Table1[Salary])</f>
        <v>3119391523.8580012</v>
      </c>
      <c r="M214" s="15">
        <f>AVERAGE(Table1[Salary])</f>
        <v>3119391.5238580015</v>
      </c>
      <c r="N214" s="29">
        <f>SUM(Table1[Bonus])</f>
        <v>308244983.02069992</v>
      </c>
    </row>
    <row r="215" spans="1:14" ht="12.75" customHeight="1" x14ac:dyDescent="0.25">
      <c r="A215" s="2">
        <v>117</v>
      </c>
      <c r="B215" s="10" t="s">
        <v>825</v>
      </c>
      <c r="C215" s="10" t="s">
        <v>1092</v>
      </c>
      <c r="D215" s="10" t="s">
        <v>177</v>
      </c>
      <c r="E215" s="10" t="s">
        <v>0</v>
      </c>
      <c r="F215" s="10" t="s">
        <v>89</v>
      </c>
      <c r="G215" s="10" t="s">
        <v>48</v>
      </c>
      <c r="H215" s="13">
        <v>5449297.926</v>
      </c>
      <c r="I215" s="15">
        <f>IF(Table1[[#This Row],[Salary]]&lt;1000000,Table1[[#This Row],[Salary]]*0.05,Table1[[#This Row],[Salary]]*0.1)</f>
        <v>544929.79260000004</v>
      </c>
      <c r="J215" s="15">
        <f>Table1[[#This Row],[Salary]]+Table1[[#This Row],[Bonus]]</f>
        <v>5994227.7186000003</v>
      </c>
      <c r="K215" s="25">
        <f>COUNTA(Table1[Employee_ID])</f>
        <v>1000</v>
      </c>
      <c r="L215" s="1">
        <f>SUM(Table1[Salary])</f>
        <v>3119391523.8580012</v>
      </c>
      <c r="M215" s="15">
        <f>AVERAGE(Table1[Salary])</f>
        <v>3119391.5238580015</v>
      </c>
      <c r="N215" s="29">
        <f>SUM(Table1[Bonus])</f>
        <v>308244983.02069992</v>
      </c>
    </row>
    <row r="216" spans="1:14" ht="12.75" customHeight="1" x14ac:dyDescent="0.25">
      <c r="A216" s="2">
        <v>118</v>
      </c>
      <c r="B216" s="10" t="s">
        <v>314</v>
      </c>
      <c r="C216" s="10" t="s">
        <v>315</v>
      </c>
      <c r="D216" s="10" t="s">
        <v>316</v>
      </c>
      <c r="E216" s="10" t="s">
        <v>39</v>
      </c>
      <c r="F216" s="10" t="s">
        <v>40</v>
      </c>
      <c r="G216" s="10" t="s">
        <v>23</v>
      </c>
      <c r="H216" s="13">
        <v>1914711.1780000001</v>
      </c>
      <c r="I216" s="15">
        <f>IF(Table1[[#This Row],[Salary]]&lt;1000000,Table1[[#This Row],[Salary]]*0.05,Table1[[#This Row],[Salary]]*0.1)</f>
        <v>191471.11780000001</v>
      </c>
      <c r="J216" s="15">
        <f>Table1[[#This Row],[Salary]]+Table1[[#This Row],[Bonus]]</f>
        <v>2106182.2958</v>
      </c>
      <c r="K216" s="25">
        <f>COUNTA(Table1[Employee_ID])</f>
        <v>1000</v>
      </c>
      <c r="L216" s="1">
        <f>SUM(Table1[Salary])</f>
        <v>3119391523.8580012</v>
      </c>
      <c r="M216" s="15">
        <f>AVERAGE(Table1[Salary])</f>
        <v>3119391.5238580015</v>
      </c>
      <c r="N216" s="29">
        <f>SUM(Table1[Bonus])</f>
        <v>308244983.02069992</v>
      </c>
    </row>
    <row r="217" spans="1:14" ht="12.75" customHeight="1" x14ac:dyDescent="0.25">
      <c r="A217" s="2">
        <v>118</v>
      </c>
      <c r="B217" s="10" t="s">
        <v>1102</v>
      </c>
      <c r="C217" s="10" t="s">
        <v>1087</v>
      </c>
      <c r="D217" s="10" t="s">
        <v>313</v>
      </c>
      <c r="E217" s="10" t="s">
        <v>0</v>
      </c>
      <c r="F217" s="10" t="s">
        <v>22</v>
      </c>
      <c r="G217" s="10" t="s">
        <v>56</v>
      </c>
      <c r="H217" s="13">
        <v>1047678.242</v>
      </c>
      <c r="I217" s="15">
        <f>IF(Table1[[#This Row],[Salary]]&lt;1000000,Table1[[#This Row],[Salary]]*0.05,Table1[[#This Row],[Salary]]*0.1)</f>
        <v>104767.8242</v>
      </c>
      <c r="J217" s="15">
        <f>Table1[[#This Row],[Salary]]+Table1[[#This Row],[Bonus]]</f>
        <v>1152446.0662</v>
      </c>
      <c r="K217" s="25">
        <f>COUNTA(Table1[Employee_ID])</f>
        <v>1000</v>
      </c>
      <c r="L217" s="1">
        <f>SUM(Table1[Salary])</f>
        <v>3119391523.8580012</v>
      </c>
      <c r="M217" s="15">
        <f>AVERAGE(Table1[Salary])</f>
        <v>3119391.5238580015</v>
      </c>
      <c r="N217" s="29">
        <f>SUM(Table1[Bonus])</f>
        <v>308244983.02069992</v>
      </c>
    </row>
    <row r="218" spans="1:14" ht="12.75" customHeight="1" x14ac:dyDescent="0.25">
      <c r="A218" s="2">
        <v>119</v>
      </c>
      <c r="B218" s="10" t="s">
        <v>317</v>
      </c>
      <c r="C218" s="10" t="s">
        <v>318</v>
      </c>
      <c r="D218" s="10" t="s">
        <v>26</v>
      </c>
      <c r="E218" s="10" t="s">
        <v>27</v>
      </c>
      <c r="F218" s="10" t="s">
        <v>28</v>
      </c>
      <c r="G218" s="10" t="s">
        <v>56</v>
      </c>
      <c r="H218" s="13">
        <v>794423.0419999999</v>
      </c>
      <c r="I218" s="15">
        <f>IF(Table1[[#This Row],[Salary]]&lt;1000000,Table1[[#This Row],[Salary]]*0.05,Table1[[#This Row],[Salary]]*0.1)</f>
        <v>39721.152099999999</v>
      </c>
      <c r="J218" s="15">
        <f>Table1[[#This Row],[Salary]]+Table1[[#This Row],[Bonus]]</f>
        <v>834144.19409999985</v>
      </c>
      <c r="K218" s="25">
        <f>COUNTA(Table1[Employee_ID])</f>
        <v>1000</v>
      </c>
      <c r="L218" s="1">
        <f>SUM(Table1[Salary])</f>
        <v>3119391523.8580012</v>
      </c>
      <c r="M218" s="15">
        <f>AVERAGE(Table1[Salary])</f>
        <v>3119391.5238580015</v>
      </c>
      <c r="N218" s="29">
        <f>SUM(Table1[Bonus])</f>
        <v>308244983.02069992</v>
      </c>
    </row>
    <row r="219" spans="1:14" ht="12.75" customHeight="1" x14ac:dyDescent="0.25">
      <c r="A219" s="2">
        <v>119</v>
      </c>
      <c r="B219" s="10" t="s">
        <v>795</v>
      </c>
      <c r="C219" s="10" t="s">
        <v>898</v>
      </c>
      <c r="D219" s="10" t="s">
        <v>174</v>
      </c>
      <c r="E219" s="10" t="s">
        <v>0</v>
      </c>
      <c r="F219" s="10" t="s">
        <v>70</v>
      </c>
      <c r="G219" s="10" t="s">
        <v>23</v>
      </c>
      <c r="H219" s="13">
        <v>3738168.44</v>
      </c>
      <c r="I219" s="15">
        <f>IF(Table1[[#This Row],[Salary]]&lt;1000000,Table1[[#This Row],[Salary]]*0.05,Table1[[#This Row],[Salary]]*0.1)</f>
        <v>373816.84400000004</v>
      </c>
      <c r="J219" s="15">
        <f>Table1[[#This Row],[Salary]]+Table1[[#This Row],[Bonus]]</f>
        <v>4111985.284</v>
      </c>
      <c r="K219" s="25">
        <f>COUNTA(Table1[Employee_ID])</f>
        <v>1000</v>
      </c>
      <c r="L219" s="1">
        <f>SUM(Table1[Salary])</f>
        <v>3119391523.8580012</v>
      </c>
      <c r="M219" s="15">
        <f>AVERAGE(Table1[Salary])</f>
        <v>3119391.5238580015</v>
      </c>
      <c r="N219" s="29">
        <f>SUM(Table1[Bonus])</f>
        <v>308244983.02069992</v>
      </c>
    </row>
    <row r="220" spans="1:14" ht="12.75" customHeight="1" x14ac:dyDescent="0.25">
      <c r="A220" s="2">
        <v>120</v>
      </c>
      <c r="B220" s="10" t="s">
        <v>178</v>
      </c>
      <c r="C220" s="10" t="s">
        <v>319</v>
      </c>
      <c r="D220" s="10" t="s">
        <v>128</v>
      </c>
      <c r="E220" s="10" t="s">
        <v>63</v>
      </c>
      <c r="F220" s="10" t="s">
        <v>113</v>
      </c>
      <c r="G220" s="10" t="s">
        <v>35</v>
      </c>
      <c r="H220" s="13">
        <v>4204591.76</v>
      </c>
      <c r="I220" s="15">
        <f>IF(Table1[[#This Row],[Salary]]&lt;1000000,Table1[[#This Row],[Salary]]*0.05,Table1[[#This Row],[Salary]]*0.1)</f>
        <v>420459.17599999998</v>
      </c>
      <c r="J220" s="15">
        <f>Table1[[#This Row],[Salary]]+Table1[[#This Row],[Bonus]]</f>
        <v>4625050.9359999998</v>
      </c>
      <c r="K220" s="25">
        <f>COUNTA(Table1[Employee_ID])</f>
        <v>1000</v>
      </c>
      <c r="L220" s="1">
        <f>SUM(Table1[Salary])</f>
        <v>3119391523.8580012</v>
      </c>
      <c r="M220" s="15">
        <f>AVERAGE(Table1[Salary])</f>
        <v>3119391.5238580015</v>
      </c>
      <c r="N220" s="29">
        <f>SUM(Table1[Bonus])</f>
        <v>308244983.02069992</v>
      </c>
    </row>
    <row r="221" spans="1:14" ht="12.75" customHeight="1" x14ac:dyDescent="0.25">
      <c r="A221" s="2">
        <v>120</v>
      </c>
      <c r="B221" s="10" t="s">
        <v>1116</v>
      </c>
      <c r="C221" s="10" t="s">
        <v>1097</v>
      </c>
      <c r="D221" s="10" t="s">
        <v>183</v>
      </c>
      <c r="E221" s="10" t="s">
        <v>0</v>
      </c>
      <c r="F221" s="10" t="s">
        <v>89</v>
      </c>
      <c r="G221" s="10" t="s">
        <v>71</v>
      </c>
      <c r="H221" s="13">
        <v>2577150.7579999999</v>
      </c>
      <c r="I221" s="15">
        <f>IF(Table1[[#This Row],[Salary]]&lt;1000000,Table1[[#This Row],[Salary]]*0.05,Table1[[#This Row],[Salary]]*0.1)</f>
        <v>257715.07579999999</v>
      </c>
      <c r="J221" s="15">
        <f>Table1[[#This Row],[Salary]]+Table1[[#This Row],[Bonus]]</f>
        <v>2834865.8338000001</v>
      </c>
      <c r="K221" s="25">
        <f>COUNTA(Table1[Employee_ID])</f>
        <v>1000</v>
      </c>
      <c r="L221" s="1">
        <f>SUM(Table1[Salary])</f>
        <v>3119391523.8580012</v>
      </c>
      <c r="M221" s="15">
        <f>AVERAGE(Table1[Salary])</f>
        <v>3119391.5238580015</v>
      </c>
      <c r="N221" s="29">
        <f>SUM(Table1[Bonus])</f>
        <v>308244983.02069992</v>
      </c>
    </row>
    <row r="222" spans="1:14" ht="12.75" customHeight="1" x14ac:dyDescent="0.25">
      <c r="A222" s="2">
        <v>121</v>
      </c>
      <c r="B222" s="10" t="s">
        <v>320</v>
      </c>
      <c r="C222" s="10" t="s">
        <v>321</v>
      </c>
      <c r="D222" s="10" t="s">
        <v>118</v>
      </c>
      <c r="E222" s="10" t="s">
        <v>10</v>
      </c>
      <c r="F222" s="10" t="s">
        <v>131</v>
      </c>
      <c r="G222" s="10" t="s">
        <v>23</v>
      </c>
      <c r="H222" s="13">
        <v>5602696.8859999999</v>
      </c>
      <c r="I222" s="15">
        <f>IF(Table1[[#This Row],[Salary]]&lt;1000000,Table1[[#This Row],[Salary]]*0.05,Table1[[#This Row],[Salary]]*0.1)</f>
        <v>560269.68859999999</v>
      </c>
      <c r="J222" s="15">
        <f>Table1[[#This Row],[Salary]]+Table1[[#This Row],[Bonus]]</f>
        <v>6162966.5745999999</v>
      </c>
      <c r="K222" s="25">
        <f>COUNTA(Table1[Employee_ID])</f>
        <v>1000</v>
      </c>
      <c r="L222" s="1">
        <f>SUM(Table1[Salary])</f>
        <v>3119391523.8580012</v>
      </c>
      <c r="M222" s="15">
        <f>AVERAGE(Table1[Salary])</f>
        <v>3119391.5238580015</v>
      </c>
      <c r="N222" s="29">
        <f>SUM(Table1[Bonus])</f>
        <v>308244983.02069992</v>
      </c>
    </row>
    <row r="223" spans="1:14" ht="12.75" customHeight="1" x14ac:dyDescent="0.25">
      <c r="A223" s="2">
        <v>121</v>
      </c>
      <c r="B223" s="10" t="s">
        <v>1104</v>
      </c>
      <c r="C223" s="10" t="s">
        <v>1109</v>
      </c>
      <c r="D223" s="10" t="s">
        <v>54</v>
      </c>
      <c r="E223" s="10" t="s">
        <v>0</v>
      </c>
      <c r="F223" s="10" t="s">
        <v>22</v>
      </c>
      <c r="G223" s="10" t="s">
        <v>29</v>
      </c>
      <c r="H223" s="13">
        <v>3082391.3840000001</v>
      </c>
      <c r="I223" s="15">
        <f>IF(Table1[[#This Row],[Salary]]&lt;1000000,Table1[[#This Row],[Salary]]*0.05,Table1[[#This Row],[Salary]]*0.1)</f>
        <v>308239.1384</v>
      </c>
      <c r="J223" s="15">
        <f>Table1[[#This Row],[Salary]]+Table1[[#This Row],[Bonus]]</f>
        <v>3390630.5224000001</v>
      </c>
      <c r="K223" s="25">
        <f>COUNTA(Table1[Employee_ID])</f>
        <v>1000</v>
      </c>
      <c r="L223" s="1">
        <f>SUM(Table1[Salary])</f>
        <v>3119391523.8580012</v>
      </c>
      <c r="M223" s="15">
        <f>AVERAGE(Table1[Salary])</f>
        <v>3119391.5238580015</v>
      </c>
      <c r="N223" s="29">
        <f>SUM(Table1[Bonus])</f>
        <v>308244983.02069992</v>
      </c>
    </row>
    <row r="224" spans="1:14" ht="12.75" customHeight="1" x14ac:dyDescent="0.25">
      <c r="A224" s="2">
        <v>122</v>
      </c>
      <c r="B224" s="10" t="s">
        <v>322</v>
      </c>
      <c r="C224" s="10" t="s">
        <v>323</v>
      </c>
      <c r="D224" s="10" t="s">
        <v>324</v>
      </c>
      <c r="E224" s="10" t="s">
        <v>33</v>
      </c>
      <c r="F224" s="10" t="s">
        <v>47</v>
      </c>
      <c r="G224" s="10" t="s">
        <v>48</v>
      </c>
      <c r="H224" s="13">
        <v>830485</v>
      </c>
      <c r="I224" s="15">
        <f>IF(Table1[[#This Row],[Salary]]&lt;1000000,Table1[[#This Row],[Salary]]*0.05,Table1[[#This Row],[Salary]]*0.1)</f>
        <v>41524.25</v>
      </c>
      <c r="J224" s="15">
        <f>Table1[[#This Row],[Salary]]+Table1[[#This Row],[Bonus]]</f>
        <v>872009.25</v>
      </c>
      <c r="K224" s="25">
        <f>COUNTA(Table1[Employee_ID])</f>
        <v>1000</v>
      </c>
      <c r="L224" s="1">
        <f>SUM(Table1[Salary])</f>
        <v>3119391523.8580012</v>
      </c>
      <c r="M224" s="15">
        <f>AVERAGE(Table1[Salary])</f>
        <v>3119391.5238580015</v>
      </c>
      <c r="N224" s="29">
        <f>SUM(Table1[Bonus])</f>
        <v>308244983.02069992</v>
      </c>
    </row>
    <row r="225" spans="1:14" ht="12.75" customHeight="1" x14ac:dyDescent="0.25">
      <c r="A225" s="2">
        <v>122</v>
      </c>
      <c r="B225" s="10" t="s">
        <v>1069</v>
      </c>
      <c r="C225" s="10" t="s">
        <v>869</v>
      </c>
      <c r="D225" s="10" t="s">
        <v>59</v>
      </c>
      <c r="E225" s="10" t="s">
        <v>0</v>
      </c>
      <c r="F225" s="10" t="s">
        <v>70</v>
      </c>
      <c r="G225" s="10" t="s">
        <v>56</v>
      </c>
      <c r="H225" s="13">
        <v>2621908.8339999998</v>
      </c>
      <c r="I225" s="15">
        <f>IF(Table1[[#This Row],[Salary]]&lt;1000000,Table1[[#This Row],[Salary]]*0.05,Table1[[#This Row],[Salary]]*0.1)</f>
        <v>262190.88339999999</v>
      </c>
      <c r="J225" s="15">
        <f>Table1[[#This Row],[Salary]]+Table1[[#This Row],[Bonus]]</f>
        <v>2884099.7174</v>
      </c>
      <c r="K225" s="25">
        <f>COUNTA(Table1[Employee_ID])</f>
        <v>1000</v>
      </c>
      <c r="L225" s="1">
        <f>SUM(Table1[Salary])</f>
        <v>3119391523.8580012</v>
      </c>
      <c r="M225" s="15">
        <f>AVERAGE(Table1[Salary])</f>
        <v>3119391.5238580015</v>
      </c>
      <c r="N225" s="29">
        <f>SUM(Table1[Bonus])</f>
        <v>308244983.02069992</v>
      </c>
    </row>
    <row r="226" spans="1:14" ht="12.75" customHeight="1" x14ac:dyDescent="0.25">
      <c r="A226" s="2">
        <v>123</v>
      </c>
      <c r="B226" s="10" t="s">
        <v>325</v>
      </c>
      <c r="C226" s="10" t="s">
        <v>326</v>
      </c>
      <c r="D226" s="10" t="s">
        <v>143</v>
      </c>
      <c r="E226" s="10" t="s">
        <v>10</v>
      </c>
      <c r="F226" s="10" t="s">
        <v>78</v>
      </c>
      <c r="G226" s="10" t="s">
        <v>71</v>
      </c>
      <c r="H226" s="13">
        <v>4554376.602</v>
      </c>
      <c r="I226" s="15">
        <f>IF(Table1[[#This Row],[Salary]]&lt;1000000,Table1[[#This Row],[Salary]]*0.05,Table1[[#This Row],[Salary]]*0.1)</f>
        <v>455437.66020000004</v>
      </c>
      <c r="J226" s="15">
        <f>Table1[[#This Row],[Salary]]+Table1[[#This Row],[Bonus]]</f>
        <v>5009814.2621999998</v>
      </c>
      <c r="K226" s="25">
        <f>COUNTA(Table1[Employee_ID])</f>
        <v>1000</v>
      </c>
      <c r="L226" s="1">
        <f>SUM(Table1[Salary])</f>
        <v>3119391523.8580012</v>
      </c>
      <c r="M226" s="15">
        <f>AVERAGE(Table1[Salary])</f>
        <v>3119391.5238580015</v>
      </c>
      <c r="N226" s="29">
        <f>SUM(Table1[Bonus])</f>
        <v>308244983.02069992</v>
      </c>
    </row>
    <row r="227" spans="1:14" ht="12.75" customHeight="1" x14ac:dyDescent="0.25">
      <c r="A227" s="2">
        <v>123</v>
      </c>
      <c r="B227" s="10" t="s">
        <v>1098</v>
      </c>
      <c r="C227" s="10" t="s">
        <v>1108</v>
      </c>
      <c r="D227" s="10" t="s">
        <v>118</v>
      </c>
      <c r="E227" s="10" t="s">
        <v>0</v>
      </c>
      <c r="F227" s="10" t="s">
        <v>89</v>
      </c>
      <c r="G227" s="10" t="s">
        <v>23</v>
      </c>
      <c r="H227" s="13">
        <v>5120636.34</v>
      </c>
      <c r="I227" s="15">
        <f>IF(Table1[[#This Row],[Salary]]&lt;1000000,Table1[[#This Row],[Salary]]*0.05,Table1[[#This Row],[Salary]]*0.1)</f>
        <v>512063.63400000002</v>
      </c>
      <c r="J227" s="15">
        <f>Table1[[#This Row],[Salary]]+Table1[[#This Row],[Bonus]]</f>
        <v>5632699.9739999995</v>
      </c>
      <c r="K227" s="25">
        <f>COUNTA(Table1[Employee_ID])</f>
        <v>1000</v>
      </c>
      <c r="L227" s="1">
        <f>SUM(Table1[Salary])</f>
        <v>3119391523.8580012</v>
      </c>
      <c r="M227" s="15">
        <f>AVERAGE(Table1[Salary])</f>
        <v>3119391.5238580015</v>
      </c>
      <c r="N227" s="29">
        <f>SUM(Table1[Bonus])</f>
        <v>308244983.02069992</v>
      </c>
    </row>
    <row r="228" spans="1:14" ht="12.75" customHeight="1" x14ac:dyDescent="0.25">
      <c r="A228" s="2">
        <v>124</v>
      </c>
      <c r="B228" s="10" t="s">
        <v>327</v>
      </c>
      <c r="C228" s="10" t="s">
        <v>328</v>
      </c>
      <c r="D228" s="10" t="s">
        <v>21</v>
      </c>
      <c r="E228" s="10" t="s">
        <v>27</v>
      </c>
      <c r="F228" s="10" t="s">
        <v>85</v>
      </c>
      <c r="G228" s="10" t="s">
        <v>23</v>
      </c>
      <c r="H228" s="13">
        <v>3912350.1839999999</v>
      </c>
      <c r="I228" s="15">
        <f>IF(Table1[[#This Row],[Salary]]&lt;1000000,Table1[[#This Row],[Salary]]*0.05,Table1[[#This Row],[Salary]]*0.1)</f>
        <v>391235.0184</v>
      </c>
      <c r="J228" s="15">
        <f>Table1[[#This Row],[Salary]]+Table1[[#This Row],[Bonus]]</f>
        <v>4303585.2023999998</v>
      </c>
      <c r="K228" s="25">
        <f>COUNTA(Table1[Employee_ID])</f>
        <v>1000</v>
      </c>
      <c r="L228" s="1">
        <f>SUM(Table1[Salary])</f>
        <v>3119391523.8580012</v>
      </c>
      <c r="M228" s="15">
        <f>AVERAGE(Table1[Salary])</f>
        <v>3119391.5238580015</v>
      </c>
      <c r="N228" s="29">
        <f>SUM(Table1[Bonus])</f>
        <v>308244983.02069992</v>
      </c>
    </row>
    <row r="229" spans="1:14" ht="12.75" customHeight="1" x14ac:dyDescent="0.25">
      <c r="A229" s="2">
        <v>124</v>
      </c>
      <c r="B229" s="10" t="s">
        <v>1037</v>
      </c>
      <c r="C229" s="10" t="s">
        <v>1140</v>
      </c>
      <c r="D229" s="10" t="s">
        <v>54</v>
      </c>
      <c r="E229" s="10" t="s">
        <v>0</v>
      </c>
      <c r="F229" s="10" t="s">
        <v>22</v>
      </c>
      <c r="G229" s="10" t="s">
        <v>71</v>
      </c>
      <c r="H229" s="13">
        <v>2874256.8859999999</v>
      </c>
      <c r="I229" s="15">
        <f>IF(Table1[[#This Row],[Salary]]&lt;1000000,Table1[[#This Row],[Salary]]*0.05,Table1[[#This Row],[Salary]]*0.1)</f>
        <v>287425.68859999999</v>
      </c>
      <c r="J229" s="15">
        <f>Table1[[#This Row],[Salary]]+Table1[[#This Row],[Bonus]]</f>
        <v>3161682.5745999999</v>
      </c>
      <c r="K229" s="25">
        <f>COUNTA(Table1[Employee_ID])</f>
        <v>1000</v>
      </c>
      <c r="L229" s="1">
        <f>SUM(Table1[Salary])</f>
        <v>3119391523.8580012</v>
      </c>
      <c r="M229" s="15">
        <f>AVERAGE(Table1[Salary])</f>
        <v>3119391.5238580015</v>
      </c>
      <c r="N229" s="29">
        <f>SUM(Table1[Bonus])</f>
        <v>308244983.02069992</v>
      </c>
    </row>
    <row r="230" spans="1:14" ht="12.75" customHeight="1" x14ac:dyDescent="0.25">
      <c r="A230" s="2">
        <v>125</v>
      </c>
      <c r="B230" s="10" t="s">
        <v>329</v>
      </c>
      <c r="C230" s="10" t="s">
        <v>330</v>
      </c>
      <c r="D230" s="10" t="s">
        <v>26</v>
      </c>
      <c r="E230" s="10" t="s">
        <v>14</v>
      </c>
      <c r="F230" s="10" t="s">
        <v>222</v>
      </c>
      <c r="G230" s="10" t="s">
        <v>56</v>
      </c>
      <c r="H230" s="13">
        <v>1779600.9280000001</v>
      </c>
      <c r="I230" s="15">
        <f>IF(Table1[[#This Row],[Salary]]&lt;1000000,Table1[[#This Row],[Salary]]*0.05,Table1[[#This Row],[Salary]]*0.1)</f>
        <v>177960.09280000001</v>
      </c>
      <c r="J230" s="15">
        <f>Table1[[#This Row],[Salary]]+Table1[[#This Row],[Bonus]]</f>
        <v>1957561.0208000001</v>
      </c>
      <c r="K230" s="25">
        <f>COUNTA(Table1[Employee_ID])</f>
        <v>1000</v>
      </c>
      <c r="L230" s="1">
        <f>SUM(Table1[Salary])</f>
        <v>3119391523.8580012</v>
      </c>
      <c r="M230" s="15">
        <f>AVERAGE(Table1[Salary])</f>
        <v>3119391.5238580015</v>
      </c>
      <c r="N230" s="29">
        <f>SUM(Table1[Bonus])</f>
        <v>308244983.02069992</v>
      </c>
    </row>
    <row r="231" spans="1:14" ht="12.75" customHeight="1" x14ac:dyDescent="0.25">
      <c r="A231" s="2">
        <v>125</v>
      </c>
      <c r="B231" s="10" t="s">
        <v>1142</v>
      </c>
      <c r="C231" s="10" t="s">
        <v>1143</v>
      </c>
      <c r="D231" s="10" t="s">
        <v>99</v>
      </c>
      <c r="E231" s="10" t="s">
        <v>0</v>
      </c>
      <c r="F231" s="10" t="s">
        <v>70</v>
      </c>
      <c r="G231" s="10" t="s">
        <v>29</v>
      </c>
      <c r="H231" s="13">
        <v>5015675.352</v>
      </c>
      <c r="I231" s="15">
        <f>IF(Table1[[#This Row],[Salary]]&lt;1000000,Table1[[#This Row],[Salary]]*0.05,Table1[[#This Row],[Salary]]*0.1)</f>
        <v>501567.53520000004</v>
      </c>
      <c r="J231" s="15">
        <f>Table1[[#This Row],[Salary]]+Table1[[#This Row],[Bonus]]</f>
        <v>5517242.8871999998</v>
      </c>
      <c r="K231" s="25">
        <f>COUNTA(Table1[Employee_ID])</f>
        <v>1000</v>
      </c>
      <c r="L231" s="1">
        <f>SUM(Table1[Salary])</f>
        <v>3119391523.8580012</v>
      </c>
      <c r="M231" s="15">
        <f>AVERAGE(Table1[Salary])</f>
        <v>3119391.5238580015</v>
      </c>
      <c r="N231" s="29">
        <f>SUM(Table1[Bonus])</f>
        <v>308244983.02069992</v>
      </c>
    </row>
    <row r="232" spans="1:14" ht="12.75" customHeight="1" x14ac:dyDescent="0.25">
      <c r="A232" s="2">
        <v>126</v>
      </c>
      <c r="B232" s="10" t="s">
        <v>331</v>
      </c>
      <c r="C232" s="10" t="s">
        <v>332</v>
      </c>
      <c r="D232" s="10" t="s">
        <v>32</v>
      </c>
      <c r="E232" s="10" t="s">
        <v>27</v>
      </c>
      <c r="F232" s="10" t="s">
        <v>106</v>
      </c>
      <c r="G232" s="10" t="s">
        <v>71</v>
      </c>
      <c r="H232" s="13">
        <v>4256840.22</v>
      </c>
      <c r="I232" s="15">
        <f>IF(Table1[[#This Row],[Salary]]&lt;1000000,Table1[[#This Row],[Salary]]*0.05,Table1[[#This Row],[Salary]]*0.1)</f>
        <v>425684.022</v>
      </c>
      <c r="J232" s="15">
        <f>Table1[[#This Row],[Salary]]+Table1[[#This Row],[Bonus]]</f>
        <v>4682524.2419999996</v>
      </c>
      <c r="K232" s="25">
        <f>COUNTA(Table1[Employee_ID])</f>
        <v>1000</v>
      </c>
      <c r="L232" s="1">
        <f>SUM(Table1[Salary])</f>
        <v>3119391523.8580012</v>
      </c>
      <c r="M232" s="15">
        <f>AVERAGE(Table1[Salary])</f>
        <v>3119391.5238580015</v>
      </c>
      <c r="N232" s="29">
        <f>SUM(Table1[Bonus])</f>
        <v>308244983.02069992</v>
      </c>
    </row>
    <row r="233" spans="1:14" ht="12.75" customHeight="1" x14ac:dyDescent="0.25">
      <c r="A233" s="2">
        <v>126</v>
      </c>
      <c r="B233" s="10" t="s">
        <v>1151</v>
      </c>
      <c r="C233" s="10" t="s">
        <v>1152</v>
      </c>
      <c r="D233" s="10" t="s">
        <v>156</v>
      </c>
      <c r="E233" s="10" t="s">
        <v>0</v>
      </c>
      <c r="F233" s="10" t="s">
        <v>89</v>
      </c>
      <c r="G233" s="10" t="s">
        <v>56</v>
      </c>
      <c r="H233" s="13">
        <v>4383652.0479999995</v>
      </c>
      <c r="I233" s="15">
        <f>IF(Table1[[#This Row],[Salary]]&lt;1000000,Table1[[#This Row],[Salary]]*0.05,Table1[[#This Row],[Salary]]*0.1)</f>
        <v>438365.20479999995</v>
      </c>
      <c r="J233" s="15">
        <f>Table1[[#This Row],[Salary]]+Table1[[#This Row],[Bonus]]</f>
        <v>4822017.252799999</v>
      </c>
      <c r="K233" s="25">
        <f>COUNTA(Table1[Employee_ID])</f>
        <v>1000</v>
      </c>
      <c r="L233" s="1">
        <f>SUM(Table1[Salary])</f>
        <v>3119391523.8580012</v>
      </c>
      <c r="M233" s="15">
        <f>AVERAGE(Table1[Salary])</f>
        <v>3119391.5238580015</v>
      </c>
      <c r="N233" s="29">
        <f>SUM(Table1[Bonus])</f>
        <v>308244983.02069992</v>
      </c>
    </row>
    <row r="234" spans="1:14" ht="12.75" customHeight="1" x14ac:dyDescent="0.25">
      <c r="A234" s="2">
        <v>127</v>
      </c>
      <c r="B234" s="10" t="s">
        <v>333</v>
      </c>
      <c r="C234" s="10" t="s">
        <v>334</v>
      </c>
      <c r="D234" s="10" t="s">
        <v>38</v>
      </c>
      <c r="E234" s="10" t="s">
        <v>14</v>
      </c>
      <c r="F234" s="10" t="s">
        <v>234</v>
      </c>
      <c r="G234" s="10" t="s">
        <v>23</v>
      </c>
      <c r="H234" s="13">
        <v>5763965.1799999997</v>
      </c>
      <c r="I234" s="15">
        <f>IF(Table1[[#This Row],[Salary]]&lt;1000000,Table1[[#This Row],[Salary]]*0.05,Table1[[#This Row],[Salary]]*0.1)</f>
        <v>576396.51800000004</v>
      </c>
      <c r="J234" s="15">
        <f>Table1[[#This Row],[Salary]]+Table1[[#This Row],[Bonus]]</f>
        <v>6340361.6979999999</v>
      </c>
      <c r="K234" s="25">
        <f>COUNTA(Table1[Employee_ID])</f>
        <v>1000</v>
      </c>
      <c r="L234" s="1">
        <f>SUM(Table1[Salary])</f>
        <v>3119391523.8580012</v>
      </c>
      <c r="M234" s="15">
        <f>AVERAGE(Table1[Salary])</f>
        <v>3119391.5238580015</v>
      </c>
      <c r="N234" s="29">
        <f>SUM(Table1[Bonus])</f>
        <v>308244983.02069992</v>
      </c>
    </row>
    <row r="235" spans="1:14" ht="12.75" customHeight="1" x14ac:dyDescent="0.25">
      <c r="A235" s="2">
        <v>127</v>
      </c>
      <c r="B235" s="10" t="s">
        <v>1190</v>
      </c>
      <c r="C235" s="10" t="s">
        <v>1191</v>
      </c>
      <c r="D235" s="10" t="s">
        <v>125</v>
      </c>
      <c r="E235" s="10" t="s">
        <v>0</v>
      </c>
      <c r="F235" s="10" t="s">
        <v>22</v>
      </c>
      <c r="G235" s="10" t="s">
        <v>29</v>
      </c>
      <c r="H235" s="13">
        <v>3040383.9020000002</v>
      </c>
      <c r="I235" s="15">
        <f>IF(Table1[[#This Row],[Salary]]&lt;1000000,Table1[[#This Row],[Salary]]*0.05,Table1[[#This Row],[Salary]]*0.1)</f>
        <v>304038.39020000002</v>
      </c>
      <c r="J235" s="15">
        <f>Table1[[#This Row],[Salary]]+Table1[[#This Row],[Bonus]]</f>
        <v>3344422.2922</v>
      </c>
      <c r="K235" s="25">
        <f>COUNTA(Table1[Employee_ID])</f>
        <v>1000</v>
      </c>
      <c r="L235" s="1">
        <f>SUM(Table1[Salary])</f>
        <v>3119391523.8580012</v>
      </c>
      <c r="M235" s="15">
        <f>AVERAGE(Table1[Salary])</f>
        <v>3119391.5238580015</v>
      </c>
      <c r="N235" s="29">
        <f>SUM(Table1[Bonus])</f>
        <v>308244983.02069992</v>
      </c>
    </row>
    <row r="236" spans="1:14" ht="12.75" customHeight="1" x14ac:dyDescent="0.25">
      <c r="A236" s="2">
        <v>128</v>
      </c>
      <c r="B236" s="10" t="s">
        <v>677</v>
      </c>
      <c r="C236" s="10" t="s">
        <v>821</v>
      </c>
      <c r="D236" s="10" t="s">
        <v>112</v>
      </c>
      <c r="E236" s="10" t="s">
        <v>0</v>
      </c>
      <c r="F236" s="10" t="s">
        <v>70</v>
      </c>
      <c r="G236" s="10" t="s">
        <v>23</v>
      </c>
      <c r="H236" s="13">
        <v>5567107.068</v>
      </c>
      <c r="I236" s="15">
        <f>IF(Table1[[#This Row],[Salary]]&lt;1000000,Table1[[#This Row],[Salary]]*0.05,Table1[[#This Row],[Salary]]*0.1)</f>
        <v>556710.70680000004</v>
      </c>
      <c r="J236" s="15">
        <f>Table1[[#This Row],[Salary]]+Table1[[#This Row],[Bonus]]</f>
        <v>6123817.7747999998</v>
      </c>
      <c r="K236" s="25">
        <f>COUNTA(Table1[Employee_ID])</f>
        <v>1000</v>
      </c>
      <c r="L236" s="1">
        <f>SUM(Table1[Salary])</f>
        <v>3119391523.8580012</v>
      </c>
      <c r="M236" s="15">
        <f>AVERAGE(Table1[Salary])</f>
        <v>3119391.5238580015</v>
      </c>
      <c r="N236" s="29">
        <f>SUM(Table1[Bonus])</f>
        <v>308244983.02069992</v>
      </c>
    </row>
    <row r="237" spans="1:14" ht="12.75" customHeight="1" x14ac:dyDescent="0.25">
      <c r="A237" s="2">
        <v>129</v>
      </c>
      <c r="B237" s="10" t="s">
        <v>110</v>
      </c>
      <c r="C237" s="10" t="s">
        <v>337</v>
      </c>
      <c r="D237" s="10" t="s">
        <v>46</v>
      </c>
      <c r="E237" s="10" t="s">
        <v>6</v>
      </c>
      <c r="F237" s="10" t="s">
        <v>144</v>
      </c>
      <c r="G237" s="10" t="s">
        <v>71</v>
      </c>
      <c r="H237" s="13">
        <v>5847849.5520000001</v>
      </c>
      <c r="I237" s="15">
        <f>IF(Table1[[#This Row],[Salary]]&lt;1000000,Table1[[#This Row],[Salary]]*0.05,Table1[[#This Row],[Salary]]*0.1)</f>
        <v>584784.95520000008</v>
      </c>
      <c r="J237" s="15">
        <f>Table1[[#This Row],[Salary]]+Table1[[#This Row],[Bonus]]</f>
        <v>6432634.5071999999</v>
      </c>
      <c r="K237" s="25">
        <f>COUNTA(Table1[Employee_ID])</f>
        <v>1000</v>
      </c>
      <c r="L237" s="1">
        <f>SUM(Table1[Salary])</f>
        <v>3119391523.8580012</v>
      </c>
      <c r="M237" s="15">
        <f>AVERAGE(Table1[Salary])</f>
        <v>3119391.5238580015</v>
      </c>
      <c r="N237" s="29">
        <f>SUM(Table1[Bonus])</f>
        <v>308244983.02069992</v>
      </c>
    </row>
    <row r="238" spans="1:14" ht="12.75" customHeight="1" x14ac:dyDescent="0.25">
      <c r="A238" s="2">
        <v>129</v>
      </c>
      <c r="B238" s="10" t="s">
        <v>1195</v>
      </c>
      <c r="C238" s="10" t="s">
        <v>542</v>
      </c>
      <c r="D238" s="10" t="s">
        <v>125</v>
      </c>
      <c r="E238" s="10" t="s">
        <v>0</v>
      </c>
      <c r="F238" s="10" t="s">
        <v>89</v>
      </c>
      <c r="G238" s="10" t="s">
        <v>29</v>
      </c>
      <c r="H238" s="13">
        <v>761524.35199999996</v>
      </c>
      <c r="I238" s="15">
        <f>IF(Table1[[#This Row],[Salary]]&lt;1000000,Table1[[#This Row],[Salary]]*0.05,Table1[[#This Row],[Salary]]*0.1)</f>
        <v>38076.217599999996</v>
      </c>
      <c r="J238" s="15">
        <f>Table1[[#This Row],[Salary]]+Table1[[#This Row],[Bonus]]</f>
        <v>799600.56959999993</v>
      </c>
      <c r="K238" s="25">
        <f>COUNTA(Table1[Employee_ID])</f>
        <v>1000</v>
      </c>
      <c r="L238" s="1">
        <f>SUM(Table1[Salary])</f>
        <v>3119391523.8580012</v>
      </c>
      <c r="M238" s="15">
        <f>AVERAGE(Table1[Salary])</f>
        <v>3119391.5238580015</v>
      </c>
      <c r="N238" s="29">
        <f>SUM(Table1[Bonus])</f>
        <v>308244983.02069992</v>
      </c>
    </row>
    <row r="239" spans="1:14" ht="12.75" customHeight="1" x14ac:dyDescent="0.25">
      <c r="A239" s="2">
        <v>130</v>
      </c>
      <c r="B239" s="10" t="s">
        <v>338</v>
      </c>
      <c r="C239" s="10" t="s">
        <v>339</v>
      </c>
      <c r="D239" s="10" t="s">
        <v>21</v>
      </c>
      <c r="E239" s="10" t="s">
        <v>63</v>
      </c>
      <c r="F239" s="10" t="s">
        <v>131</v>
      </c>
      <c r="G239" s="10" t="s">
        <v>48</v>
      </c>
      <c r="H239" s="13">
        <v>5328288.1140000001</v>
      </c>
      <c r="I239" s="15">
        <f>IF(Table1[[#This Row],[Salary]]&lt;1000000,Table1[[#This Row],[Salary]]*0.05,Table1[[#This Row],[Salary]]*0.1)</f>
        <v>532828.81140000001</v>
      </c>
      <c r="J239" s="15">
        <f>Table1[[#This Row],[Salary]]+Table1[[#This Row],[Bonus]]</f>
        <v>5861116.9254000001</v>
      </c>
      <c r="K239" s="25">
        <f>COUNTA(Table1[Employee_ID])</f>
        <v>1000</v>
      </c>
      <c r="L239" s="1">
        <f>SUM(Table1[Salary])</f>
        <v>3119391523.8580012</v>
      </c>
      <c r="M239" s="15">
        <f>AVERAGE(Table1[Salary])</f>
        <v>3119391.5238580015</v>
      </c>
      <c r="N239" s="29">
        <f>SUM(Table1[Bonus])</f>
        <v>308244983.02069992</v>
      </c>
    </row>
    <row r="240" spans="1:14" ht="12.75" customHeight="1" x14ac:dyDescent="0.25">
      <c r="A240" s="2">
        <v>130</v>
      </c>
      <c r="B240" s="10" t="s">
        <v>1202</v>
      </c>
      <c r="C240" s="10" t="s">
        <v>1203</v>
      </c>
      <c r="D240" s="10" t="s">
        <v>140</v>
      </c>
      <c r="E240" s="10" t="s">
        <v>0</v>
      </c>
      <c r="F240" s="10" t="s">
        <v>22</v>
      </c>
      <c r="G240" s="10" t="s">
        <v>35</v>
      </c>
      <c r="H240" s="13">
        <v>4827562.24</v>
      </c>
      <c r="I240" s="15">
        <f>IF(Table1[[#This Row],[Salary]]&lt;1000000,Table1[[#This Row],[Salary]]*0.05,Table1[[#This Row],[Salary]]*0.1)</f>
        <v>482756.22400000005</v>
      </c>
      <c r="J240" s="15">
        <f>Table1[[#This Row],[Salary]]+Table1[[#This Row],[Bonus]]</f>
        <v>5310318.4640000006</v>
      </c>
      <c r="K240" s="25">
        <f>COUNTA(Table1[Employee_ID])</f>
        <v>1000</v>
      </c>
      <c r="L240" s="1">
        <f>SUM(Table1[Salary])</f>
        <v>3119391523.8580012</v>
      </c>
      <c r="M240" s="15">
        <f>AVERAGE(Table1[Salary])</f>
        <v>3119391.5238580015</v>
      </c>
      <c r="N240" s="29">
        <f>SUM(Table1[Bonus])</f>
        <v>308244983.02069992</v>
      </c>
    </row>
    <row r="241" spans="1:14" ht="12.75" customHeight="1" x14ac:dyDescent="0.25">
      <c r="A241" s="2">
        <v>131</v>
      </c>
      <c r="B241" s="10" t="s">
        <v>195</v>
      </c>
      <c r="C241" s="10" t="s">
        <v>340</v>
      </c>
      <c r="D241" s="10" t="s">
        <v>54</v>
      </c>
      <c r="E241" s="10" t="s">
        <v>63</v>
      </c>
      <c r="F241" s="10" t="s">
        <v>64</v>
      </c>
      <c r="G241" s="10" t="s">
        <v>56</v>
      </c>
      <c r="H241" s="13">
        <v>3192460.6179999998</v>
      </c>
      <c r="I241" s="15">
        <f>IF(Table1[[#This Row],[Salary]]&lt;1000000,Table1[[#This Row],[Salary]]*0.05,Table1[[#This Row],[Salary]]*0.1)</f>
        <v>319246.06180000002</v>
      </c>
      <c r="J241" s="15">
        <f>Table1[[#This Row],[Salary]]+Table1[[#This Row],[Bonus]]</f>
        <v>3511706.6798</v>
      </c>
      <c r="K241" s="25">
        <f>COUNTA(Table1[Employee_ID])</f>
        <v>1000</v>
      </c>
      <c r="L241" s="1">
        <f>SUM(Table1[Salary])</f>
        <v>3119391523.8580012</v>
      </c>
      <c r="M241" s="15">
        <f>AVERAGE(Table1[Salary])</f>
        <v>3119391.5238580015</v>
      </c>
      <c r="N241" s="29">
        <f>SUM(Table1[Bonus])</f>
        <v>308244983.02069992</v>
      </c>
    </row>
    <row r="242" spans="1:14" ht="12.75" customHeight="1" x14ac:dyDescent="0.25">
      <c r="A242" s="2">
        <v>131</v>
      </c>
      <c r="B242" s="10" t="s">
        <v>1044</v>
      </c>
      <c r="C242" s="10" t="s">
        <v>1204</v>
      </c>
      <c r="D242" s="10" t="s">
        <v>143</v>
      </c>
      <c r="E242" s="10" t="s">
        <v>0</v>
      </c>
      <c r="F242" s="10" t="s">
        <v>70</v>
      </c>
      <c r="G242" s="10" t="s">
        <v>23</v>
      </c>
      <c r="H242" s="13">
        <v>4562061.7079999996</v>
      </c>
      <c r="I242" s="15">
        <f>IF(Table1[[#This Row],[Salary]]&lt;1000000,Table1[[#This Row],[Salary]]*0.05,Table1[[#This Row],[Salary]]*0.1)</f>
        <v>456206.17079999996</v>
      </c>
      <c r="J242" s="15">
        <f>Table1[[#This Row],[Salary]]+Table1[[#This Row],[Bonus]]</f>
        <v>5018267.8787999991</v>
      </c>
      <c r="K242" s="25">
        <f>COUNTA(Table1[Employee_ID])</f>
        <v>1000</v>
      </c>
      <c r="L242" s="1">
        <f>SUM(Table1[Salary])</f>
        <v>3119391523.8580012</v>
      </c>
      <c r="M242" s="15">
        <f>AVERAGE(Table1[Salary])</f>
        <v>3119391.5238580015</v>
      </c>
      <c r="N242" s="29">
        <f>SUM(Table1[Bonus])</f>
        <v>308244983.02069992</v>
      </c>
    </row>
    <row r="243" spans="1:14" ht="12.75" customHeight="1" x14ac:dyDescent="0.25">
      <c r="A243" s="2">
        <v>132</v>
      </c>
      <c r="B243" s="10" t="s">
        <v>341</v>
      </c>
      <c r="C243" s="10" t="s">
        <v>342</v>
      </c>
      <c r="D243" s="10" t="s">
        <v>59</v>
      </c>
      <c r="E243" s="10" t="s">
        <v>27</v>
      </c>
      <c r="F243" s="10" t="s">
        <v>28</v>
      </c>
      <c r="G243" s="10" t="s">
        <v>29</v>
      </c>
      <c r="H243" s="13">
        <v>4307894.6960000005</v>
      </c>
      <c r="I243" s="15">
        <f>IF(Table1[[#This Row],[Salary]]&lt;1000000,Table1[[#This Row],[Salary]]*0.05,Table1[[#This Row],[Salary]]*0.1)</f>
        <v>430789.46960000007</v>
      </c>
      <c r="J243" s="15">
        <f>Table1[[#This Row],[Salary]]+Table1[[#This Row],[Bonus]]</f>
        <v>4738684.1656000009</v>
      </c>
      <c r="K243" s="25">
        <f>COUNTA(Table1[Employee_ID])</f>
        <v>1000</v>
      </c>
      <c r="L243" s="1">
        <f>SUM(Table1[Salary])</f>
        <v>3119391523.8580012</v>
      </c>
      <c r="M243" s="15">
        <f>AVERAGE(Table1[Salary])</f>
        <v>3119391.5238580015</v>
      </c>
      <c r="N243" s="29">
        <f>SUM(Table1[Bonus])</f>
        <v>308244983.02069992</v>
      </c>
    </row>
    <row r="244" spans="1:14" ht="12.75" customHeight="1" x14ac:dyDescent="0.25">
      <c r="A244" s="2">
        <v>132</v>
      </c>
      <c r="B244" s="10" t="s">
        <v>1217</v>
      </c>
      <c r="C244" s="10" t="s">
        <v>1218</v>
      </c>
      <c r="D244" s="10" t="s">
        <v>21</v>
      </c>
      <c r="E244" s="10" t="s">
        <v>0</v>
      </c>
      <c r="F244" s="10" t="s">
        <v>89</v>
      </c>
      <c r="G244" s="10" t="s">
        <v>71</v>
      </c>
      <c r="H244" s="13">
        <v>5676722.7280000001</v>
      </c>
      <c r="I244" s="15">
        <f>IF(Table1[[#This Row],[Salary]]&lt;1000000,Table1[[#This Row],[Salary]]*0.05,Table1[[#This Row],[Salary]]*0.1)</f>
        <v>567672.27280000004</v>
      </c>
      <c r="J244" s="15">
        <f>Table1[[#This Row],[Salary]]+Table1[[#This Row],[Bonus]]</f>
        <v>6244395.0008000005</v>
      </c>
      <c r="K244" s="25">
        <f>COUNTA(Table1[Employee_ID])</f>
        <v>1000</v>
      </c>
      <c r="L244" s="1">
        <f>SUM(Table1[Salary])</f>
        <v>3119391523.8580012</v>
      </c>
      <c r="M244" s="15">
        <f>AVERAGE(Table1[Salary])</f>
        <v>3119391.5238580015</v>
      </c>
      <c r="N244" s="29">
        <f>SUM(Table1[Bonus])</f>
        <v>308244983.02069992</v>
      </c>
    </row>
    <row r="245" spans="1:14" ht="12.75" customHeight="1" x14ac:dyDescent="0.25">
      <c r="A245" s="2">
        <v>133</v>
      </c>
      <c r="B245" s="10" t="s">
        <v>343</v>
      </c>
      <c r="C245" s="10" t="s">
        <v>344</v>
      </c>
      <c r="D245" s="10" t="s">
        <v>21</v>
      </c>
      <c r="E245" s="10" t="s">
        <v>63</v>
      </c>
      <c r="F245" s="10" t="s">
        <v>113</v>
      </c>
      <c r="G245" s="10" t="s">
        <v>23</v>
      </c>
      <c r="H245" s="13">
        <v>998660.76800000004</v>
      </c>
      <c r="I245" s="15">
        <f>IF(Table1[[#This Row],[Salary]]&lt;1000000,Table1[[#This Row],[Salary]]*0.05,Table1[[#This Row],[Salary]]*0.1)</f>
        <v>49933.038400000005</v>
      </c>
      <c r="J245" s="15">
        <f>Table1[[#This Row],[Salary]]+Table1[[#This Row],[Bonus]]</f>
        <v>1048593.8064000001</v>
      </c>
      <c r="K245" s="25">
        <f>COUNTA(Table1[Employee_ID])</f>
        <v>1000</v>
      </c>
      <c r="L245" s="1">
        <f>SUM(Table1[Salary])</f>
        <v>3119391523.8580012</v>
      </c>
      <c r="M245" s="15">
        <f>AVERAGE(Table1[Salary])</f>
        <v>3119391.5238580015</v>
      </c>
      <c r="N245" s="29">
        <f>SUM(Table1[Bonus])</f>
        <v>308244983.02069992</v>
      </c>
    </row>
    <row r="246" spans="1:14" ht="12.75" customHeight="1" x14ac:dyDescent="0.25">
      <c r="A246" s="2">
        <v>133</v>
      </c>
      <c r="B246" s="10" t="s">
        <v>1219</v>
      </c>
      <c r="C246" s="10" t="s">
        <v>1220</v>
      </c>
      <c r="D246" s="10" t="s">
        <v>26</v>
      </c>
      <c r="E246" s="10" t="s">
        <v>0</v>
      </c>
      <c r="F246" s="10" t="s">
        <v>22</v>
      </c>
      <c r="G246" s="10" t="s">
        <v>29</v>
      </c>
      <c r="H246" s="13">
        <v>2431369.2760000001</v>
      </c>
      <c r="I246" s="15">
        <f>IF(Table1[[#This Row],[Salary]]&lt;1000000,Table1[[#This Row],[Salary]]*0.05,Table1[[#This Row],[Salary]]*0.1)</f>
        <v>243136.92760000002</v>
      </c>
      <c r="J246" s="15">
        <f>Table1[[#This Row],[Salary]]+Table1[[#This Row],[Bonus]]</f>
        <v>2674506.2036000001</v>
      </c>
      <c r="K246" s="25">
        <f>COUNTA(Table1[Employee_ID])</f>
        <v>1000</v>
      </c>
      <c r="L246" s="1">
        <f>SUM(Table1[Salary])</f>
        <v>3119391523.8580012</v>
      </c>
      <c r="M246" s="15">
        <f>AVERAGE(Table1[Salary])</f>
        <v>3119391.5238580015</v>
      </c>
      <c r="N246" s="29">
        <f>SUM(Table1[Bonus])</f>
        <v>308244983.02069992</v>
      </c>
    </row>
    <row r="247" spans="1:14" ht="12.75" customHeight="1" x14ac:dyDescent="0.25">
      <c r="A247" s="2">
        <v>134</v>
      </c>
      <c r="B247" s="10" t="s">
        <v>345</v>
      </c>
      <c r="C247" s="10" t="s">
        <v>346</v>
      </c>
      <c r="D247" s="10" t="s">
        <v>46</v>
      </c>
      <c r="E247" s="10" t="s">
        <v>33</v>
      </c>
      <c r="F247" s="10" t="s">
        <v>55</v>
      </c>
      <c r="G247" s="10" t="s">
        <v>35</v>
      </c>
      <c r="H247" s="13">
        <v>2757568.27</v>
      </c>
      <c r="I247" s="15">
        <f>IF(Table1[[#This Row],[Salary]]&lt;1000000,Table1[[#This Row],[Salary]]*0.05,Table1[[#This Row],[Salary]]*0.1)</f>
        <v>275756.82699999999</v>
      </c>
      <c r="J247" s="15">
        <f>Table1[[#This Row],[Salary]]+Table1[[#This Row],[Bonus]]</f>
        <v>3033325.0970000001</v>
      </c>
      <c r="K247" s="25">
        <f>COUNTA(Table1[Employee_ID])</f>
        <v>1000</v>
      </c>
      <c r="L247" s="1">
        <f>SUM(Table1[Salary])</f>
        <v>3119391523.8580012</v>
      </c>
      <c r="M247" s="15">
        <f>AVERAGE(Table1[Salary])</f>
        <v>3119391.5238580015</v>
      </c>
      <c r="N247" s="29">
        <f>SUM(Table1[Bonus])</f>
        <v>308244983.02069992</v>
      </c>
    </row>
    <row r="248" spans="1:14" ht="12.75" customHeight="1" x14ac:dyDescent="0.25">
      <c r="A248" s="2">
        <v>134</v>
      </c>
      <c r="B248" s="10" t="s">
        <v>1225</v>
      </c>
      <c r="C248" s="10" t="s">
        <v>1226</v>
      </c>
      <c r="D248" s="10" t="s">
        <v>46</v>
      </c>
      <c r="E248" s="10" t="s">
        <v>0</v>
      </c>
      <c r="F248" s="10" t="s">
        <v>70</v>
      </c>
      <c r="G248" s="10" t="s">
        <v>71</v>
      </c>
      <c r="H248" s="13">
        <v>1187300.912</v>
      </c>
      <c r="I248" s="15">
        <f>IF(Table1[[#This Row],[Salary]]&lt;1000000,Table1[[#This Row],[Salary]]*0.05,Table1[[#This Row],[Salary]]*0.1)</f>
        <v>118730.09120000001</v>
      </c>
      <c r="J248" s="15">
        <f>Table1[[#This Row],[Salary]]+Table1[[#This Row],[Bonus]]</f>
        <v>1306031.0031999999</v>
      </c>
      <c r="K248" s="25">
        <f>COUNTA(Table1[Employee_ID])</f>
        <v>1000</v>
      </c>
      <c r="L248" s="1">
        <f>SUM(Table1[Salary])</f>
        <v>3119391523.8580012</v>
      </c>
      <c r="M248" s="15">
        <f>AVERAGE(Table1[Salary])</f>
        <v>3119391.5238580015</v>
      </c>
      <c r="N248" s="29">
        <f>SUM(Table1[Bonus])</f>
        <v>308244983.02069992</v>
      </c>
    </row>
    <row r="249" spans="1:14" ht="12.75" customHeight="1" x14ac:dyDescent="0.25">
      <c r="A249" s="2">
        <v>135</v>
      </c>
      <c r="B249" s="10" t="s">
        <v>347</v>
      </c>
      <c r="C249" s="10" t="s">
        <v>348</v>
      </c>
      <c r="D249" s="10" t="s">
        <v>59</v>
      </c>
      <c r="E249" s="10" t="s">
        <v>2</v>
      </c>
      <c r="F249" s="10" t="s">
        <v>74</v>
      </c>
      <c r="G249" s="10" t="s">
        <v>71</v>
      </c>
      <c r="H249" s="13">
        <v>3189306.588</v>
      </c>
      <c r="I249" s="15">
        <f>IF(Table1[[#This Row],[Salary]]&lt;1000000,Table1[[#This Row],[Salary]]*0.05,Table1[[#This Row],[Salary]]*0.1)</f>
        <v>318930.65880000003</v>
      </c>
      <c r="J249" s="15">
        <f>Table1[[#This Row],[Salary]]+Table1[[#This Row],[Bonus]]</f>
        <v>3508237.2467999998</v>
      </c>
      <c r="K249" s="25">
        <f>COUNTA(Table1[Employee_ID])</f>
        <v>1000</v>
      </c>
      <c r="L249" s="1">
        <f>SUM(Table1[Salary])</f>
        <v>3119391523.8580012</v>
      </c>
      <c r="M249" s="15">
        <f>AVERAGE(Table1[Salary])</f>
        <v>3119391.5238580015</v>
      </c>
      <c r="N249" s="29">
        <f>SUM(Table1[Bonus])</f>
        <v>308244983.02069992</v>
      </c>
    </row>
    <row r="250" spans="1:14" ht="12.75" customHeight="1" x14ac:dyDescent="0.25">
      <c r="A250" s="2">
        <v>135</v>
      </c>
      <c r="B250" s="10" t="s">
        <v>163</v>
      </c>
      <c r="C250" s="10" t="s">
        <v>1227</v>
      </c>
      <c r="D250" s="10" t="s">
        <v>54</v>
      </c>
      <c r="E250" s="10" t="s">
        <v>0</v>
      </c>
      <c r="F250" s="10" t="s">
        <v>89</v>
      </c>
      <c r="G250" s="10" t="s">
        <v>23</v>
      </c>
      <c r="H250" s="13">
        <v>1959668.64</v>
      </c>
      <c r="I250" s="15">
        <f>IF(Table1[[#This Row],[Salary]]&lt;1000000,Table1[[#This Row],[Salary]]*0.05,Table1[[#This Row],[Salary]]*0.1)</f>
        <v>195966.864</v>
      </c>
      <c r="J250" s="15">
        <f>Table1[[#This Row],[Salary]]+Table1[[#This Row],[Bonus]]</f>
        <v>2155635.5039999997</v>
      </c>
      <c r="K250" s="25">
        <f>COUNTA(Table1[Employee_ID])</f>
        <v>1000</v>
      </c>
      <c r="L250" s="1">
        <f>SUM(Table1[Salary])</f>
        <v>3119391523.8580012</v>
      </c>
      <c r="M250" s="15">
        <f>AVERAGE(Table1[Salary])</f>
        <v>3119391.5238580015</v>
      </c>
      <c r="N250" s="29">
        <f>SUM(Table1[Bonus])</f>
        <v>308244983.02069992</v>
      </c>
    </row>
    <row r="251" spans="1:14" ht="12.75" customHeight="1" x14ac:dyDescent="0.25">
      <c r="A251" s="2">
        <v>136</v>
      </c>
      <c r="B251" s="10" t="s">
        <v>1234</v>
      </c>
      <c r="C251" s="10" t="s">
        <v>1235</v>
      </c>
      <c r="D251" s="10" t="s">
        <v>46</v>
      </c>
      <c r="E251" s="10" t="s">
        <v>0</v>
      </c>
      <c r="F251" s="10" t="s">
        <v>22</v>
      </c>
      <c r="G251" s="10" t="s">
        <v>56</v>
      </c>
      <c r="H251" s="13">
        <v>2172403.0079999999</v>
      </c>
      <c r="I251" s="15">
        <f>IF(Table1[[#This Row],[Salary]]&lt;1000000,Table1[[#This Row],[Salary]]*0.05,Table1[[#This Row],[Salary]]*0.1)</f>
        <v>217240.3008</v>
      </c>
      <c r="J251" s="15">
        <f>Table1[[#This Row],[Salary]]+Table1[[#This Row],[Bonus]]</f>
        <v>2389643.3087999998</v>
      </c>
      <c r="K251" s="25">
        <f>COUNTA(Table1[Employee_ID])</f>
        <v>1000</v>
      </c>
      <c r="L251" s="1">
        <f>SUM(Table1[Salary])</f>
        <v>3119391523.8580012</v>
      </c>
      <c r="M251" s="15">
        <f>AVERAGE(Table1[Salary])</f>
        <v>3119391.5238580015</v>
      </c>
      <c r="N251" s="29">
        <f>SUM(Table1[Bonus])</f>
        <v>308244983.02069992</v>
      </c>
    </row>
    <row r="252" spans="1:14" ht="12.75" customHeight="1" x14ac:dyDescent="0.25">
      <c r="A252" s="2">
        <v>137</v>
      </c>
      <c r="B252" s="10" t="s">
        <v>350</v>
      </c>
      <c r="C252" s="10" t="s">
        <v>351</v>
      </c>
      <c r="D252" s="10" t="s">
        <v>77</v>
      </c>
      <c r="E252" s="10" t="s">
        <v>27</v>
      </c>
      <c r="F252" s="10" t="s">
        <v>85</v>
      </c>
      <c r="G252" s="10" t="s">
        <v>56</v>
      </c>
      <c r="H252" s="13">
        <v>2080519.8760000002</v>
      </c>
      <c r="I252" s="15">
        <f>IF(Table1[[#This Row],[Salary]]&lt;1000000,Table1[[#This Row],[Salary]]*0.05,Table1[[#This Row],[Salary]]*0.1)</f>
        <v>208051.98760000002</v>
      </c>
      <c r="J252" s="15">
        <f>Table1[[#This Row],[Salary]]+Table1[[#This Row],[Bonus]]</f>
        <v>2288571.8636000003</v>
      </c>
      <c r="K252" s="25">
        <f>COUNTA(Table1[Employee_ID])</f>
        <v>1000</v>
      </c>
      <c r="L252" s="1">
        <f>SUM(Table1[Salary])</f>
        <v>3119391523.8580012</v>
      </c>
      <c r="M252" s="15">
        <f>AVERAGE(Table1[Salary])</f>
        <v>3119391.5238580015</v>
      </c>
      <c r="N252" s="29">
        <f>SUM(Table1[Bonus])</f>
        <v>308244983.02069992</v>
      </c>
    </row>
    <row r="253" spans="1:14" ht="12.75" customHeight="1" x14ac:dyDescent="0.25">
      <c r="A253" s="2">
        <v>137</v>
      </c>
      <c r="B253" s="10" t="s">
        <v>1242</v>
      </c>
      <c r="C253" s="10" t="s">
        <v>1243</v>
      </c>
      <c r="D253" s="10" t="s">
        <v>46</v>
      </c>
      <c r="E253" s="10" t="s">
        <v>0</v>
      </c>
      <c r="F253" s="10" t="s">
        <v>70</v>
      </c>
      <c r="G253" s="10" t="s">
        <v>56</v>
      </c>
      <c r="H253" s="13">
        <v>2301409.2479999997</v>
      </c>
      <c r="I253" s="15">
        <f>IF(Table1[[#This Row],[Salary]]&lt;1000000,Table1[[#This Row],[Salary]]*0.05,Table1[[#This Row],[Salary]]*0.1)</f>
        <v>230140.92479999998</v>
      </c>
      <c r="J253" s="15">
        <f>Table1[[#This Row],[Salary]]+Table1[[#This Row],[Bonus]]</f>
        <v>2531550.1727999998</v>
      </c>
      <c r="K253" s="25">
        <f>COUNTA(Table1[Employee_ID])</f>
        <v>1000</v>
      </c>
      <c r="L253" s="1">
        <f>SUM(Table1[Salary])</f>
        <v>3119391523.8580012</v>
      </c>
      <c r="M253" s="15">
        <f>AVERAGE(Table1[Salary])</f>
        <v>3119391.5238580015</v>
      </c>
      <c r="N253" s="29">
        <f>SUM(Table1[Bonus])</f>
        <v>308244983.02069992</v>
      </c>
    </row>
    <row r="254" spans="1:14" ht="12.75" customHeight="1" x14ac:dyDescent="0.25">
      <c r="A254" s="2">
        <v>138</v>
      </c>
      <c r="B254" s="10" t="s">
        <v>352</v>
      </c>
      <c r="C254" s="10" t="s">
        <v>353</v>
      </c>
      <c r="D254" s="10" t="s">
        <v>21</v>
      </c>
      <c r="E254" s="10" t="s">
        <v>27</v>
      </c>
      <c r="F254" s="10" t="s">
        <v>106</v>
      </c>
      <c r="G254" s="10" t="s">
        <v>29</v>
      </c>
      <c r="H254" s="13">
        <v>2149626.3640000001</v>
      </c>
      <c r="I254" s="15">
        <f>IF(Table1[[#This Row],[Salary]]&lt;1000000,Table1[[#This Row],[Salary]]*0.05,Table1[[#This Row],[Salary]]*0.1)</f>
        <v>214962.63640000002</v>
      </c>
      <c r="J254" s="15">
        <f>Table1[[#This Row],[Salary]]+Table1[[#This Row],[Bonus]]</f>
        <v>2364589.0004000003</v>
      </c>
      <c r="K254" s="25">
        <f>COUNTA(Table1[Employee_ID])</f>
        <v>1000</v>
      </c>
      <c r="L254" s="1">
        <f>SUM(Table1[Salary])</f>
        <v>3119391523.8580012</v>
      </c>
      <c r="M254" s="15">
        <f>AVERAGE(Table1[Salary])</f>
        <v>3119391.5238580015</v>
      </c>
      <c r="N254" s="29">
        <f>SUM(Table1[Bonus])</f>
        <v>308244983.02069992</v>
      </c>
    </row>
    <row r="255" spans="1:14" ht="12.75" customHeight="1" x14ac:dyDescent="0.25">
      <c r="A255" s="2">
        <v>138</v>
      </c>
      <c r="B255" s="10" t="s">
        <v>1251</v>
      </c>
      <c r="C255" s="10" t="s">
        <v>442</v>
      </c>
      <c r="D255" s="10" t="s">
        <v>174</v>
      </c>
      <c r="E255" s="10" t="s">
        <v>0</v>
      </c>
      <c r="F255" s="10" t="s">
        <v>89</v>
      </c>
      <c r="G255" s="10" t="s">
        <v>23</v>
      </c>
      <c r="H255" s="13">
        <v>5794606.4939999999</v>
      </c>
      <c r="I255" s="15">
        <f>IF(Table1[[#This Row],[Salary]]&lt;1000000,Table1[[#This Row],[Salary]]*0.05,Table1[[#This Row],[Salary]]*0.1)</f>
        <v>579460.64939999999</v>
      </c>
      <c r="J255" s="15">
        <f>Table1[[#This Row],[Salary]]+Table1[[#This Row],[Bonus]]</f>
        <v>6374067.1434000004</v>
      </c>
      <c r="K255" s="25">
        <f>COUNTA(Table1[Employee_ID])</f>
        <v>1000</v>
      </c>
      <c r="L255" s="1">
        <f>SUM(Table1[Salary])</f>
        <v>3119391523.8580012</v>
      </c>
      <c r="M255" s="15">
        <f>AVERAGE(Table1[Salary])</f>
        <v>3119391.5238580015</v>
      </c>
      <c r="N255" s="29">
        <f>SUM(Table1[Bonus])</f>
        <v>308244983.02069992</v>
      </c>
    </row>
    <row r="256" spans="1:14" ht="12.75" customHeight="1" x14ac:dyDescent="0.25">
      <c r="A256" s="2">
        <v>139</v>
      </c>
      <c r="B256" s="10" t="s">
        <v>31</v>
      </c>
      <c r="C256" s="10" t="s">
        <v>354</v>
      </c>
      <c r="D256" s="10" t="s">
        <v>59</v>
      </c>
      <c r="E256" s="10" t="s">
        <v>14</v>
      </c>
      <c r="F256" s="10" t="s">
        <v>51</v>
      </c>
      <c r="G256" s="10" t="s">
        <v>71</v>
      </c>
      <c r="H256" s="13">
        <v>2660298.2179999999</v>
      </c>
      <c r="I256" s="15">
        <f>IF(Table1[[#This Row],[Salary]]&lt;1000000,Table1[[#This Row],[Salary]]*0.05,Table1[[#This Row],[Salary]]*0.1)</f>
        <v>266029.82179999998</v>
      </c>
      <c r="J256" s="15">
        <f>Table1[[#This Row],[Salary]]+Table1[[#This Row],[Bonus]]</f>
        <v>2926328.0397999999</v>
      </c>
      <c r="K256" s="25">
        <f>COUNTA(Table1[Employee_ID])</f>
        <v>1000</v>
      </c>
      <c r="L256" s="1">
        <f>SUM(Table1[Salary])</f>
        <v>3119391523.8580012</v>
      </c>
      <c r="M256" s="15">
        <f>AVERAGE(Table1[Salary])</f>
        <v>3119391.5238580015</v>
      </c>
      <c r="N256" s="29">
        <f>SUM(Table1[Bonus])</f>
        <v>308244983.02069992</v>
      </c>
    </row>
    <row r="257" spans="1:14" ht="12.75" customHeight="1" x14ac:dyDescent="0.25">
      <c r="A257" s="2">
        <v>139</v>
      </c>
      <c r="B257" s="10" t="s">
        <v>320</v>
      </c>
      <c r="C257" s="10" t="s">
        <v>1255</v>
      </c>
      <c r="D257" s="10" t="s">
        <v>303</v>
      </c>
      <c r="E257" s="10" t="s">
        <v>0</v>
      </c>
      <c r="F257" s="10" t="s">
        <v>22</v>
      </c>
      <c r="G257" s="10" t="s">
        <v>23</v>
      </c>
      <c r="H257" s="13">
        <v>1217461.8339999998</v>
      </c>
      <c r="I257" s="15">
        <f>IF(Table1[[#This Row],[Salary]]&lt;1000000,Table1[[#This Row],[Salary]]*0.05,Table1[[#This Row],[Salary]]*0.1)</f>
        <v>121746.18339999998</v>
      </c>
      <c r="J257" s="15">
        <f>Table1[[#This Row],[Salary]]+Table1[[#This Row],[Bonus]]</f>
        <v>1339208.0173999998</v>
      </c>
      <c r="K257" s="25">
        <f>COUNTA(Table1[Employee_ID])</f>
        <v>1000</v>
      </c>
      <c r="L257" s="1">
        <f>SUM(Table1[Salary])</f>
        <v>3119391523.8580012</v>
      </c>
      <c r="M257" s="15">
        <f>AVERAGE(Table1[Salary])</f>
        <v>3119391.5238580015</v>
      </c>
      <c r="N257" s="29">
        <f>SUM(Table1[Bonus])</f>
        <v>308244983.02069992</v>
      </c>
    </row>
    <row r="258" spans="1:14" ht="12.75" customHeight="1" x14ac:dyDescent="0.25">
      <c r="A258" s="2">
        <v>140</v>
      </c>
      <c r="B258" s="10" t="s">
        <v>355</v>
      </c>
      <c r="C258" s="10" t="s">
        <v>356</v>
      </c>
      <c r="D258" s="10" t="s">
        <v>21</v>
      </c>
      <c r="E258" s="10" t="s">
        <v>14</v>
      </c>
      <c r="F258" s="10" t="s">
        <v>222</v>
      </c>
      <c r="G258" s="10" t="s">
        <v>29</v>
      </c>
      <c r="H258" s="13">
        <v>3353477.0559999999</v>
      </c>
      <c r="I258" s="15">
        <f>IF(Table1[[#This Row],[Salary]]&lt;1000000,Table1[[#This Row],[Salary]]*0.05,Table1[[#This Row],[Salary]]*0.1)</f>
        <v>335347.70559999999</v>
      </c>
      <c r="J258" s="15">
        <f>Table1[[#This Row],[Salary]]+Table1[[#This Row],[Bonus]]</f>
        <v>3688824.7615999999</v>
      </c>
      <c r="K258" s="25">
        <f>COUNTA(Table1[Employee_ID])</f>
        <v>1000</v>
      </c>
      <c r="L258" s="1">
        <f>SUM(Table1[Salary])</f>
        <v>3119391523.8580012</v>
      </c>
      <c r="M258" s="15">
        <f>AVERAGE(Table1[Salary])</f>
        <v>3119391.5238580015</v>
      </c>
      <c r="N258" s="29">
        <f>SUM(Table1[Bonus])</f>
        <v>308244983.02069992</v>
      </c>
    </row>
    <row r="259" spans="1:14" ht="12.75" customHeight="1" x14ac:dyDescent="0.25">
      <c r="A259" s="2">
        <v>140</v>
      </c>
      <c r="B259" s="10" t="s">
        <v>72</v>
      </c>
      <c r="C259" s="10" t="s">
        <v>1252</v>
      </c>
      <c r="D259" s="10" t="s">
        <v>32</v>
      </c>
      <c r="E259" s="10" t="s">
        <v>0</v>
      </c>
      <c r="F259" s="10" t="s">
        <v>70</v>
      </c>
      <c r="G259" s="10" t="s">
        <v>35</v>
      </c>
      <c r="H259" s="13">
        <v>352671.11599999998</v>
      </c>
      <c r="I259" s="15">
        <f>IF(Table1[[#This Row],[Salary]]&lt;1000000,Table1[[#This Row],[Salary]]*0.05,Table1[[#This Row],[Salary]]*0.1)</f>
        <v>17633.555799999998</v>
      </c>
      <c r="J259" s="15">
        <f>Table1[[#This Row],[Salary]]+Table1[[#This Row],[Bonus]]</f>
        <v>370304.67179999995</v>
      </c>
      <c r="K259" s="25">
        <f>COUNTA(Table1[Employee_ID])</f>
        <v>1000</v>
      </c>
      <c r="L259" s="1">
        <f>SUM(Table1[Salary])</f>
        <v>3119391523.8580012</v>
      </c>
      <c r="M259" s="15">
        <f>AVERAGE(Table1[Salary])</f>
        <v>3119391.5238580015</v>
      </c>
      <c r="N259" s="29">
        <f>SUM(Table1[Bonus])</f>
        <v>308244983.02069992</v>
      </c>
    </row>
    <row r="260" spans="1:14" ht="12.75" customHeight="1" x14ac:dyDescent="0.25">
      <c r="A260" s="2">
        <v>141</v>
      </c>
      <c r="B260" s="10" t="s">
        <v>357</v>
      </c>
      <c r="C260" s="10" t="s">
        <v>358</v>
      </c>
      <c r="D260" s="10" t="s">
        <v>88</v>
      </c>
      <c r="E260" s="10" t="s">
        <v>33</v>
      </c>
      <c r="F260" s="10" t="s">
        <v>34</v>
      </c>
      <c r="G260" s="10" t="s">
        <v>48</v>
      </c>
      <c r="H260" s="13">
        <v>4232424.18</v>
      </c>
      <c r="I260" s="15">
        <f>IF(Table1[[#This Row],[Salary]]&lt;1000000,Table1[[#This Row],[Salary]]*0.05,Table1[[#This Row],[Salary]]*0.1)</f>
        <v>423242.41800000001</v>
      </c>
      <c r="J260" s="15">
        <f>Table1[[#This Row],[Salary]]+Table1[[#This Row],[Bonus]]</f>
        <v>4655666.5979999993</v>
      </c>
      <c r="K260" s="25">
        <f>COUNTA(Table1[Employee_ID])</f>
        <v>1000</v>
      </c>
      <c r="L260" s="1">
        <f>SUM(Table1[Salary])</f>
        <v>3119391523.8580012</v>
      </c>
      <c r="M260" s="15">
        <f>AVERAGE(Table1[Salary])</f>
        <v>3119391.5238580015</v>
      </c>
      <c r="N260" s="29">
        <f>SUM(Table1[Bonus])</f>
        <v>308244983.02069992</v>
      </c>
    </row>
    <row r="261" spans="1:14" ht="12.75" customHeight="1" x14ac:dyDescent="0.25">
      <c r="A261" s="2">
        <v>141</v>
      </c>
      <c r="B261" s="10" t="s">
        <v>557</v>
      </c>
      <c r="C261" s="10" t="s">
        <v>1221</v>
      </c>
      <c r="D261" s="10" t="s">
        <v>162</v>
      </c>
      <c r="E261" s="10" t="s">
        <v>0</v>
      </c>
      <c r="F261" s="10" t="s">
        <v>89</v>
      </c>
      <c r="G261" s="10" t="s">
        <v>48</v>
      </c>
      <c r="H261" s="13">
        <v>4147565.0320000001</v>
      </c>
      <c r="I261" s="15">
        <f>IF(Table1[[#This Row],[Salary]]&lt;1000000,Table1[[#This Row],[Salary]]*0.05,Table1[[#This Row],[Salary]]*0.1)</f>
        <v>414756.50320000004</v>
      </c>
      <c r="J261" s="15">
        <f>Table1[[#This Row],[Salary]]+Table1[[#This Row],[Bonus]]</f>
        <v>4562321.5351999998</v>
      </c>
      <c r="K261" s="25">
        <f>COUNTA(Table1[Employee_ID])</f>
        <v>1000</v>
      </c>
      <c r="L261" s="1">
        <f>SUM(Table1[Salary])</f>
        <v>3119391523.8580012</v>
      </c>
      <c r="M261" s="15">
        <f>AVERAGE(Table1[Salary])</f>
        <v>3119391.5238580015</v>
      </c>
      <c r="N261" s="29">
        <f>SUM(Table1[Bonus])</f>
        <v>308244983.02069992</v>
      </c>
    </row>
    <row r="262" spans="1:14" ht="12.75" customHeight="1" x14ac:dyDescent="0.25">
      <c r="A262" s="2">
        <v>142</v>
      </c>
      <c r="B262" s="10" t="s">
        <v>359</v>
      </c>
      <c r="C262" s="10" t="s">
        <v>360</v>
      </c>
      <c r="D262" s="10" t="s">
        <v>46</v>
      </c>
      <c r="E262" s="10" t="s">
        <v>33</v>
      </c>
      <c r="F262" s="10" t="s">
        <v>47</v>
      </c>
      <c r="G262" s="10" t="s">
        <v>56</v>
      </c>
      <c r="H262" s="13">
        <v>2204972.8859999999</v>
      </c>
      <c r="I262" s="15">
        <f>IF(Table1[[#This Row],[Salary]]&lt;1000000,Table1[[#This Row],[Salary]]*0.05,Table1[[#This Row],[Salary]]*0.1)</f>
        <v>220497.2886</v>
      </c>
      <c r="J262" s="15">
        <f>Table1[[#This Row],[Salary]]+Table1[[#This Row],[Bonus]]</f>
        <v>2425470.1746</v>
      </c>
      <c r="K262" s="25">
        <f>COUNTA(Table1[Employee_ID])</f>
        <v>1000</v>
      </c>
      <c r="L262" s="1">
        <f>SUM(Table1[Salary])</f>
        <v>3119391523.8580012</v>
      </c>
      <c r="M262" s="15">
        <f>AVERAGE(Table1[Salary])</f>
        <v>3119391.5238580015</v>
      </c>
      <c r="N262" s="29">
        <f>SUM(Table1[Bonus])</f>
        <v>308244983.02069992</v>
      </c>
    </row>
    <row r="263" spans="1:14" ht="12.75" customHeight="1" x14ac:dyDescent="0.25">
      <c r="A263" s="2">
        <v>142</v>
      </c>
      <c r="B263" s="10" t="s">
        <v>1249</v>
      </c>
      <c r="C263" s="10" t="s">
        <v>1256</v>
      </c>
      <c r="D263" s="10" t="s">
        <v>303</v>
      </c>
      <c r="E263" s="10" t="s">
        <v>0</v>
      </c>
      <c r="F263" s="10" t="s">
        <v>22</v>
      </c>
      <c r="G263" s="10" t="s">
        <v>35</v>
      </c>
      <c r="H263" s="13">
        <v>5574814.3279999997</v>
      </c>
      <c r="I263" s="15">
        <f>IF(Table1[[#This Row],[Salary]]&lt;1000000,Table1[[#This Row],[Salary]]*0.05,Table1[[#This Row],[Salary]]*0.1)</f>
        <v>557481.43279999995</v>
      </c>
      <c r="J263" s="15">
        <f>Table1[[#This Row],[Salary]]+Table1[[#This Row],[Bonus]]</f>
        <v>6132295.7607999993</v>
      </c>
      <c r="K263" s="25">
        <f>COUNTA(Table1[Employee_ID])</f>
        <v>1000</v>
      </c>
      <c r="L263" s="1">
        <f>SUM(Table1[Salary])</f>
        <v>3119391523.8580012</v>
      </c>
      <c r="M263" s="15">
        <f>AVERAGE(Table1[Salary])</f>
        <v>3119391.5238580015</v>
      </c>
      <c r="N263" s="29">
        <f>SUM(Table1[Bonus])</f>
        <v>308244983.02069992</v>
      </c>
    </row>
    <row r="264" spans="1:14" ht="12.75" customHeight="1" x14ac:dyDescent="0.25">
      <c r="A264" s="2">
        <v>143</v>
      </c>
      <c r="B264" s="10" t="s">
        <v>361</v>
      </c>
      <c r="C264" s="10" t="s">
        <v>362</v>
      </c>
      <c r="D264" s="10" t="s">
        <v>54</v>
      </c>
      <c r="E264" s="10" t="s">
        <v>10</v>
      </c>
      <c r="F264" s="10" t="s">
        <v>109</v>
      </c>
      <c r="G264" s="10" t="s">
        <v>29</v>
      </c>
      <c r="H264" s="13">
        <v>1886548.78</v>
      </c>
      <c r="I264" s="15">
        <f>IF(Table1[[#This Row],[Salary]]&lt;1000000,Table1[[#This Row],[Salary]]*0.05,Table1[[#This Row],[Salary]]*0.1)</f>
        <v>188654.87800000003</v>
      </c>
      <c r="J264" s="15">
        <f>Table1[[#This Row],[Salary]]+Table1[[#This Row],[Bonus]]</f>
        <v>2075203.6580000001</v>
      </c>
      <c r="K264" s="25">
        <f>COUNTA(Table1[Employee_ID])</f>
        <v>1000</v>
      </c>
      <c r="L264" s="1">
        <f>SUM(Table1[Salary])</f>
        <v>3119391523.8580012</v>
      </c>
      <c r="M264" s="15">
        <f>AVERAGE(Table1[Salary])</f>
        <v>3119391.5238580015</v>
      </c>
      <c r="N264" s="29">
        <f>SUM(Table1[Bonus])</f>
        <v>308244983.02069992</v>
      </c>
    </row>
    <row r="265" spans="1:14" ht="12.75" customHeight="1" x14ac:dyDescent="0.25">
      <c r="A265" s="2">
        <v>143</v>
      </c>
      <c r="B265" s="10" t="s">
        <v>1259</v>
      </c>
      <c r="C265" s="10" t="s">
        <v>896</v>
      </c>
      <c r="D265" s="10" t="s">
        <v>316</v>
      </c>
      <c r="E265" s="10" t="s">
        <v>0</v>
      </c>
      <c r="F265" s="10" t="s">
        <v>70</v>
      </c>
      <c r="G265" s="10" t="s">
        <v>48</v>
      </c>
      <c r="H265" s="13">
        <v>5754663.9979999997</v>
      </c>
      <c r="I265" s="15">
        <f>IF(Table1[[#This Row],[Salary]]&lt;1000000,Table1[[#This Row],[Salary]]*0.05,Table1[[#This Row],[Salary]]*0.1)</f>
        <v>575466.39980000001</v>
      </c>
      <c r="J265" s="15">
        <f>Table1[[#This Row],[Salary]]+Table1[[#This Row],[Bonus]]</f>
        <v>6330130.3977999995</v>
      </c>
      <c r="K265" s="25">
        <f>COUNTA(Table1[Employee_ID])</f>
        <v>1000</v>
      </c>
      <c r="L265" s="1">
        <f>SUM(Table1[Salary])</f>
        <v>3119391523.8580012</v>
      </c>
      <c r="M265" s="15">
        <f>AVERAGE(Table1[Salary])</f>
        <v>3119391.5238580015</v>
      </c>
      <c r="N265" s="29">
        <f>SUM(Table1[Bonus])</f>
        <v>308244983.02069992</v>
      </c>
    </row>
    <row r="266" spans="1:14" ht="12.75" customHeight="1" x14ac:dyDescent="0.25">
      <c r="A266" s="2">
        <v>144</v>
      </c>
      <c r="B266" s="10" t="s">
        <v>363</v>
      </c>
      <c r="C266" s="10" t="s">
        <v>364</v>
      </c>
      <c r="D266" s="10" t="s">
        <v>96</v>
      </c>
      <c r="E266" s="10" t="s">
        <v>27</v>
      </c>
      <c r="F266" s="10" t="s">
        <v>28</v>
      </c>
      <c r="G266" s="10" t="s">
        <v>23</v>
      </c>
      <c r="H266" s="13">
        <v>568559.51399999997</v>
      </c>
      <c r="I266" s="15">
        <f>IF(Table1[[#This Row],[Salary]]&lt;1000000,Table1[[#This Row],[Salary]]*0.05,Table1[[#This Row],[Salary]]*0.1)</f>
        <v>28427.975699999999</v>
      </c>
      <c r="J266" s="15">
        <f>Table1[[#This Row],[Salary]]+Table1[[#This Row],[Bonus]]</f>
        <v>596987.48969999992</v>
      </c>
      <c r="K266" s="25">
        <f>COUNTA(Table1[Employee_ID])</f>
        <v>1000</v>
      </c>
      <c r="L266" s="1">
        <f>SUM(Table1[Salary])</f>
        <v>3119391523.8580012</v>
      </c>
      <c r="M266" s="15">
        <f>AVERAGE(Table1[Salary])</f>
        <v>3119391.5238580015</v>
      </c>
      <c r="N266" s="29">
        <f>SUM(Table1[Bonus])</f>
        <v>308244983.02069992</v>
      </c>
    </row>
    <row r="267" spans="1:14" ht="12.75" customHeight="1" x14ac:dyDescent="0.25">
      <c r="A267" s="2">
        <v>144</v>
      </c>
      <c r="B267" s="10" t="s">
        <v>1180</v>
      </c>
      <c r="C267" s="10" t="s">
        <v>1266</v>
      </c>
      <c r="D267" s="10" t="s">
        <v>32</v>
      </c>
      <c r="E267" s="10" t="s">
        <v>0</v>
      </c>
      <c r="F267" s="10" t="s">
        <v>89</v>
      </c>
      <c r="G267" s="10" t="s">
        <v>56</v>
      </c>
      <c r="H267" s="13">
        <v>2596170.5499999998</v>
      </c>
      <c r="I267" s="15">
        <f>IF(Table1[[#This Row],[Salary]]&lt;1000000,Table1[[#This Row],[Salary]]*0.05,Table1[[#This Row],[Salary]]*0.1)</f>
        <v>259617.05499999999</v>
      </c>
      <c r="J267" s="15">
        <f>Table1[[#This Row],[Salary]]+Table1[[#This Row],[Bonus]]</f>
        <v>2855787.605</v>
      </c>
      <c r="K267" s="25">
        <f>COUNTA(Table1[Employee_ID])</f>
        <v>1000</v>
      </c>
      <c r="L267" s="1">
        <f>SUM(Table1[Salary])</f>
        <v>3119391523.8580012</v>
      </c>
      <c r="M267" s="15">
        <f>AVERAGE(Table1[Salary])</f>
        <v>3119391.5238580015</v>
      </c>
      <c r="N267" s="29">
        <f>SUM(Table1[Bonus])</f>
        <v>308244983.02069992</v>
      </c>
    </row>
    <row r="268" spans="1:14" ht="12.75" customHeight="1" x14ac:dyDescent="0.25">
      <c r="A268" s="2">
        <v>145</v>
      </c>
      <c r="B268" s="10" t="s">
        <v>365</v>
      </c>
      <c r="C268" s="10" t="s">
        <v>366</v>
      </c>
      <c r="D268" s="10" t="s">
        <v>99</v>
      </c>
      <c r="E268" s="10" t="s">
        <v>2</v>
      </c>
      <c r="F268" s="10" t="s">
        <v>102</v>
      </c>
      <c r="G268" s="10" t="s">
        <v>29</v>
      </c>
      <c r="H268" s="13">
        <v>3172872.9839999997</v>
      </c>
      <c r="I268" s="15">
        <f>IF(Table1[[#This Row],[Salary]]&lt;1000000,Table1[[#This Row],[Salary]]*0.05,Table1[[#This Row],[Salary]]*0.1)</f>
        <v>317287.29839999997</v>
      </c>
      <c r="J268" s="15">
        <f>Table1[[#This Row],[Salary]]+Table1[[#This Row],[Bonus]]</f>
        <v>3490160.2823999999</v>
      </c>
      <c r="K268" s="25">
        <f>COUNTA(Table1[Employee_ID])</f>
        <v>1000</v>
      </c>
      <c r="L268" s="1">
        <f>SUM(Table1[Salary])</f>
        <v>3119391523.8580012</v>
      </c>
      <c r="M268" s="15">
        <f>AVERAGE(Table1[Salary])</f>
        <v>3119391.5238580015</v>
      </c>
      <c r="N268" s="29">
        <f>SUM(Table1[Bonus])</f>
        <v>308244983.02069992</v>
      </c>
    </row>
    <row r="269" spans="1:14" ht="12.75" customHeight="1" x14ac:dyDescent="0.25">
      <c r="A269" s="2">
        <v>145</v>
      </c>
      <c r="B269" s="10" t="s">
        <v>1271</v>
      </c>
      <c r="C269" s="10" t="s">
        <v>1272</v>
      </c>
      <c r="D269" s="10" t="s">
        <v>21</v>
      </c>
      <c r="E269" s="10" t="s">
        <v>0</v>
      </c>
      <c r="F269" s="10" t="s">
        <v>22</v>
      </c>
      <c r="G269" s="10" t="s">
        <v>23</v>
      </c>
      <c r="H269" s="13">
        <v>739679.34199999995</v>
      </c>
      <c r="I269" s="15">
        <f>IF(Table1[[#This Row],[Salary]]&lt;1000000,Table1[[#This Row],[Salary]]*0.05,Table1[[#This Row],[Salary]]*0.1)</f>
        <v>36983.967100000002</v>
      </c>
      <c r="J269" s="15">
        <f>Table1[[#This Row],[Salary]]+Table1[[#This Row],[Bonus]]</f>
        <v>776663.30909999995</v>
      </c>
      <c r="K269" s="25">
        <f>COUNTA(Table1[Employee_ID])</f>
        <v>1000</v>
      </c>
      <c r="L269" s="1">
        <f>SUM(Table1[Salary])</f>
        <v>3119391523.8580012</v>
      </c>
      <c r="M269" s="15">
        <f>AVERAGE(Table1[Salary])</f>
        <v>3119391.5238580015</v>
      </c>
      <c r="N269" s="29">
        <f>SUM(Table1[Bonus])</f>
        <v>308244983.02069992</v>
      </c>
    </row>
    <row r="270" spans="1:14" ht="12.75" customHeight="1" x14ac:dyDescent="0.25">
      <c r="A270" s="2">
        <v>146</v>
      </c>
      <c r="B270" s="10" t="s">
        <v>367</v>
      </c>
      <c r="C270" s="10" t="s">
        <v>368</v>
      </c>
      <c r="D270" s="10" t="s">
        <v>96</v>
      </c>
      <c r="E270" s="10" t="s">
        <v>14</v>
      </c>
      <c r="F270" s="10" t="s">
        <v>234</v>
      </c>
      <c r="G270" s="10" t="s">
        <v>56</v>
      </c>
      <c r="H270" s="13">
        <v>378717.22400000005</v>
      </c>
      <c r="I270" s="15">
        <f>IF(Table1[[#This Row],[Salary]]&lt;1000000,Table1[[#This Row],[Salary]]*0.05,Table1[[#This Row],[Salary]]*0.1)</f>
        <v>18935.861200000003</v>
      </c>
      <c r="J270" s="15">
        <f>Table1[[#This Row],[Salary]]+Table1[[#This Row],[Bonus]]</f>
        <v>397653.08520000003</v>
      </c>
      <c r="K270" s="25">
        <f>COUNTA(Table1[Employee_ID])</f>
        <v>1000</v>
      </c>
      <c r="L270" s="1">
        <f>SUM(Table1[Salary])</f>
        <v>3119391523.8580012</v>
      </c>
      <c r="M270" s="15">
        <f>AVERAGE(Table1[Salary])</f>
        <v>3119391.5238580015</v>
      </c>
      <c r="N270" s="29">
        <f>SUM(Table1[Bonus])</f>
        <v>308244983.02069992</v>
      </c>
    </row>
    <row r="271" spans="1:14" ht="12.75" customHeight="1" x14ac:dyDescent="0.25">
      <c r="A271" s="2">
        <v>146</v>
      </c>
      <c r="B271" s="10" t="s">
        <v>998</v>
      </c>
      <c r="C271" s="10" t="s">
        <v>1273</v>
      </c>
      <c r="D271" s="10" t="s">
        <v>54</v>
      </c>
      <c r="E271" s="10" t="s">
        <v>0</v>
      </c>
      <c r="F271" s="10" t="s">
        <v>70</v>
      </c>
      <c r="G271" s="10" t="s">
        <v>71</v>
      </c>
      <c r="H271" s="13">
        <v>2883020.5420000004</v>
      </c>
      <c r="I271" s="15">
        <f>IF(Table1[[#This Row],[Salary]]&lt;1000000,Table1[[#This Row],[Salary]]*0.05,Table1[[#This Row],[Salary]]*0.1)</f>
        <v>288302.05420000007</v>
      </c>
      <c r="J271" s="15">
        <f>Table1[[#This Row],[Salary]]+Table1[[#This Row],[Bonus]]</f>
        <v>3171322.5962000005</v>
      </c>
      <c r="K271" s="25">
        <f>COUNTA(Table1[Employee_ID])</f>
        <v>1000</v>
      </c>
      <c r="L271" s="1">
        <f>SUM(Table1[Salary])</f>
        <v>3119391523.8580012</v>
      </c>
      <c r="M271" s="15">
        <f>AVERAGE(Table1[Salary])</f>
        <v>3119391.5238580015</v>
      </c>
      <c r="N271" s="29">
        <f>SUM(Table1[Bonus])</f>
        <v>308244983.02069992</v>
      </c>
    </row>
    <row r="272" spans="1:14" ht="12.75" customHeight="1" x14ac:dyDescent="0.25">
      <c r="A272" s="2">
        <v>147</v>
      </c>
      <c r="B272" s="10" t="s">
        <v>369</v>
      </c>
      <c r="C272" s="10" t="s">
        <v>370</v>
      </c>
      <c r="D272" s="10" t="s">
        <v>105</v>
      </c>
      <c r="E272" s="10" t="s">
        <v>6</v>
      </c>
      <c r="F272" s="10" t="s">
        <v>74</v>
      </c>
      <c r="G272" s="10" t="s">
        <v>23</v>
      </c>
      <c r="H272" s="13">
        <v>4318920.392</v>
      </c>
      <c r="I272" s="15">
        <f>IF(Table1[[#This Row],[Salary]]&lt;1000000,Table1[[#This Row],[Salary]]*0.05,Table1[[#This Row],[Salary]]*0.1)</f>
        <v>431892.0392</v>
      </c>
      <c r="J272" s="15">
        <f>Table1[[#This Row],[Salary]]+Table1[[#This Row],[Bonus]]</f>
        <v>4750812.4311999995</v>
      </c>
      <c r="K272" s="25">
        <f>COUNTA(Table1[Employee_ID])</f>
        <v>1000</v>
      </c>
      <c r="L272" s="1">
        <f>SUM(Table1[Salary])</f>
        <v>3119391523.8580012</v>
      </c>
      <c r="M272" s="15">
        <f>AVERAGE(Table1[Salary])</f>
        <v>3119391.5238580015</v>
      </c>
      <c r="N272" s="29">
        <f>SUM(Table1[Bonus])</f>
        <v>308244983.02069992</v>
      </c>
    </row>
    <row r="273" spans="1:14" ht="12.75" customHeight="1" x14ac:dyDescent="0.25">
      <c r="A273" s="2">
        <v>147</v>
      </c>
      <c r="B273" s="10" t="s">
        <v>507</v>
      </c>
      <c r="C273" s="10" t="s">
        <v>1274</v>
      </c>
      <c r="D273" s="10" t="s">
        <v>59</v>
      </c>
      <c r="E273" s="10" t="s">
        <v>0</v>
      </c>
      <c r="F273" s="10" t="s">
        <v>89</v>
      </c>
      <c r="G273" s="10" t="s">
        <v>29</v>
      </c>
      <c r="H273" s="13">
        <v>3719374.852</v>
      </c>
      <c r="I273" s="15">
        <f>IF(Table1[[#This Row],[Salary]]&lt;1000000,Table1[[#This Row],[Salary]]*0.05,Table1[[#This Row],[Salary]]*0.1)</f>
        <v>371937.4852</v>
      </c>
      <c r="J273" s="15">
        <f>Table1[[#This Row],[Salary]]+Table1[[#This Row],[Bonus]]</f>
        <v>4091312.3372</v>
      </c>
      <c r="K273" s="25">
        <f>COUNTA(Table1[Employee_ID])</f>
        <v>1000</v>
      </c>
      <c r="L273" s="1">
        <f>SUM(Table1[Salary])</f>
        <v>3119391523.8580012</v>
      </c>
      <c r="M273" s="15">
        <f>AVERAGE(Table1[Salary])</f>
        <v>3119391.5238580015</v>
      </c>
      <c r="N273" s="29">
        <f>SUM(Table1[Bonus])</f>
        <v>308244983.02069992</v>
      </c>
    </row>
    <row r="274" spans="1:14" ht="12.75" customHeight="1" x14ac:dyDescent="0.25">
      <c r="A274" s="2">
        <v>148</v>
      </c>
      <c r="B274" s="10" t="s">
        <v>385</v>
      </c>
      <c r="C274" s="10" t="s">
        <v>1284</v>
      </c>
      <c r="D274" s="10" t="s">
        <v>46</v>
      </c>
      <c r="E274" s="10" t="s">
        <v>0</v>
      </c>
      <c r="F274" s="10" t="s">
        <v>22</v>
      </c>
      <c r="G274" s="10" t="s">
        <v>56</v>
      </c>
      <c r="H274" s="13">
        <v>1783606.138</v>
      </c>
      <c r="I274" s="15">
        <f>IF(Table1[[#This Row],[Salary]]&lt;1000000,Table1[[#This Row],[Salary]]*0.05,Table1[[#This Row],[Salary]]*0.1)</f>
        <v>178360.61380000002</v>
      </c>
      <c r="J274" s="15">
        <f>Table1[[#This Row],[Salary]]+Table1[[#This Row],[Bonus]]</f>
        <v>1961966.7518</v>
      </c>
      <c r="K274" s="25">
        <f>COUNTA(Table1[Employee_ID])</f>
        <v>1000</v>
      </c>
      <c r="L274" s="1">
        <f>SUM(Table1[Salary])</f>
        <v>3119391523.8580012</v>
      </c>
      <c r="M274" s="15">
        <f>AVERAGE(Table1[Salary])</f>
        <v>3119391.5238580015</v>
      </c>
      <c r="N274" s="29">
        <f>SUM(Table1[Bonus])</f>
        <v>308244983.02069992</v>
      </c>
    </row>
    <row r="275" spans="1:14" ht="12.75" customHeight="1" x14ac:dyDescent="0.25">
      <c r="A275" s="2">
        <v>149</v>
      </c>
      <c r="B275" s="10" t="s">
        <v>373</v>
      </c>
      <c r="C275" s="10" t="s">
        <v>374</v>
      </c>
      <c r="D275" s="10" t="s">
        <v>112</v>
      </c>
      <c r="E275" s="10" t="s">
        <v>2</v>
      </c>
      <c r="F275" s="10" t="s">
        <v>60</v>
      </c>
      <c r="G275" s="10" t="s">
        <v>56</v>
      </c>
      <c r="H275" s="13">
        <v>4849993.7479999997</v>
      </c>
      <c r="I275" s="15">
        <f>IF(Table1[[#This Row],[Salary]]&lt;1000000,Table1[[#This Row],[Salary]]*0.05,Table1[[#This Row],[Salary]]*0.1)</f>
        <v>484999.37479999999</v>
      </c>
      <c r="J275" s="15">
        <f>Table1[[#This Row],[Salary]]+Table1[[#This Row],[Bonus]]</f>
        <v>5334993.1228</v>
      </c>
      <c r="K275" s="25">
        <f>COUNTA(Table1[Employee_ID])</f>
        <v>1000</v>
      </c>
      <c r="L275" s="1">
        <f>SUM(Table1[Salary])</f>
        <v>3119391523.8580012</v>
      </c>
      <c r="M275" s="15">
        <f>AVERAGE(Table1[Salary])</f>
        <v>3119391.5238580015</v>
      </c>
      <c r="N275" s="29">
        <f>SUM(Table1[Bonus])</f>
        <v>308244983.02069992</v>
      </c>
    </row>
    <row r="276" spans="1:14" ht="12.75" customHeight="1" x14ac:dyDescent="0.25">
      <c r="A276" s="2">
        <v>149</v>
      </c>
      <c r="B276" s="10" t="s">
        <v>1286</v>
      </c>
      <c r="C276" s="10" t="s">
        <v>535</v>
      </c>
      <c r="D276" s="10" t="s">
        <v>96</v>
      </c>
      <c r="E276" s="10" t="s">
        <v>0</v>
      </c>
      <c r="F276" s="10" t="s">
        <v>70</v>
      </c>
      <c r="G276" s="10" t="s">
        <v>23</v>
      </c>
      <c r="H276" s="13">
        <v>1374721.42</v>
      </c>
      <c r="I276" s="15">
        <f>IF(Table1[[#This Row],[Salary]]&lt;1000000,Table1[[#This Row],[Salary]]*0.05,Table1[[#This Row],[Salary]]*0.1)</f>
        <v>137472.14199999999</v>
      </c>
      <c r="J276" s="15">
        <f>Table1[[#This Row],[Salary]]+Table1[[#This Row],[Bonus]]</f>
        <v>1512193.5619999999</v>
      </c>
      <c r="K276" s="25">
        <f>COUNTA(Table1[Employee_ID])</f>
        <v>1000</v>
      </c>
      <c r="L276" s="1">
        <f>SUM(Table1[Salary])</f>
        <v>3119391523.8580012</v>
      </c>
      <c r="M276" s="15">
        <f>AVERAGE(Table1[Salary])</f>
        <v>3119391.5238580015</v>
      </c>
      <c r="N276" s="29">
        <f>SUM(Table1[Bonus])</f>
        <v>308244983.02069992</v>
      </c>
    </row>
    <row r="277" spans="1:14" ht="12.75" customHeight="1" x14ac:dyDescent="0.25">
      <c r="A277" s="2">
        <v>150</v>
      </c>
      <c r="B277" s="10" t="s">
        <v>375</v>
      </c>
      <c r="C277" s="10" t="s">
        <v>376</v>
      </c>
      <c r="D277" s="10" t="s">
        <v>377</v>
      </c>
      <c r="E277" s="10" t="s">
        <v>63</v>
      </c>
      <c r="F277" s="10" t="s">
        <v>131</v>
      </c>
      <c r="G277" s="10" t="s">
        <v>71</v>
      </c>
      <c r="H277" s="13">
        <v>4428917.3339999998</v>
      </c>
      <c r="I277" s="15">
        <f>IF(Table1[[#This Row],[Salary]]&lt;1000000,Table1[[#This Row],[Salary]]*0.05,Table1[[#This Row],[Salary]]*0.1)</f>
        <v>442891.73340000003</v>
      </c>
      <c r="J277" s="15">
        <f>Table1[[#This Row],[Salary]]+Table1[[#This Row],[Bonus]]</f>
        <v>4871809.0674000001</v>
      </c>
      <c r="K277" s="25">
        <f>COUNTA(Table1[Employee_ID])</f>
        <v>1000</v>
      </c>
      <c r="L277" s="1">
        <f>SUM(Table1[Salary])</f>
        <v>3119391523.8580012</v>
      </c>
      <c r="M277" s="15">
        <f>AVERAGE(Table1[Salary])</f>
        <v>3119391.5238580015</v>
      </c>
      <c r="N277" s="29">
        <f>SUM(Table1[Bonus])</f>
        <v>308244983.02069992</v>
      </c>
    </row>
    <row r="278" spans="1:14" ht="12.75" customHeight="1" x14ac:dyDescent="0.25">
      <c r="A278" s="2">
        <v>150</v>
      </c>
      <c r="B278" s="10" t="s">
        <v>1294</v>
      </c>
      <c r="C278" s="10" t="s">
        <v>382</v>
      </c>
      <c r="D278" s="10" t="s">
        <v>363</v>
      </c>
      <c r="E278" s="10" t="s">
        <v>0</v>
      </c>
      <c r="F278" s="10" t="s">
        <v>89</v>
      </c>
      <c r="G278" s="10" t="s">
        <v>71</v>
      </c>
      <c r="H278" s="13">
        <v>4293467.7779999999</v>
      </c>
      <c r="I278" s="15">
        <f>IF(Table1[[#This Row],[Salary]]&lt;1000000,Table1[[#This Row],[Salary]]*0.05,Table1[[#This Row],[Salary]]*0.1)</f>
        <v>429346.77780000004</v>
      </c>
      <c r="J278" s="15">
        <f>Table1[[#This Row],[Salary]]+Table1[[#This Row],[Bonus]]</f>
        <v>4722814.5558000002</v>
      </c>
      <c r="K278" s="25">
        <f>COUNTA(Table1[Employee_ID])</f>
        <v>1000</v>
      </c>
      <c r="L278" s="1">
        <f>SUM(Table1[Salary])</f>
        <v>3119391523.8580012</v>
      </c>
      <c r="M278" s="15">
        <f>AVERAGE(Table1[Salary])</f>
        <v>3119391.5238580015</v>
      </c>
      <c r="N278" s="29">
        <f>SUM(Table1[Bonus])</f>
        <v>308244983.02069992</v>
      </c>
    </row>
    <row r="279" spans="1:14" ht="12.75" customHeight="1" x14ac:dyDescent="0.25">
      <c r="A279" s="2">
        <v>151</v>
      </c>
      <c r="B279" s="10" t="s">
        <v>378</v>
      </c>
      <c r="C279" s="10" t="s">
        <v>379</v>
      </c>
      <c r="D279" s="10" t="s">
        <v>156</v>
      </c>
      <c r="E279" s="10" t="s">
        <v>27</v>
      </c>
      <c r="F279" s="10" t="s">
        <v>85</v>
      </c>
      <c r="G279" s="10" t="s">
        <v>29</v>
      </c>
      <c r="H279" s="13">
        <v>2297033.25</v>
      </c>
      <c r="I279" s="15">
        <f>IF(Table1[[#This Row],[Salary]]&lt;1000000,Table1[[#This Row],[Salary]]*0.05,Table1[[#This Row],[Salary]]*0.1)</f>
        <v>229703.32500000001</v>
      </c>
      <c r="J279" s="15">
        <f>Table1[[#This Row],[Salary]]+Table1[[#This Row],[Bonus]]</f>
        <v>2526736.5750000002</v>
      </c>
      <c r="K279" s="25">
        <f>COUNTA(Table1[Employee_ID])</f>
        <v>1000</v>
      </c>
      <c r="L279" s="1">
        <f>SUM(Table1[Salary])</f>
        <v>3119391523.8580012</v>
      </c>
      <c r="M279" s="15">
        <f>AVERAGE(Table1[Salary])</f>
        <v>3119391.5238580015</v>
      </c>
      <c r="N279" s="29">
        <f>SUM(Table1[Bonus])</f>
        <v>308244983.02069992</v>
      </c>
    </row>
    <row r="280" spans="1:14" ht="12.75" customHeight="1" x14ac:dyDescent="0.25">
      <c r="A280" s="2">
        <v>151</v>
      </c>
      <c r="B280" s="10" t="s">
        <v>1307</v>
      </c>
      <c r="C280" s="10" t="s">
        <v>1308</v>
      </c>
      <c r="D280" s="10" t="s">
        <v>26</v>
      </c>
      <c r="E280" s="10" t="s">
        <v>0</v>
      </c>
      <c r="F280" s="10" t="s">
        <v>22</v>
      </c>
      <c r="G280" s="10" t="s">
        <v>29</v>
      </c>
      <c r="H280" s="13">
        <v>1944738.01</v>
      </c>
      <c r="I280" s="15">
        <f>IF(Table1[[#This Row],[Salary]]&lt;1000000,Table1[[#This Row],[Salary]]*0.05,Table1[[#This Row],[Salary]]*0.1)</f>
        <v>194473.80100000001</v>
      </c>
      <c r="J280" s="15">
        <f>Table1[[#This Row],[Salary]]+Table1[[#This Row],[Bonus]]</f>
        <v>2139211.8110000002</v>
      </c>
      <c r="K280" s="25">
        <f>COUNTA(Table1[Employee_ID])</f>
        <v>1000</v>
      </c>
      <c r="L280" s="1">
        <f>SUM(Table1[Salary])</f>
        <v>3119391523.8580012</v>
      </c>
      <c r="M280" s="15">
        <f>AVERAGE(Table1[Salary])</f>
        <v>3119391.5238580015</v>
      </c>
      <c r="N280" s="29">
        <f>SUM(Table1[Bonus])</f>
        <v>308244983.02069992</v>
      </c>
    </row>
    <row r="281" spans="1:14" ht="12.75" customHeight="1" x14ac:dyDescent="0.25">
      <c r="A281" s="2">
        <v>152</v>
      </c>
      <c r="B281" s="10" t="s">
        <v>380</v>
      </c>
      <c r="C281" s="10" t="s">
        <v>381</v>
      </c>
      <c r="D281" s="10" t="s">
        <v>174</v>
      </c>
      <c r="E281" s="10" t="s">
        <v>6</v>
      </c>
      <c r="F281" s="10" t="s">
        <v>123</v>
      </c>
      <c r="G281" s="10" t="s">
        <v>56</v>
      </c>
      <c r="H281" s="13">
        <v>3297639.6479999996</v>
      </c>
      <c r="I281" s="15">
        <f>IF(Table1[[#This Row],[Salary]]&lt;1000000,Table1[[#This Row],[Salary]]*0.05,Table1[[#This Row],[Salary]]*0.1)</f>
        <v>329763.96479999996</v>
      </c>
      <c r="J281" s="15">
        <f>Table1[[#This Row],[Salary]]+Table1[[#This Row],[Bonus]]</f>
        <v>3627403.6127999993</v>
      </c>
      <c r="K281" s="25">
        <f>COUNTA(Table1[Employee_ID])</f>
        <v>1000</v>
      </c>
      <c r="L281" s="1">
        <f>SUM(Table1[Salary])</f>
        <v>3119391523.8580012</v>
      </c>
      <c r="M281" s="15">
        <f>AVERAGE(Table1[Salary])</f>
        <v>3119391.5238580015</v>
      </c>
      <c r="N281" s="29">
        <f>SUM(Table1[Bonus])</f>
        <v>308244983.02069992</v>
      </c>
    </row>
    <row r="282" spans="1:14" ht="12.75" customHeight="1" x14ac:dyDescent="0.25">
      <c r="A282" s="2">
        <v>152</v>
      </c>
      <c r="B282" s="10" t="s">
        <v>387</v>
      </c>
      <c r="C282" s="10" t="s">
        <v>482</v>
      </c>
      <c r="D282" s="10" t="s">
        <v>143</v>
      </c>
      <c r="E282" s="10" t="s">
        <v>0</v>
      </c>
      <c r="F282" s="10" t="s">
        <v>70</v>
      </c>
      <c r="G282" s="10" t="s">
        <v>56</v>
      </c>
      <c r="H282" s="13">
        <v>600732.95199999993</v>
      </c>
      <c r="I282" s="15">
        <f>IF(Table1[[#This Row],[Salary]]&lt;1000000,Table1[[#This Row],[Salary]]*0.05,Table1[[#This Row],[Salary]]*0.1)</f>
        <v>30036.647599999997</v>
      </c>
      <c r="J282" s="15">
        <f>Table1[[#This Row],[Salary]]+Table1[[#This Row],[Bonus]]</f>
        <v>630769.59959999996</v>
      </c>
      <c r="K282" s="25">
        <f>COUNTA(Table1[Employee_ID])</f>
        <v>1000</v>
      </c>
      <c r="L282" s="1">
        <f>SUM(Table1[Salary])</f>
        <v>3119391523.8580012</v>
      </c>
      <c r="M282" s="15">
        <f>AVERAGE(Table1[Salary])</f>
        <v>3119391.5238580015</v>
      </c>
      <c r="N282" s="29">
        <f>SUM(Table1[Bonus])</f>
        <v>308244983.02069992</v>
      </c>
    </row>
    <row r="283" spans="1:14" ht="12.75" customHeight="1" x14ac:dyDescent="0.25">
      <c r="A283" s="2">
        <v>153</v>
      </c>
      <c r="B283" s="10" t="s">
        <v>382</v>
      </c>
      <c r="C283" s="10" t="s">
        <v>383</v>
      </c>
      <c r="D283" s="10" t="s">
        <v>174</v>
      </c>
      <c r="E283" s="10" t="s">
        <v>39</v>
      </c>
      <c r="F283" s="10" t="s">
        <v>186</v>
      </c>
      <c r="G283" s="10" t="s">
        <v>35</v>
      </c>
      <c r="H283" s="13">
        <v>3796748.28</v>
      </c>
      <c r="I283" s="15">
        <f>IF(Table1[[#This Row],[Salary]]&lt;1000000,Table1[[#This Row],[Salary]]*0.05,Table1[[#This Row],[Salary]]*0.1)</f>
        <v>379674.82799999998</v>
      </c>
      <c r="J283" s="15">
        <f>Table1[[#This Row],[Salary]]+Table1[[#This Row],[Bonus]]</f>
        <v>4176423.108</v>
      </c>
      <c r="K283" s="25">
        <f>COUNTA(Table1[Employee_ID])</f>
        <v>1000</v>
      </c>
      <c r="L283" s="1">
        <f>SUM(Table1[Salary])</f>
        <v>3119391523.8580012</v>
      </c>
      <c r="M283" s="15">
        <f>AVERAGE(Table1[Salary])</f>
        <v>3119391.5238580015</v>
      </c>
      <c r="N283" s="29">
        <f>SUM(Table1[Bonus])</f>
        <v>308244983.02069992</v>
      </c>
    </row>
    <row r="284" spans="1:14" ht="12.75" customHeight="1" x14ac:dyDescent="0.25">
      <c r="A284" s="2">
        <v>153</v>
      </c>
      <c r="B284" s="10" t="s">
        <v>129</v>
      </c>
      <c r="C284" s="10" t="s">
        <v>1326</v>
      </c>
      <c r="D284" s="10" t="s">
        <v>165</v>
      </c>
      <c r="E284" s="10" t="s">
        <v>0</v>
      </c>
      <c r="F284" s="10" t="s">
        <v>89</v>
      </c>
      <c r="G284" s="10" t="s">
        <v>29</v>
      </c>
      <c r="H284" s="13">
        <v>4508779.0059999991</v>
      </c>
      <c r="I284" s="15">
        <f>IF(Table1[[#This Row],[Salary]]&lt;1000000,Table1[[#This Row],[Salary]]*0.05,Table1[[#This Row],[Salary]]*0.1)</f>
        <v>450877.90059999994</v>
      </c>
      <c r="J284" s="15">
        <f>Table1[[#This Row],[Salary]]+Table1[[#This Row],[Bonus]]</f>
        <v>4959656.9065999994</v>
      </c>
      <c r="K284" s="25">
        <f>COUNTA(Table1[Employee_ID])</f>
        <v>1000</v>
      </c>
      <c r="L284" s="1">
        <f>SUM(Table1[Salary])</f>
        <v>3119391523.8580012</v>
      </c>
      <c r="M284" s="15">
        <f>AVERAGE(Table1[Salary])</f>
        <v>3119391.5238580015</v>
      </c>
      <c r="N284" s="29">
        <f>SUM(Table1[Bonus])</f>
        <v>308244983.02069992</v>
      </c>
    </row>
    <row r="285" spans="1:14" ht="12.75" customHeight="1" x14ac:dyDescent="0.25">
      <c r="A285" s="2">
        <v>154</v>
      </c>
      <c r="B285" s="10" t="s">
        <v>239</v>
      </c>
      <c r="C285" s="10" t="s">
        <v>384</v>
      </c>
      <c r="D285" s="10" t="s">
        <v>59</v>
      </c>
      <c r="E285" s="10" t="s">
        <v>27</v>
      </c>
      <c r="F285" s="10" t="s">
        <v>106</v>
      </c>
      <c r="G285" s="10" t="s">
        <v>35</v>
      </c>
      <c r="H285" s="13">
        <v>2666242.486</v>
      </c>
      <c r="I285" s="15">
        <f>IF(Table1[[#This Row],[Salary]]&lt;1000000,Table1[[#This Row],[Salary]]*0.05,Table1[[#This Row],[Salary]]*0.1)</f>
        <v>266624.24859999999</v>
      </c>
      <c r="J285" s="15">
        <f>Table1[[#This Row],[Salary]]+Table1[[#This Row],[Bonus]]</f>
        <v>2932866.7346000001</v>
      </c>
      <c r="K285" s="25">
        <f>COUNTA(Table1[Employee_ID])</f>
        <v>1000</v>
      </c>
      <c r="L285" s="1">
        <f>SUM(Table1[Salary])</f>
        <v>3119391523.8580012</v>
      </c>
      <c r="M285" s="15">
        <f>AVERAGE(Table1[Salary])</f>
        <v>3119391.5238580015</v>
      </c>
      <c r="N285" s="29">
        <f>SUM(Table1[Bonus])</f>
        <v>308244983.02069992</v>
      </c>
    </row>
    <row r="286" spans="1:14" ht="12.75" customHeight="1" x14ac:dyDescent="0.25">
      <c r="A286" s="2">
        <v>154</v>
      </c>
      <c r="B286" s="10" t="s">
        <v>1247</v>
      </c>
      <c r="C286" s="10" t="s">
        <v>1328</v>
      </c>
      <c r="D286" s="10" t="s">
        <v>21</v>
      </c>
      <c r="E286" s="10" t="s">
        <v>0</v>
      </c>
      <c r="F286" s="10" t="s">
        <v>22</v>
      </c>
      <c r="G286" s="10" t="s">
        <v>23</v>
      </c>
      <c r="H286" s="13">
        <v>4938699.53</v>
      </c>
      <c r="I286" s="15">
        <f>IF(Table1[[#This Row],[Salary]]&lt;1000000,Table1[[#This Row],[Salary]]*0.05,Table1[[#This Row],[Salary]]*0.1)</f>
        <v>493869.95300000004</v>
      </c>
      <c r="J286" s="15">
        <f>Table1[[#This Row],[Salary]]+Table1[[#This Row],[Bonus]]</f>
        <v>5432569.483</v>
      </c>
      <c r="K286" s="25">
        <f>COUNTA(Table1[Employee_ID])</f>
        <v>1000</v>
      </c>
      <c r="L286" s="1">
        <f>SUM(Table1[Salary])</f>
        <v>3119391523.8580012</v>
      </c>
      <c r="M286" s="15">
        <f>AVERAGE(Table1[Salary])</f>
        <v>3119391.5238580015</v>
      </c>
      <c r="N286" s="29">
        <f>SUM(Table1[Bonus])</f>
        <v>308244983.02069992</v>
      </c>
    </row>
    <row r="287" spans="1:14" ht="12.75" customHeight="1" x14ac:dyDescent="0.25">
      <c r="A287" s="2">
        <v>155</v>
      </c>
      <c r="B287" s="10" t="s">
        <v>385</v>
      </c>
      <c r="C287" s="10" t="s">
        <v>386</v>
      </c>
      <c r="D287" s="10" t="s">
        <v>324</v>
      </c>
      <c r="E287" s="10" t="s">
        <v>63</v>
      </c>
      <c r="F287" s="10" t="s">
        <v>64</v>
      </c>
      <c r="G287" s="10" t="s">
        <v>29</v>
      </c>
      <c r="H287" s="13">
        <v>3087364.3739999998</v>
      </c>
      <c r="I287" s="15">
        <f>IF(Table1[[#This Row],[Salary]]&lt;1000000,Table1[[#This Row],[Salary]]*0.05,Table1[[#This Row],[Salary]]*0.1)</f>
        <v>308736.4374</v>
      </c>
      <c r="J287" s="15">
        <f>Table1[[#This Row],[Salary]]+Table1[[#This Row],[Bonus]]</f>
        <v>3396100.8114</v>
      </c>
      <c r="K287" s="25">
        <f>COUNTA(Table1[Employee_ID])</f>
        <v>1000</v>
      </c>
      <c r="L287" s="1">
        <f>SUM(Table1[Salary])</f>
        <v>3119391523.8580012</v>
      </c>
      <c r="M287" s="15">
        <f>AVERAGE(Table1[Salary])</f>
        <v>3119391.5238580015</v>
      </c>
      <c r="N287" s="29">
        <f>SUM(Table1[Bonus])</f>
        <v>308244983.02069992</v>
      </c>
    </row>
    <row r="288" spans="1:14" ht="12.75" customHeight="1" x14ac:dyDescent="0.25">
      <c r="A288" s="2">
        <v>155</v>
      </c>
      <c r="B288" s="10" t="s">
        <v>250</v>
      </c>
      <c r="C288" s="10" t="s">
        <v>1337</v>
      </c>
      <c r="D288" s="10" t="s">
        <v>177</v>
      </c>
      <c r="E288" s="10" t="s">
        <v>0</v>
      </c>
      <c r="F288" s="10" t="s">
        <v>70</v>
      </c>
      <c r="G288" s="10" t="s">
        <v>29</v>
      </c>
      <c r="H288" s="13">
        <v>2506114.54</v>
      </c>
      <c r="I288" s="15">
        <f>IF(Table1[[#This Row],[Salary]]&lt;1000000,Table1[[#This Row],[Salary]]*0.05,Table1[[#This Row],[Salary]]*0.1)</f>
        <v>250611.45400000003</v>
      </c>
      <c r="J288" s="15">
        <f>Table1[[#This Row],[Salary]]+Table1[[#This Row],[Bonus]]</f>
        <v>2756725.9939999999</v>
      </c>
      <c r="K288" s="25">
        <f>COUNTA(Table1[Employee_ID])</f>
        <v>1000</v>
      </c>
      <c r="L288" s="1">
        <f>SUM(Table1[Salary])</f>
        <v>3119391523.8580012</v>
      </c>
      <c r="M288" s="15">
        <f>AVERAGE(Table1[Salary])</f>
        <v>3119391.5238580015</v>
      </c>
      <c r="N288" s="29">
        <f>SUM(Table1[Bonus])</f>
        <v>308244983.02069992</v>
      </c>
    </row>
    <row r="289" spans="1:14" ht="12.75" customHeight="1" x14ac:dyDescent="0.25">
      <c r="A289" s="2">
        <v>156</v>
      </c>
      <c r="B289" s="10" t="s">
        <v>387</v>
      </c>
      <c r="C289" s="10" t="s">
        <v>388</v>
      </c>
      <c r="D289" s="10" t="s">
        <v>177</v>
      </c>
      <c r="E289" s="10" t="s">
        <v>6</v>
      </c>
      <c r="F289" s="10" t="s">
        <v>144</v>
      </c>
      <c r="G289" s="10" t="s">
        <v>56</v>
      </c>
      <c r="H289" s="13">
        <v>4153229.46</v>
      </c>
      <c r="I289" s="15">
        <f>IF(Table1[[#This Row],[Salary]]&lt;1000000,Table1[[#This Row],[Salary]]*0.05,Table1[[#This Row],[Salary]]*0.1)</f>
        <v>415322.946</v>
      </c>
      <c r="J289" s="15">
        <f>Table1[[#This Row],[Salary]]+Table1[[#This Row],[Bonus]]</f>
        <v>4568552.4059999995</v>
      </c>
      <c r="K289" s="25">
        <f>COUNTA(Table1[Employee_ID])</f>
        <v>1000</v>
      </c>
      <c r="L289" s="1">
        <f>SUM(Table1[Salary])</f>
        <v>3119391523.8580012</v>
      </c>
      <c r="M289" s="15">
        <f>AVERAGE(Table1[Salary])</f>
        <v>3119391.5238580015</v>
      </c>
      <c r="N289" s="29">
        <f>SUM(Table1[Bonus])</f>
        <v>308244983.02069992</v>
      </c>
    </row>
    <row r="290" spans="1:14" ht="12.75" customHeight="1" x14ac:dyDescent="0.25">
      <c r="A290" s="2">
        <v>156</v>
      </c>
      <c r="B290" s="10" t="s">
        <v>403</v>
      </c>
      <c r="C290" s="10" t="s">
        <v>562</v>
      </c>
      <c r="D290" s="10" t="s">
        <v>125</v>
      </c>
      <c r="E290" s="10" t="s">
        <v>0</v>
      </c>
      <c r="F290" s="10" t="s">
        <v>89</v>
      </c>
      <c r="G290" s="10" t="s">
        <v>35</v>
      </c>
      <c r="H290" s="13">
        <v>4309185.4579999996</v>
      </c>
      <c r="I290" s="15">
        <f>IF(Table1[[#This Row],[Salary]]&lt;1000000,Table1[[#This Row],[Salary]]*0.05,Table1[[#This Row],[Salary]]*0.1)</f>
        <v>430918.54579999996</v>
      </c>
      <c r="J290" s="15">
        <f>Table1[[#This Row],[Salary]]+Table1[[#This Row],[Bonus]]</f>
        <v>4740104.0037999991</v>
      </c>
      <c r="K290" s="25">
        <f>COUNTA(Table1[Employee_ID])</f>
        <v>1000</v>
      </c>
      <c r="L290" s="1">
        <f>SUM(Table1[Salary])</f>
        <v>3119391523.8580012</v>
      </c>
      <c r="M290" s="15">
        <f>AVERAGE(Table1[Salary])</f>
        <v>3119391.5238580015</v>
      </c>
      <c r="N290" s="29">
        <f>SUM(Table1[Bonus])</f>
        <v>308244983.02069992</v>
      </c>
    </row>
    <row r="291" spans="1:14" ht="12.75" customHeight="1" x14ac:dyDescent="0.25">
      <c r="A291" s="2">
        <v>157</v>
      </c>
      <c r="B291" s="10" t="s">
        <v>1348</v>
      </c>
      <c r="C291" s="10" t="s">
        <v>769</v>
      </c>
      <c r="D291" s="10" t="s">
        <v>128</v>
      </c>
      <c r="E291" s="10" t="s">
        <v>0</v>
      </c>
      <c r="F291" s="10" t="s">
        <v>22</v>
      </c>
      <c r="G291" s="10" t="s">
        <v>23</v>
      </c>
      <c r="H291" s="13">
        <v>5924067.4740000004</v>
      </c>
      <c r="I291" s="15">
        <f>IF(Table1[[#This Row],[Salary]]&lt;1000000,Table1[[#This Row],[Salary]]*0.05,Table1[[#This Row],[Salary]]*0.1)</f>
        <v>592406.74740000011</v>
      </c>
      <c r="J291" s="15">
        <f>Table1[[#This Row],[Salary]]+Table1[[#This Row],[Bonus]]</f>
        <v>6516474.2214000002</v>
      </c>
      <c r="K291" s="25">
        <f>COUNTA(Table1[Employee_ID])</f>
        <v>1000</v>
      </c>
      <c r="L291" s="1">
        <f>SUM(Table1[Salary])</f>
        <v>3119391523.8580012</v>
      </c>
      <c r="M291" s="15">
        <f>AVERAGE(Table1[Salary])</f>
        <v>3119391.5238580015</v>
      </c>
      <c r="N291" s="29">
        <f>SUM(Table1[Bonus])</f>
        <v>308244983.02069992</v>
      </c>
    </row>
    <row r="292" spans="1:14" ht="12.75" customHeight="1" x14ac:dyDescent="0.25">
      <c r="A292" s="2">
        <v>158</v>
      </c>
      <c r="B292" s="10" t="s">
        <v>390</v>
      </c>
      <c r="C292" s="10" t="s">
        <v>391</v>
      </c>
      <c r="D292" s="10" t="s">
        <v>32</v>
      </c>
      <c r="E292" s="10" t="s">
        <v>33</v>
      </c>
      <c r="F292" s="10" t="s">
        <v>55</v>
      </c>
      <c r="G292" s="10" t="s">
        <v>23</v>
      </c>
      <c r="H292" s="13">
        <v>5762335.1119999997</v>
      </c>
      <c r="I292" s="15">
        <f>IF(Table1[[#This Row],[Salary]]&lt;1000000,Table1[[#This Row],[Salary]]*0.05,Table1[[#This Row],[Salary]]*0.1)</f>
        <v>576233.51119999995</v>
      </c>
      <c r="J292" s="15">
        <f>Table1[[#This Row],[Salary]]+Table1[[#This Row],[Bonus]]</f>
        <v>6338568.6231999993</v>
      </c>
      <c r="K292" s="25">
        <f>COUNTA(Table1[Employee_ID])</f>
        <v>1000</v>
      </c>
      <c r="L292" s="1">
        <f>SUM(Table1[Salary])</f>
        <v>3119391523.8580012</v>
      </c>
      <c r="M292" s="15">
        <f>AVERAGE(Table1[Salary])</f>
        <v>3119391.5238580015</v>
      </c>
      <c r="N292" s="29">
        <f>SUM(Table1[Bonus])</f>
        <v>308244983.02069992</v>
      </c>
    </row>
    <row r="293" spans="1:14" ht="12.75" customHeight="1" x14ac:dyDescent="0.25">
      <c r="A293" s="2">
        <v>158</v>
      </c>
      <c r="B293" s="10" t="s">
        <v>281</v>
      </c>
      <c r="C293" s="10" t="s">
        <v>1357</v>
      </c>
      <c r="D293" s="10" t="s">
        <v>118</v>
      </c>
      <c r="E293" s="10" t="s">
        <v>0</v>
      </c>
      <c r="F293" s="10" t="s">
        <v>70</v>
      </c>
      <c r="G293" s="10" t="s">
        <v>71</v>
      </c>
      <c r="H293" s="13">
        <v>5921824.0899999999</v>
      </c>
      <c r="I293" s="15">
        <f>IF(Table1[[#This Row],[Salary]]&lt;1000000,Table1[[#This Row],[Salary]]*0.05,Table1[[#This Row],[Salary]]*0.1)</f>
        <v>592182.40899999999</v>
      </c>
      <c r="J293" s="15">
        <f>Table1[[#This Row],[Salary]]+Table1[[#This Row],[Bonus]]</f>
        <v>6514006.4989999998</v>
      </c>
      <c r="K293" s="25">
        <f>COUNTA(Table1[Employee_ID])</f>
        <v>1000</v>
      </c>
      <c r="L293" s="1">
        <f>SUM(Table1[Salary])</f>
        <v>3119391523.8580012</v>
      </c>
      <c r="M293" s="15">
        <f>AVERAGE(Table1[Salary])</f>
        <v>3119391.5238580015</v>
      </c>
      <c r="N293" s="29">
        <f>SUM(Table1[Bonus])</f>
        <v>308244983.02069992</v>
      </c>
    </row>
    <row r="294" spans="1:14" ht="12.75" customHeight="1" x14ac:dyDescent="0.25">
      <c r="A294" s="2">
        <v>159</v>
      </c>
      <c r="B294" s="10" t="s">
        <v>392</v>
      </c>
      <c r="C294" s="10" t="s">
        <v>393</v>
      </c>
      <c r="D294" s="10" t="s">
        <v>183</v>
      </c>
      <c r="E294" s="10" t="s">
        <v>14</v>
      </c>
      <c r="F294" s="10" t="s">
        <v>51</v>
      </c>
      <c r="G294" s="10" t="s">
        <v>23</v>
      </c>
      <c r="H294" s="13">
        <v>4231597.4860000005</v>
      </c>
      <c r="I294" s="15">
        <f>IF(Table1[[#This Row],[Salary]]&lt;1000000,Table1[[#This Row],[Salary]]*0.05,Table1[[#This Row],[Salary]]*0.1)</f>
        <v>423159.74860000005</v>
      </c>
      <c r="J294" s="15">
        <f>Table1[[#This Row],[Salary]]+Table1[[#This Row],[Bonus]]</f>
        <v>4654757.2346000001</v>
      </c>
      <c r="K294" s="25">
        <f>COUNTA(Table1[Employee_ID])</f>
        <v>1000</v>
      </c>
      <c r="L294" s="1">
        <f>SUM(Table1[Salary])</f>
        <v>3119391523.8580012</v>
      </c>
      <c r="M294" s="15">
        <f>AVERAGE(Table1[Salary])</f>
        <v>3119391.5238580015</v>
      </c>
      <c r="N294" s="29">
        <f>SUM(Table1[Bonus])</f>
        <v>308244983.02069992</v>
      </c>
    </row>
    <row r="295" spans="1:14" ht="12.75" customHeight="1" x14ac:dyDescent="0.25">
      <c r="A295" s="2">
        <v>159</v>
      </c>
      <c r="B295" s="10" t="s">
        <v>1367</v>
      </c>
      <c r="C295" s="10" t="s">
        <v>1368</v>
      </c>
      <c r="D295" s="10" t="s">
        <v>88</v>
      </c>
      <c r="E295" s="10" t="s">
        <v>0</v>
      </c>
      <c r="F295" s="10" t="s">
        <v>89</v>
      </c>
      <c r="G295" s="10" t="s">
        <v>29</v>
      </c>
      <c r="H295" s="13">
        <v>5643499.8899999997</v>
      </c>
      <c r="I295" s="15">
        <f>IF(Table1[[#This Row],[Salary]]&lt;1000000,Table1[[#This Row],[Salary]]*0.05,Table1[[#This Row],[Salary]]*0.1)</f>
        <v>564349.98899999994</v>
      </c>
      <c r="J295" s="15">
        <f>Table1[[#This Row],[Salary]]+Table1[[#This Row],[Bonus]]</f>
        <v>6207849.8789999997</v>
      </c>
      <c r="K295" s="25">
        <f>COUNTA(Table1[Employee_ID])</f>
        <v>1000</v>
      </c>
      <c r="L295" s="1">
        <f>SUM(Table1[Salary])</f>
        <v>3119391523.8580012</v>
      </c>
      <c r="M295" s="15">
        <f>AVERAGE(Table1[Salary])</f>
        <v>3119391.5238580015</v>
      </c>
      <c r="N295" s="29">
        <f>SUM(Table1[Bonus])</f>
        <v>308244983.02069992</v>
      </c>
    </row>
    <row r="296" spans="1:14" ht="12.75" customHeight="1" x14ac:dyDescent="0.25">
      <c r="A296" s="2">
        <v>160</v>
      </c>
      <c r="B296" s="10" t="s">
        <v>394</v>
      </c>
      <c r="C296" s="10" t="s">
        <v>395</v>
      </c>
      <c r="D296" s="10" t="s">
        <v>96</v>
      </c>
      <c r="E296" s="10" t="s">
        <v>39</v>
      </c>
      <c r="F296" s="10" t="s">
        <v>189</v>
      </c>
      <c r="G296" s="10" t="s">
        <v>48</v>
      </c>
      <c r="H296" s="13">
        <v>2486940.8360000001</v>
      </c>
      <c r="I296" s="15">
        <f>IF(Table1[[#This Row],[Salary]]&lt;1000000,Table1[[#This Row],[Salary]]*0.05,Table1[[#This Row],[Salary]]*0.1)</f>
        <v>248694.08360000001</v>
      </c>
      <c r="J296" s="15">
        <f>Table1[[#This Row],[Salary]]+Table1[[#This Row],[Bonus]]</f>
        <v>2735634.9196000001</v>
      </c>
      <c r="K296" s="25">
        <f>COUNTA(Table1[Employee_ID])</f>
        <v>1000</v>
      </c>
      <c r="L296" s="1">
        <f>SUM(Table1[Salary])</f>
        <v>3119391523.8580012</v>
      </c>
      <c r="M296" s="15">
        <f>AVERAGE(Table1[Salary])</f>
        <v>3119391.5238580015</v>
      </c>
      <c r="N296" s="29">
        <f>SUM(Table1[Bonus])</f>
        <v>308244983.02069992</v>
      </c>
    </row>
    <row r="297" spans="1:14" ht="12.75" customHeight="1" x14ac:dyDescent="0.25">
      <c r="A297" s="2">
        <v>160</v>
      </c>
      <c r="B297" s="10" t="s">
        <v>1386</v>
      </c>
      <c r="C297" s="10" t="s">
        <v>1387</v>
      </c>
      <c r="D297" s="10" t="s">
        <v>159</v>
      </c>
      <c r="E297" s="10" t="s">
        <v>0</v>
      </c>
      <c r="F297" s="10" t="s">
        <v>22</v>
      </c>
      <c r="G297" s="10" t="s">
        <v>71</v>
      </c>
      <c r="H297" s="13">
        <v>1042946.6140000001</v>
      </c>
      <c r="I297" s="15">
        <f>IF(Table1[[#This Row],[Salary]]&lt;1000000,Table1[[#This Row],[Salary]]*0.05,Table1[[#This Row],[Salary]]*0.1)</f>
        <v>104294.66140000001</v>
      </c>
      <c r="J297" s="15">
        <f>Table1[[#This Row],[Salary]]+Table1[[#This Row],[Bonus]]</f>
        <v>1147241.2754000002</v>
      </c>
      <c r="K297" s="25">
        <f>COUNTA(Table1[Employee_ID])</f>
        <v>1000</v>
      </c>
      <c r="L297" s="1">
        <f>SUM(Table1[Salary])</f>
        <v>3119391523.8580012</v>
      </c>
      <c r="M297" s="15">
        <f>AVERAGE(Table1[Salary])</f>
        <v>3119391.5238580015</v>
      </c>
      <c r="N297" s="29">
        <f>SUM(Table1[Bonus])</f>
        <v>308244983.02069992</v>
      </c>
    </row>
    <row r="298" spans="1:14" ht="12.75" customHeight="1" x14ac:dyDescent="0.25">
      <c r="A298" s="2">
        <v>161</v>
      </c>
      <c r="B298" s="10" t="s">
        <v>396</v>
      </c>
      <c r="C298" s="10" t="s">
        <v>397</v>
      </c>
      <c r="D298" s="10" t="s">
        <v>77</v>
      </c>
      <c r="E298" s="10" t="s">
        <v>13</v>
      </c>
      <c r="F298" s="10" t="s">
        <v>120</v>
      </c>
      <c r="G298" s="10" t="s">
        <v>71</v>
      </c>
      <c r="H298" s="13">
        <v>882431.55599999998</v>
      </c>
      <c r="I298" s="15">
        <f>IF(Table1[[#This Row],[Salary]]&lt;1000000,Table1[[#This Row],[Salary]]*0.05,Table1[[#This Row],[Salary]]*0.1)</f>
        <v>44121.577799999999</v>
      </c>
      <c r="J298" s="15">
        <f>Table1[[#This Row],[Salary]]+Table1[[#This Row],[Bonus]]</f>
        <v>926553.13379999995</v>
      </c>
      <c r="K298" s="25">
        <f>COUNTA(Table1[Employee_ID])</f>
        <v>1000</v>
      </c>
      <c r="L298" s="1">
        <f>SUM(Table1[Salary])</f>
        <v>3119391523.8580012</v>
      </c>
      <c r="M298" s="15">
        <f>AVERAGE(Table1[Salary])</f>
        <v>3119391.5238580015</v>
      </c>
      <c r="N298" s="29">
        <f>SUM(Table1[Bonus])</f>
        <v>308244983.02069992</v>
      </c>
    </row>
    <row r="299" spans="1:14" ht="12.75" customHeight="1" x14ac:dyDescent="0.25">
      <c r="A299" s="2">
        <v>161</v>
      </c>
      <c r="B299" s="10" t="s">
        <v>1178</v>
      </c>
      <c r="C299" s="10" t="s">
        <v>1397</v>
      </c>
      <c r="D299" s="10" t="s">
        <v>38</v>
      </c>
      <c r="E299" s="10" t="s">
        <v>0</v>
      </c>
      <c r="F299" s="10" t="s">
        <v>70</v>
      </c>
      <c r="G299" s="10" t="s">
        <v>23</v>
      </c>
      <c r="H299" s="13">
        <v>1737750.8560000001</v>
      </c>
      <c r="I299" s="15">
        <f>IF(Table1[[#This Row],[Salary]]&lt;1000000,Table1[[#This Row],[Salary]]*0.05,Table1[[#This Row],[Salary]]*0.1)</f>
        <v>173775.08560000002</v>
      </c>
      <c r="J299" s="15">
        <f>Table1[[#This Row],[Salary]]+Table1[[#This Row],[Bonus]]</f>
        <v>1911525.9416000003</v>
      </c>
      <c r="K299" s="25">
        <f>COUNTA(Table1[Employee_ID])</f>
        <v>1000</v>
      </c>
      <c r="L299" s="1">
        <f>SUM(Table1[Salary])</f>
        <v>3119391523.8580012</v>
      </c>
      <c r="M299" s="15">
        <f>AVERAGE(Table1[Salary])</f>
        <v>3119391.5238580015</v>
      </c>
      <c r="N299" s="29">
        <f>SUM(Table1[Bonus])</f>
        <v>308244983.02069992</v>
      </c>
    </row>
    <row r="300" spans="1:14" ht="12.75" customHeight="1" x14ac:dyDescent="0.25">
      <c r="A300" s="2">
        <v>162</v>
      </c>
      <c r="B300" s="10" t="s">
        <v>398</v>
      </c>
      <c r="C300" s="10" t="s">
        <v>399</v>
      </c>
      <c r="D300" s="10" t="s">
        <v>88</v>
      </c>
      <c r="E300" s="10" t="s">
        <v>39</v>
      </c>
      <c r="F300" s="10" t="s">
        <v>40</v>
      </c>
      <c r="G300" s="10" t="s">
        <v>35</v>
      </c>
      <c r="H300" s="13">
        <v>3078605.3820000002</v>
      </c>
      <c r="I300" s="15">
        <f>IF(Table1[[#This Row],[Salary]]&lt;1000000,Table1[[#This Row],[Salary]]*0.05,Table1[[#This Row],[Salary]]*0.1)</f>
        <v>307860.53820000001</v>
      </c>
      <c r="J300" s="15">
        <f>Table1[[#This Row],[Salary]]+Table1[[#This Row],[Bonus]]</f>
        <v>3386465.9202000001</v>
      </c>
      <c r="K300" s="25">
        <f>COUNTA(Table1[Employee_ID])</f>
        <v>1000</v>
      </c>
      <c r="L300" s="1">
        <f>SUM(Table1[Salary])</f>
        <v>3119391523.8580012</v>
      </c>
      <c r="M300" s="15">
        <f>AVERAGE(Table1[Salary])</f>
        <v>3119391.5238580015</v>
      </c>
      <c r="N300" s="29">
        <f>SUM(Table1[Bonus])</f>
        <v>308244983.02069992</v>
      </c>
    </row>
    <row r="301" spans="1:14" ht="12.75" customHeight="1" x14ac:dyDescent="0.25">
      <c r="A301" s="2">
        <v>162</v>
      </c>
      <c r="B301" s="10" t="s">
        <v>530</v>
      </c>
      <c r="C301" s="10" t="s">
        <v>1402</v>
      </c>
      <c r="D301" s="10" t="s">
        <v>54</v>
      </c>
      <c r="E301" s="10" t="s">
        <v>0</v>
      </c>
      <c r="F301" s="10" t="s">
        <v>89</v>
      </c>
      <c r="G301" s="10" t="s">
        <v>56</v>
      </c>
      <c r="H301" s="13">
        <v>2033605.8660000002</v>
      </c>
      <c r="I301" s="15">
        <f>IF(Table1[[#This Row],[Salary]]&lt;1000000,Table1[[#This Row],[Salary]]*0.05,Table1[[#This Row],[Salary]]*0.1)</f>
        <v>203360.58660000004</v>
      </c>
      <c r="J301" s="15">
        <f>Table1[[#This Row],[Salary]]+Table1[[#This Row],[Bonus]]</f>
        <v>2236966.4526000004</v>
      </c>
      <c r="K301" s="25">
        <f>COUNTA(Table1[Employee_ID])</f>
        <v>1000</v>
      </c>
      <c r="L301" s="1">
        <f>SUM(Table1[Salary])</f>
        <v>3119391523.8580012</v>
      </c>
      <c r="M301" s="15">
        <f>AVERAGE(Table1[Salary])</f>
        <v>3119391.5238580015</v>
      </c>
      <c r="N301" s="29">
        <f>SUM(Table1[Bonus])</f>
        <v>308244983.02069992</v>
      </c>
    </row>
    <row r="302" spans="1:14" ht="12.75" customHeight="1" x14ac:dyDescent="0.25">
      <c r="A302" s="2">
        <v>163</v>
      </c>
      <c r="B302" s="10" t="s">
        <v>400</v>
      </c>
      <c r="C302" s="10" t="s">
        <v>401</v>
      </c>
      <c r="D302" s="10" t="s">
        <v>96</v>
      </c>
      <c r="E302" s="10" t="s">
        <v>2</v>
      </c>
      <c r="F302" s="10" t="s">
        <v>74</v>
      </c>
      <c r="G302" s="10" t="s">
        <v>29</v>
      </c>
      <c r="H302" s="13">
        <v>3444748.0379999997</v>
      </c>
      <c r="I302" s="15">
        <f>IF(Table1[[#This Row],[Salary]]&lt;1000000,Table1[[#This Row],[Salary]]*0.05,Table1[[#This Row],[Salary]]*0.1)</f>
        <v>344474.80379999999</v>
      </c>
      <c r="J302" s="15">
        <f>Table1[[#This Row],[Salary]]+Table1[[#This Row],[Bonus]]</f>
        <v>3789222.8417999996</v>
      </c>
      <c r="K302" s="25">
        <f>COUNTA(Table1[Employee_ID])</f>
        <v>1000</v>
      </c>
      <c r="L302" s="1">
        <f>SUM(Table1[Salary])</f>
        <v>3119391523.8580012</v>
      </c>
      <c r="M302" s="15">
        <f>AVERAGE(Table1[Salary])</f>
        <v>3119391.5238580015</v>
      </c>
      <c r="N302" s="29">
        <f>SUM(Table1[Bonus])</f>
        <v>308244983.02069992</v>
      </c>
    </row>
    <row r="303" spans="1:14" ht="12.75" customHeight="1" x14ac:dyDescent="0.25">
      <c r="A303" s="2">
        <v>163</v>
      </c>
      <c r="B303" s="10" t="s">
        <v>524</v>
      </c>
      <c r="C303" s="10" t="s">
        <v>1406</v>
      </c>
      <c r="D303" s="10" t="s">
        <v>59</v>
      </c>
      <c r="E303" s="10" t="s">
        <v>0</v>
      </c>
      <c r="F303" s="10" t="s">
        <v>22</v>
      </c>
      <c r="G303" s="10" t="s">
        <v>56</v>
      </c>
      <c r="H303" s="13">
        <v>3340338.568</v>
      </c>
      <c r="I303" s="15">
        <f>IF(Table1[[#This Row],[Salary]]&lt;1000000,Table1[[#This Row],[Salary]]*0.05,Table1[[#This Row],[Salary]]*0.1)</f>
        <v>334033.85680000001</v>
      </c>
      <c r="J303" s="15">
        <f>Table1[[#This Row],[Salary]]+Table1[[#This Row],[Bonus]]</f>
        <v>3674372.4248000002</v>
      </c>
      <c r="K303" s="25">
        <f>COUNTA(Table1[Employee_ID])</f>
        <v>1000</v>
      </c>
      <c r="L303" s="1">
        <f>SUM(Table1[Salary])</f>
        <v>3119391523.8580012</v>
      </c>
      <c r="M303" s="15">
        <f>AVERAGE(Table1[Salary])</f>
        <v>3119391.5238580015</v>
      </c>
      <c r="N303" s="29">
        <f>SUM(Table1[Bonus])</f>
        <v>308244983.02069992</v>
      </c>
    </row>
    <row r="304" spans="1:14" ht="12.75" customHeight="1" x14ac:dyDescent="0.25">
      <c r="A304" s="2">
        <v>164</v>
      </c>
      <c r="B304" s="10" t="s">
        <v>402</v>
      </c>
      <c r="C304" s="10" t="s">
        <v>371</v>
      </c>
      <c r="D304" s="10" t="s">
        <v>137</v>
      </c>
      <c r="E304" s="10" t="s">
        <v>14</v>
      </c>
      <c r="F304" s="10" t="s">
        <v>222</v>
      </c>
      <c r="G304" s="10" t="s">
        <v>71</v>
      </c>
      <c r="H304" s="13">
        <v>1726682.0180000002</v>
      </c>
      <c r="I304" s="15">
        <f>IF(Table1[[#This Row],[Salary]]&lt;1000000,Table1[[#This Row],[Salary]]*0.05,Table1[[#This Row],[Salary]]*0.1)</f>
        <v>172668.20180000004</v>
      </c>
      <c r="J304" s="15">
        <f>Table1[[#This Row],[Salary]]+Table1[[#This Row],[Bonus]]</f>
        <v>1899350.2198000001</v>
      </c>
      <c r="K304" s="25">
        <f>COUNTA(Table1[Employee_ID])</f>
        <v>1000</v>
      </c>
      <c r="L304" s="1">
        <f>SUM(Table1[Salary])</f>
        <v>3119391523.8580012</v>
      </c>
      <c r="M304" s="15">
        <f>AVERAGE(Table1[Salary])</f>
        <v>3119391.5238580015</v>
      </c>
      <c r="N304" s="29">
        <f>SUM(Table1[Bonus])</f>
        <v>308244983.02069992</v>
      </c>
    </row>
    <row r="305" spans="1:14" ht="12.75" customHeight="1" x14ac:dyDescent="0.25">
      <c r="A305" s="2">
        <v>164</v>
      </c>
      <c r="B305" s="10" t="s">
        <v>1407</v>
      </c>
      <c r="C305" s="10" t="s">
        <v>1408</v>
      </c>
      <c r="D305" s="10" t="s">
        <v>46</v>
      </c>
      <c r="E305" s="10" t="s">
        <v>0</v>
      </c>
      <c r="F305" s="10" t="s">
        <v>70</v>
      </c>
      <c r="G305" s="10" t="s">
        <v>23</v>
      </c>
      <c r="H305" s="13">
        <v>2526547.5239999997</v>
      </c>
      <c r="I305" s="15">
        <f>IF(Table1[[#This Row],[Salary]]&lt;1000000,Table1[[#This Row],[Salary]]*0.05,Table1[[#This Row],[Salary]]*0.1)</f>
        <v>252654.7524</v>
      </c>
      <c r="J305" s="15">
        <f>Table1[[#This Row],[Salary]]+Table1[[#This Row],[Bonus]]</f>
        <v>2779202.2763999999</v>
      </c>
      <c r="K305" s="25">
        <f>COUNTA(Table1[Employee_ID])</f>
        <v>1000</v>
      </c>
      <c r="L305" s="1">
        <f>SUM(Table1[Salary])</f>
        <v>3119391523.8580012</v>
      </c>
      <c r="M305" s="15">
        <f>AVERAGE(Table1[Salary])</f>
        <v>3119391.5238580015</v>
      </c>
      <c r="N305" s="29">
        <f>SUM(Table1[Bonus])</f>
        <v>308244983.02069992</v>
      </c>
    </row>
    <row r="306" spans="1:14" ht="12.75" customHeight="1" x14ac:dyDescent="0.25">
      <c r="A306" s="2">
        <v>165</v>
      </c>
      <c r="B306" s="10" t="s">
        <v>403</v>
      </c>
      <c r="C306" s="10" t="s">
        <v>404</v>
      </c>
      <c r="D306" s="10" t="s">
        <v>316</v>
      </c>
      <c r="E306" s="10" t="s">
        <v>27</v>
      </c>
      <c r="F306" s="10" t="s">
        <v>28</v>
      </c>
      <c r="G306" s="10" t="s">
        <v>23</v>
      </c>
      <c r="H306" s="13">
        <v>4617560.9759999998</v>
      </c>
      <c r="I306" s="15">
        <f>IF(Table1[[#This Row],[Salary]]&lt;1000000,Table1[[#This Row],[Salary]]*0.05,Table1[[#This Row],[Salary]]*0.1)</f>
        <v>461756.09759999998</v>
      </c>
      <c r="J306" s="15">
        <f>Table1[[#This Row],[Salary]]+Table1[[#This Row],[Bonus]]</f>
        <v>5079317.0735999998</v>
      </c>
      <c r="K306" s="25">
        <f>COUNTA(Table1[Employee_ID])</f>
        <v>1000</v>
      </c>
      <c r="L306" s="1">
        <f>SUM(Table1[Salary])</f>
        <v>3119391523.8580012</v>
      </c>
      <c r="M306" s="15">
        <f>AVERAGE(Table1[Salary])</f>
        <v>3119391.5238580015</v>
      </c>
      <c r="N306" s="29">
        <f>SUM(Table1[Bonus])</f>
        <v>308244983.02069992</v>
      </c>
    </row>
    <row r="307" spans="1:14" ht="12.75" customHeight="1" x14ac:dyDescent="0.25">
      <c r="A307" s="2">
        <v>165</v>
      </c>
      <c r="B307" s="10" t="s">
        <v>90</v>
      </c>
      <c r="C307" s="10" t="s">
        <v>108</v>
      </c>
      <c r="D307" s="10" t="s">
        <v>156</v>
      </c>
      <c r="E307" s="10" t="s">
        <v>0</v>
      </c>
      <c r="F307" s="10" t="s">
        <v>89</v>
      </c>
      <c r="G307" s="10" t="s">
        <v>23</v>
      </c>
      <c r="H307" s="13">
        <v>4034669.4139999999</v>
      </c>
      <c r="I307" s="15">
        <f>IF(Table1[[#This Row],[Salary]]&lt;1000000,Table1[[#This Row],[Salary]]*0.05,Table1[[#This Row],[Salary]]*0.1)</f>
        <v>403466.94140000001</v>
      </c>
      <c r="J307" s="15">
        <f>Table1[[#This Row],[Salary]]+Table1[[#This Row],[Bonus]]</f>
        <v>4438136.3553999998</v>
      </c>
      <c r="K307" s="25">
        <f>COUNTA(Table1[Employee_ID])</f>
        <v>1000</v>
      </c>
      <c r="L307" s="1">
        <f>SUM(Table1[Salary])</f>
        <v>3119391523.8580012</v>
      </c>
      <c r="M307" s="15">
        <f>AVERAGE(Table1[Salary])</f>
        <v>3119391.5238580015</v>
      </c>
      <c r="N307" s="29">
        <f>SUM(Table1[Bonus])</f>
        <v>308244983.02069992</v>
      </c>
    </row>
    <row r="308" spans="1:14" ht="12.75" customHeight="1" x14ac:dyDescent="0.25">
      <c r="A308" s="2">
        <v>166</v>
      </c>
      <c r="B308" s="10" t="s">
        <v>405</v>
      </c>
      <c r="C308" s="10" t="s">
        <v>406</v>
      </c>
      <c r="D308" s="10" t="s">
        <v>112</v>
      </c>
      <c r="E308" s="10" t="s">
        <v>27</v>
      </c>
      <c r="F308" s="10" t="s">
        <v>85</v>
      </c>
      <c r="G308" s="10" t="s">
        <v>71</v>
      </c>
      <c r="H308" s="13">
        <v>4079292.2339999997</v>
      </c>
      <c r="I308" s="15">
        <f>IF(Table1[[#This Row],[Salary]]&lt;1000000,Table1[[#This Row],[Salary]]*0.05,Table1[[#This Row],[Salary]]*0.1)</f>
        <v>407929.22340000002</v>
      </c>
      <c r="J308" s="15">
        <f>Table1[[#This Row],[Salary]]+Table1[[#This Row],[Bonus]]</f>
        <v>4487221.4573999997</v>
      </c>
      <c r="K308" s="25">
        <f>COUNTA(Table1[Employee_ID])</f>
        <v>1000</v>
      </c>
      <c r="L308" s="1">
        <f>SUM(Table1[Salary])</f>
        <v>3119391523.8580012</v>
      </c>
      <c r="M308" s="15">
        <f>AVERAGE(Table1[Salary])</f>
        <v>3119391.5238580015</v>
      </c>
      <c r="N308" s="29">
        <f>SUM(Table1[Bonus])</f>
        <v>308244983.02069992</v>
      </c>
    </row>
    <row r="309" spans="1:14" ht="12.75" customHeight="1" x14ac:dyDescent="0.25">
      <c r="A309" s="2">
        <v>166</v>
      </c>
      <c r="B309" s="10" t="s">
        <v>97</v>
      </c>
      <c r="C309" s="10" t="s">
        <v>117</v>
      </c>
      <c r="D309" s="10" t="s">
        <v>174</v>
      </c>
      <c r="E309" s="10" t="s">
        <v>0</v>
      </c>
      <c r="F309" s="10" t="s">
        <v>22</v>
      </c>
      <c r="G309" s="10" t="s">
        <v>35</v>
      </c>
      <c r="H309" s="13">
        <v>4053798.81</v>
      </c>
      <c r="I309" s="15">
        <f>IF(Table1[[#This Row],[Salary]]&lt;1000000,Table1[[#This Row],[Salary]]*0.05,Table1[[#This Row],[Salary]]*0.1)</f>
        <v>405379.88100000005</v>
      </c>
      <c r="J309" s="15">
        <f>Table1[[#This Row],[Salary]]+Table1[[#This Row],[Bonus]]</f>
        <v>4459178.6909999996</v>
      </c>
      <c r="K309" s="25">
        <f>COUNTA(Table1[Employee_ID])</f>
        <v>1000</v>
      </c>
      <c r="L309" s="1">
        <f>SUM(Table1[Salary])</f>
        <v>3119391523.8580012</v>
      </c>
      <c r="M309" s="15">
        <f>AVERAGE(Table1[Salary])</f>
        <v>3119391.5238580015</v>
      </c>
      <c r="N309" s="29">
        <f>SUM(Table1[Bonus])</f>
        <v>308244983.02069992</v>
      </c>
    </row>
    <row r="310" spans="1:14" ht="12.75" customHeight="1" x14ac:dyDescent="0.25">
      <c r="A310" s="2">
        <v>167</v>
      </c>
      <c r="B310" s="10" t="s">
        <v>163</v>
      </c>
      <c r="C310" s="10" t="s">
        <v>407</v>
      </c>
      <c r="D310" s="10" t="s">
        <v>156</v>
      </c>
      <c r="E310" s="10" t="s">
        <v>33</v>
      </c>
      <c r="F310" s="10" t="s">
        <v>34</v>
      </c>
      <c r="G310" s="10" t="s">
        <v>71</v>
      </c>
      <c r="H310" s="13">
        <v>4974653.1399999997</v>
      </c>
      <c r="I310" s="15">
        <f>IF(Table1[[#This Row],[Salary]]&lt;1000000,Table1[[#This Row],[Salary]]*0.05,Table1[[#This Row],[Salary]]*0.1)</f>
        <v>497465.31400000001</v>
      </c>
      <c r="J310" s="15">
        <f>Table1[[#This Row],[Salary]]+Table1[[#This Row],[Bonus]]</f>
        <v>5472118.4539999999</v>
      </c>
      <c r="K310" s="25">
        <f>COUNTA(Table1[Employee_ID])</f>
        <v>1000</v>
      </c>
      <c r="L310" s="1">
        <f>SUM(Table1[Salary])</f>
        <v>3119391523.8580012</v>
      </c>
      <c r="M310" s="15">
        <f>AVERAGE(Table1[Salary])</f>
        <v>3119391.5238580015</v>
      </c>
      <c r="N310" s="29">
        <f>SUM(Table1[Bonus])</f>
        <v>308244983.02069992</v>
      </c>
    </row>
    <row r="311" spans="1:14" ht="12.75" customHeight="1" x14ac:dyDescent="0.25">
      <c r="A311" s="2">
        <v>167</v>
      </c>
      <c r="B311" s="10" t="s">
        <v>100</v>
      </c>
      <c r="C311" s="10" t="s">
        <v>119</v>
      </c>
      <c r="D311" s="10" t="s">
        <v>177</v>
      </c>
      <c r="E311" s="10" t="s">
        <v>0</v>
      </c>
      <c r="F311" s="10" t="s">
        <v>70</v>
      </c>
      <c r="G311" s="10" t="s">
        <v>48</v>
      </c>
      <c r="H311" s="13">
        <v>2330329.5460000001</v>
      </c>
      <c r="I311" s="15">
        <f>IF(Table1[[#This Row],[Salary]]&lt;1000000,Table1[[#This Row],[Salary]]*0.05,Table1[[#This Row],[Salary]]*0.1)</f>
        <v>233032.95460000003</v>
      </c>
      <c r="J311" s="15">
        <f>Table1[[#This Row],[Salary]]+Table1[[#This Row],[Bonus]]</f>
        <v>2563362.5005999999</v>
      </c>
      <c r="K311" s="25">
        <f>COUNTA(Table1[Employee_ID])</f>
        <v>1000</v>
      </c>
      <c r="L311" s="1">
        <f>SUM(Table1[Salary])</f>
        <v>3119391523.8580012</v>
      </c>
      <c r="M311" s="15">
        <f>AVERAGE(Table1[Salary])</f>
        <v>3119391.5238580015</v>
      </c>
      <c r="N311" s="29">
        <f>SUM(Table1[Bonus])</f>
        <v>308244983.02069992</v>
      </c>
    </row>
    <row r="312" spans="1:14" ht="12.75" customHeight="1" x14ac:dyDescent="0.25">
      <c r="A312" s="2">
        <v>168</v>
      </c>
      <c r="B312" s="10" t="s">
        <v>408</v>
      </c>
      <c r="C312" s="10" t="s">
        <v>409</v>
      </c>
      <c r="D312" s="10" t="s">
        <v>146</v>
      </c>
      <c r="E312" s="10" t="s">
        <v>27</v>
      </c>
      <c r="F312" s="10" t="s">
        <v>106</v>
      </c>
      <c r="G312" s="10" t="s">
        <v>29</v>
      </c>
      <c r="H312" s="13">
        <v>2483650.3840000001</v>
      </c>
      <c r="I312" s="15">
        <f>IF(Table1[[#This Row],[Salary]]&lt;1000000,Table1[[#This Row],[Salary]]*0.05,Table1[[#This Row],[Salary]]*0.1)</f>
        <v>248365.03840000002</v>
      </c>
      <c r="J312" s="15">
        <f>Table1[[#This Row],[Salary]]+Table1[[#This Row],[Bonus]]</f>
        <v>2732015.4224</v>
      </c>
      <c r="K312" s="25">
        <f>COUNTA(Table1[Employee_ID])</f>
        <v>1000</v>
      </c>
      <c r="L312" s="1">
        <f>SUM(Table1[Salary])</f>
        <v>3119391523.8580012</v>
      </c>
      <c r="M312" s="15">
        <f>AVERAGE(Table1[Salary])</f>
        <v>3119391.5238580015</v>
      </c>
      <c r="N312" s="29">
        <f>SUM(Table1[Bonus])</f>
        <v>308244983.02069992</v>
      </c>
    </row>
    <row r="313" spans="1:14" ht="12.75" customHeight="1" x14ac:dyDescent="0.25">
      <c r="A313" s="2">
        <v>168</v>
      </c>
      <c r="B313" s="10" t="s">
        <v>138</v>
      </c>
      <c r="C313" s="10" t="s">
        <v>155</v>
      </c>
      <c r="D313" s="10" t="s">
        <v>174</v>
      </c>
      <c r="E313" s="10" t="s">
        <v>0</v>
      </c>
      <c r="F313" s="10" t="s">
        <v>89</v>
      </c>
      <c r="G313" s="10" t="s">
        <v>35</v>
      </c>
      <c r="H313" s="13">
        <v>5457791.0700000003</v>
      </c>
      <c r="I313" s="15">
        <f>IF(Table1[[#This Row],[Salary]]&lt;1000000,Table1[[#This Row],[Salary]]*0.05,Table1[[#This Row],[Salary]]*0.1)</f>
        <v>545779.10700000008</v>
      </c>
      <c r="J313" s="15">
        <f>Table1[[#This Row],[Salary]]+Table1[[#This Row],[Bonus]]</f>
        <v>6003570.1770000001</v>
      </c>
      <c r="K313" s="25">
        <f>COUNTA(Table1[Employee_ID])</f>
        <v>1000</v>
      </c>
      <c r="L313" s="1">
        <f>SUM(Table1[Salary])</f>
        <v>3119391523.8580012</v>
      </c>
      <c r="M313" s="15">
        <f>AVERAGE(Table1[Salary])</f>
        <v>3119391.5238580015</v>
      </c>
      <c r="N313" s="29">
        <f>SUM(Table1[Bonus])</f>
        <v>308244983.02069992</v>
      </c>
    </row>
    <row r="314" spans="1:14" ht="12.75" customHeight="1" x14ac:dyDescent="0.25">
      <c r="A314" s="2">
        <v>169</v>
      </c>
      <c r="B314" s="10" t="s">
        <v>410</v>
      </c>
      <c r="C314" s="10" t="s">
        <v>307</v>
      </c>
      <c r="D314" s="10" t="s">
        <v>59</v>
      </c>
      <c r="E314" s="10" t="s">
        <v>27</v>
      </c>
      <c r="F314" s="10" t="s">
        <v>28</v>
      </c>
      <c r="G314" s="10" t="s">
        <v>71</v>
      </c>
      <c r="H314" s="13">
        <v>4318374.7039999999</v>
      </c>
      <c r="I314" s="15">
        <f>IF(Table1[[#This Row],[Salary]]&lt;1000000,Table1[[#This Row],[Salary]]*0.05,Table1[[#This Row],[Salary]]*0.1)</f>
        <v>431837.47039999999</v>
      </c>
      <c r="J314" s="15">
        <f>Table1[[#This Row],[Salary]]+Table1[[#This Row],[Bonus]]</f>
        <v>4750212.1743999999</v>
      </c>
      <c r="K314" s="25">
        <f>COUNTA(Table1[Employee_ID])</f>
        <v>1000</v>
      </c>
      <c r="L314" s="1">
        <f>SUM(Table1[Salary])</f>
        <v>3119391523.8580012</v>
      </c>
      <c r="M314" s="15">
        <f>AVERAGE(Table1[Salary])</f>
        <v>3119391.5238580015</v>
      </c>
      <c r="N314" s="29">
        <f>SUM(Table1[Bonus])</f>
        <v>308244983.02069992</v>
      </c>
    </row>
    <row r="315" spans="1:14" ht="12.75" customHeight="1" x14ac:dyDescent="0.25">
      <c r="A315" s="2">
        <v>169</v>
      </c>
      <c r="B315" s="10" t="s">
        <v>147</v>
      </c>
      <c r="C315" s="10" t="s">
        <v>164</v>
      </c>
      <c r="D315" s="10" t="s">
        <v>324</v>
      </c>
      <c r="E315" s="10" t="s">
        <v>0</v>
      </c>
      <c r="F315" s="10" t="s">
        <v>22</v>
      </c>
      <c r="G315" s="10" t="s">
        <v>48</v>
      </c>
      <c r="H315" s="13">
        <v>4888102.1259999992</v>
      </c>
      <c r="I315" s="15">
        <f>IF(Table1[[#This Row],[Salary]]&lt;1000000,Table1[[#This Row],[Salary]]*0.05,Table1[[#This Row],[Salary]]*0.1)</f>
        <v>488810.21259999997</v>
      </c>
      <c r="J315" s="15">
        <f>Table1[[#This Row],[Salary]]+Table1[[#This Row],[Bonus]]</f>
        <v>5376912.3385999994</v>
      </c>
      <c r="K315" s="25">
        <f>COUNTA(Table1[Employee_ID])</f>
        <v>1000</v>
      </c>
      <c r="L315" s="1">
        <f>SUM(Table1[Salary])</f>
        <v>3119391523.8580012</v>
      </c>
      <c r="M315" s="15">
        <f>AVERAGE(Table1[Salary])</f>
        <v>3119391.5238580015</v>
      </c>
      <c r="N315" s="29">
        <f>SUM(Table1[Bonus])</f>
        <v>308244983.02069992</v>
      </c>
    </row>
    <row r="316" spans="1:14" ht="12.75" customHeight="1" x14ac:dyDescent="0.25">
      <c r="A316" s="2">
        <v>170</v>
      </c>
      <c r="B316" s="10" t="s">
        <v>49</v>
      </c>
      <c r="C316" s="10" t="s">
        <v>411</v>
      </c>
      <c r="D316" s="10" t="s">
        <v>46</v>
      </c>
      <c r="E316" s="10" t="s">
        <v>33</v>
      </c>
      <c r="F316" s="10" t="s">
        <v>47</v>
      </c>
      <c r="G316" s="10" t="s">
        <v>29</v>
      </c>
      <c r="H316" s="13">
        <v>5707317.4019999998</v>
      </c>
      <c r="I316" s="15">
        <f>IF(Table1[[#This Row],[Salary]]&lt;1000000,Table1[[#This Row],[Salary]]*0.05,Table1[[#This Row],[Salary]]*0.1)</f>
        <v>570731.7402</v>
      </c>
      <c r="J316" s="15">
        <f>Table1[[#This Row],[Salary]]+Table1[[#This Row],[Bonus]]</f>
        <v>6278049.1421999997</v>
      </c>
      <c r="K316" s="25">
        <f>COUNTA(Table1[Employee_ID])</f>
        <v>1000</v>
      </c>
      <c r="L316" s="1">
        <f>SUM(Table1[Salary])</f>
        <v>3119391523.8580012</v>
      </c>
      <c r="M316" s="15">
        <f>AVERAGE(Table1[Salary])</f>
        <v>3119391.5238580015</v>
      </c>
      <c r="N316" s="29">
        <f>SUM(Table1[Bonus])</f>
        <v>308244983.02069992</v>
      </c>
    </row>
    <row r="317" spans="1:14" ht="12.75" customHeight="1" x14ac:dyDescent="0.25">
      <c r="A317" s="2">
        <v>170</v>
      </c>
      <c r="B317" s="10" t="s">
        <v>152</v>
      </c>
      <c r="C317" s="10" t="s">
        <v>169</v>
      </c>
      <c r="D317" s="10" t="s">
        <v>324</v>
      </c>
      <c r="E317" s="10" t="s">
        <v>0</v>
      </c>
      <c r="F317" s="10" t="s">
        <v>70</v>
      </c>
      <c r="G317" s="10" t="s">
        <v>56</v>
      </c>
      <c r="H317" s="13">
        <v>1572948.4160000002</v>
      </c>
      <c r="I317" s="15">
        <f>IF(Table1[[#This Row],[Salary]]&lt;1000000,Table1[[#This Row],[Salary]]*0.05,Table1[[#This Row],[Salary]]*0.1)</f>
        <v>157294.84160000004</v>
      </c>
      <c r="J317" s="15">
        <f>Table1[[#This Row],[Salary]]+Table1[[#This Row],[Bonus]]</f>
        <v>1730243.2576000001</v>
      </c>
      <c r="K317" s="25">
        <f>COUNTA(Table1[Employee_ID])</f>
        <v>1000</v>
      </c>
      <c r="L317" s="1">
        <f>SUM(Table1[Salary])</f>
        <v>3119391523.8580012</v>
      </c>
      <c r="M317" s="15">
        <f>AVERAGE(Table1[Salary])</f>
        <v>3119391.5238580015</v>
      </c>
      <c r="N317" s="29">
        <f>SUM(Table1[Bonus])</f>
        <v>308244983.02069992</v>
      </c>
    </row>
    <row r="318" spans="1:14" ht="12.75" customHeight="1" x14ac:dyDescent="0.25">
      <c r="A318" s="2">
        <v>171</v>
      </c>
      <c r="B318" s="10" t="s">
        <v>116</v>
      </c>
      <c r="C318" s="10" t="s">
        <v>101</v>
      </c>
      <c r="D318" s="10" t="s">
        <v>118</v>
      </c>
      <c r="E318" s="10" t="s">
        <v>33</v>
      </c>
      <c r="F318" s="10" t="s">
        <v>55</v>
      </c>
      <c r="G318" s="10" t="s">
        <v>56</v>
      </c>
      <c r="H318" s="13">
        <v>899410.848</v>
      </c>
      <c r="I318" s="15">
        <f>IF(Table1[[#This Row],[Salary]]&lt;1000000,Table1[[#This Row],[Salary]]*0.05,Table1[[#This Row],[Salary]]*0.1)</f>
        <v>44970.542400000006</v>
      </c>
      <c r="J318" s="15">
        <f>Table1[[#This Row],[Salary]]+Table1[[#This Row],[Bonus]]</f>
        <v>944381.39040000003</v>
      </c>
      <c r="K318" s="25">
        <f>COUNTA(Table1[Employee_ID])</f>
        <v>1000</v>
      </c>
      <c r="L318" s="1">
        <f>SUM(Table1[Salary])</f>
        <v>3119391523.8580012</v>
      </c>
      <c r="M318" s="15">
        <f>AVERAGE(Table1[Salary])</f>
        <v>3119391.5238580015</v>
      </c>
      <c r="N318" s="29">
        <f>SUM(Table1[Bonus])</f>
        <v>308244983.02069992</v>
      </c>
    </row>
    <row r="319" spans="1:14" ht="12.75" customHeight="1" x14ac:dyDescent="0.25">
      <c r="A319" s="2">
        <v>171</v>
      </c>
      <c r="B319" s="10" t="s">
        <v>157</v>
      </c>
      <c r="C319" s="10" t="s">
        <v>173</v>
      </c>
      <c r="D319" s="10" t="s">
        <v>32</v>
      </c>
      <c r="E319" s="10" t="s">
        <v>0</v>
      </c>
      <c r="F319" s="10" t="s">
        <v>89</v>
      </c>
      <c r="G319" s="10" t="s">
        <v>23</v>
      </c>
      <c r="H319" s="13">
        <v>2012490.7719999999</v>
      </c>
      <c r="I319" s="15">
        <f>IF(Table1[[#This Row],[Salary]]&lt;1000000,Table1[[#This Row],[Salary]]*0.05,Table1[[#This Row],[Salary]]*0.1)</f>
        <v>201249.0772</v>
      </c>
      <c r="J319" s="15">
        <f>Table1[[#This Row],[Salary]]+Table1[[#This Row],[Bonus]]</f>
        <v>2213739.8492000001</v>
      </c>
      <c r="K319" s="25">
        <f>COUNTA(Table1[Employee_ID])</f>
        <v>1000</v>
      </c>
      <c r="L319" s="1">
        <f>SUM(Table1[Salary])</f>
        <v>3119391523.8580012</v>
      </c>
      <c r="M319" s="15">
        <f>AVERAGE(Table1[Salary])</f>
        <v>3119391.5238580015</v>
      </c>
      <c r="N319" s="29">
        <f>SUM(Table1[Bonus])</f>
        <v>308244983.02069992</v>
      </c>
    </row>
    <row r="320" spans="1:14" ht="12.75" customHeight="1" x14ac:dyDescent="0.25">
      <c r="A320" s="2">
        <v>172</v>
      </c>
      <c r="B320" s="10" t="s">
        <v>168</v>
      </c>
      <c r="C320" s="10" t="s">
        <v>185</v>
      </c>
      <c r="D320" s="10" t="s">
        <v>112</v>
      </c>
      <c r="E320" s="10" t="s">
        <v>0</v>
      </c>
      <c r="F320" s="10" t="s">
        <v>22</v>
      </c>
      <c r="G320" s="10" t="s">
        <v>71</v>
      </c>
      <c r="H320" s="13">
        <v>2676771.466</v>
      </c>
      <c r="I320" s="15">
        <f>IF(Table1[[#This Row],[Salary]]&lt;1000000,Table1[[#This Row],[Salary]]*0.05,Table1[[#This Row],[Salary]]*0.1)</f>
        <v>267677.14660000004</v>
      </c>
      <c r="J320" s="15">
        <f>Table1[[#This Row],[Salary]]+Table1[[#This Row],[Bonus]]</f>
        <v>2944448.6126000001</v>
      </c>
      <c r="K320" s="25">
        <f>COUNTA(Table1[Employee_ID])</f>
        <v>1000</v>
      </c>
      <c r="L320" s="1">
        <f>SUM(Table1[Salary])</f>
        <v>3119391523.8580012</v>
      </c>
      <c r="M320" s="15">
        <f>AVERAGE(Table1[Salary])</f>
        <v>3119391.5238580015</v>
      </c>
      <c r="N320" s="29">
        <f>SUM(Table1[Bonus])</f>
        <v>308244983.02069992</v>
      </c>
    </row>
    <row r="321" spans="1:14" ht="12.75" customHeight="1" x14ac:dyDescent="0.25">
      <c r="A321" s="2">
        <v>174</v>
      </c>
      <c r="B321" s="10" t="s">
        <v>414</v>
      </c>
      <c r="C321" s="10" t="s">
        <v>415</v>
      </c>
      <c r="D321" s="10" t="s">
        <v>143</v>
      </c>
      <c r="E321" s="10" t="s">
        <v>33</v>
      </c>
      <c r="F321" s="10" t="s">
        <v>34</v>
      </c>
      <c r="G321" s="10" t="s">
        <v>23</v>
      </c>
      <c r="H321" s="13">
        <v>5441619.8159999996</v>
      </c>
      <c r="I321" s="15">
        <f>IF(Table1[[#This Row],[Salary]]&lt;1000000,Table1[[#This Row],[Salary]]*0.05,Table1[[#This Row],[Salary]]*0.1)</f>
        <v>544161.98159999994</v>
      </c>
      <c r="J321" s="15">
        <f>Table1[[#This Row],[Salary]]+Table1[[#This Row],[Bonus]]</f>
        <v>5985781.7975999992</v>
      </c>
      <c r="K321" s="25">
        <f>COUNTA(Table1[Employee_ID])</f>
        <v>1000</v>
      </c>
      <c r="L321" s="1">
        <f>SUM(Table1[Salary])</f>
        <v>3119391523.8580012</v>
      </c>
      <c r="M321" s="15">
        <f>AVERAGE(Table1[Salary])</f>
        <v>3119391.5238580015</v>
      </c>
      <c r="N321" s="29">
        <f>SUM(Table1[Bonus])</f>
        <v>308244983.02069992</v>
      </c>
    </row>
    <row r="322" spans="1:14" ht="12.75" customHeight="1" x14ac:dyDescent="0.25">
      <c r="A322" s="2">
        <v>175</v>
      </c>
      <c r="B322" s="10" t="s">
        <v>416</v>
      </c>
      <c r="C322" s="10" t="s">
        <v>263</v>
      </c>
      <c r="D322" s="10" t="s">
        <v>137</v>
      </c>
      <c r="E322" s="10" t="s">
        <v>14</v>
      </c>
      <c r="F322" s="10" t="s">
        <v>234</v>
      </c>
      <c r="G322" s="10" t="s">
        <v>29</v>
      </c>
      <c r="H322" s="13">
        <v>3060200.0720000002</v>
      </c>
      <c r="I322" s="15">
        <f>IF(Table1[[#This Row],[Salary]]&lt;1000000,Table1[[#This Row],[Salary]]*0.05,Table1[[#This Row],[Salary]]*0.1)</f>
        <v>306020.00720000005</v>
      </c>
      <c r="J322" s="15">
        <f>Table1[[#This Row],[Salary]]+Table1[[#This Row],[Bonus]]</f>
        <v>3366220.0792</v>
      </c>
      <c r="K322" s="25">
        <f>COUNTA(Table1[Employee_ID])</f>
        <v>1000</v>
      </c>
      <c r="L322" s="1">
        <f>SUM(Table1[Salary])</f>
        <v>3119391523.8580012</v>
      </c>
      <c r="M322" s="15">
        <f>AVERAGE(Table1[Salary])</f>
        <v>3119391.5238580015</v>
      </c>
      <c r="N322" s="29">
        <f>SUM(Table1[Bonus])</f>
        <v>308244983.02069992</v>
      </c>
    </row>
    <row r="323" spans="1:14" ht="12.75" customHeight="1" x14ac:dyDescent="0.25">
      <c r="A323" s="2">
        <v>176</v>
      </c>
      <c r="B323" s="10" t="s">
        <v>417</v>
      </c>
      <c r="C323" s="10" t="s">
        <v>418</v>
      </c>
      <c r="D323" s="10" t="s">
        <v>99</v>
      </c>
      <c r="E323" s="10" t="s">
        <v>39</v>
      </c>
      <c r="F323" s="10" t="s">
        <v>186</v>
      </c>
      <c r="G323" s="10" t="s">
        <v>48</v>
      </c>
      <c r="H323" s="13">
        <v>1424082.8639999998</v>
      </c>
      <c r="I323" s="15">
        <f>IF(Table1[[#This Row],[Salary]]&lt;1000000,Table1[[#This Row],[Salary]]*0.05,Table1[[#This Row],[Salary]]*0.1)</f>
        <v>142408.28639999998</v>
      </c>
      <c r="J323" s="15">
        <f>Table1[[#This Row],[Salary]]+Table1[[#This Row],[Bonus]]</f>
        <v>1566491.1503999997</v>
      </c>
      <c r="K323" s="25">
        <f>COUNTA(Table1[Employee_ID])</f>
        <v>1000</v>
      </c>
      <c r="L323" s="1">
        <f>SUM(Table1[Salary])</f>
        <v>3119391523.8580012</v>
      </c>
      <c r="M323" s="15">
        <f>AVERAGE(Table1[Salary])</f>
        <v>3119391.5238580015</v>
      </c>
      <c r="N323" s="29">
        <f>SUM(Table1[Bonus])</f>
        <v>308244983.02069992</v>
      </c>
    </row>
    <row r="324" spans="1:14" ht="12.75" customHeight="1" x14ac:dyDescent="0.25">
      <c r="A324" s="2">
        <v>177</v>
      </c>
      <c r="B324" s="10" t="s">
        <v>419</v>
      </c>
      <c r="C324" s="10" t="s">
        <v>420</v>
      </c>
      <c r="D324" s="10" t="s">
        <v>156</v>
      </c>
      <c r="E324" s="10" t="s">
        <v>33</v>
      </c>
      <c r="F324" s="10" t="s">
        <v>47</v>
      </c>
      <c r="G324" s="10" t="s">
        <v>71</v>
      </c>
      <c r="H324" s="13">
        <v>2848557.08</v>
      </c>
      <c r="I324" s="15">
        <f>IF(Table1[[#This Row],[Salary]]&lt;1000000,Table1[[#This Row],[Salary]]*0.05,Table1[[#This Row],[Salary]]*0.1)</f>
        <v>284855.70800000004</v>
      </c>
      <c r="J324" s="15">
        <f>Table1[[#This Row],[Salary]]+Table1[[#This Row],[Bonus]]</f>
        <v>3133412.7880000002</v>
      </c>
      <c r="K324" s="25">
        <f>COUNTA(Table1[Employee_ID])</f>
        <v>1000</v>
      </c>
      <c r="L324" s="1">
        <f>SUM(Table1[Salary])</f>
        <v>3119391523.8580012</v>
      </c>
      <c r="M324" s="15">
        <f>AVERAGE(Table1[Salary])</f>
        <v>3119391.5238580015</v>
      </c>
      <c r="N324" s="29">
        <f>SUM(Table1[Bonus])</f>
        <v>308244983.02069992</v>
      </c>
    </row>
    <row r="325" spans="1:14" ht="12.75" customHeight="1" x14ac:dyDescent="0.25">
      <c r="A325" s="2">
        <v>178</v>
      </c>
      <c r="B325" s="10" t="s">
        <v>228</v>
      </c>
      <c r="C325" s="10" t="s">
        <v>421</v>
      </c>
      <c r="D325" s="10" t="s">
        <v>125</v>
      </c>
      <c r="E325" s="10" t="s">
        <v>27</v>
      </c>
      <c r="F325" s="10" t="s">
        <v>85</v>
      </c>
      <c r="G325" s="10" t="s">
        <v>23</v>
      </c>
      <c r="H325" s="13">
        <v>3305197.66</v>
      </c>
      <c r="I325" s="15">
        <f>IF(Table1[[#This Row],[Salary]]&lt;1000000,Table1[[#This Row],[Salary]]*0.05,Table1[[#This Row],[Salary]]*0.1)</f>
        <v>330519.76600000006</v>
      </c>
      <c r="J325" s="15">
        <f>Table1[[#This Row],[Salary]]+Table1[[#This Row],[Bonus]]</f>
        <v>3635717.426</v>
      </c>
      <c r="K325" s="25">
        <f>COUNTA(Table1[Employee_ID])</f>
        <v>1000</v>
      </c>
      <c r="L325" s="1">
        <f>SUM(Table1[Salary])</f>
        <v>3119391523.8580012</v>
      </c>
      <c r="M325" s="15">
        <f>AVERAGE(Table1[Salary])</f>
        <v>3119391.5238580015</v>
      </c>
      <c r="N325" s="29">
        <f>SUM(Table1[Bonus])</f>
        <v>308244983.02069992</v>
      </c>
    </row>
    <row r="326" spans="1:14" ht="12.75" customHeight="1" x14ac:dyDescent="0.25">
      <c r="A326" s="2">
        <v>179</v>
      </c>
      <c r="B326" s="10" t="s">
        <v>422</v>
      </c>
      <c r="C326" s="10" t="s">
        <v>423</v>
      </c>
      <c r="D326" s="10" t="s">
        <v>112</v>
      </c>
      <c r="E326" s="10" t="s">
        <v>33</v>
      </c>
      <c r="F326" s="10" t="s">
        <v>55</v>
      </c>
      <c r="G326" s="10" t="s">
        <v>29</v>
      </c>
      <c r="H326" s="13">
        <v>1340805.9780000001</v>
      </c>
      <c r="I326" s="15">
        <f>IF(Table1[[#This Row],[Salary]]&lt;1000000,Table1[[#This Row],[Salary]]*0.05,Table1[[#This Row],[Salary]]*0.1)</f>
        <v>134080.59780000002</v>
      </c>
      <c r="J326" s="15">
        <f>Table1[[#This Row],[Salary]]+Table1[[#This Row],[Bonus]]</f>
        <v>1474886.5758000002</v>
      </c>
      <c r="K326" s="25">
        <f>COUNTA(Table1[Employee_ID])</f>
        <v>1000</v>
      </c>
      <c r="L326" s="1">
        <f>SUM(Table1[Salary])</f>
        <v>3119391523.8580012</v>
      </c>
      <c r="M326" s="15">
        <f>AVERAGE(Table1[Salary])</f>
        <v>3119391.5238580015</v>
      </c>
      <c r="N326" s="29">
        <f>SUM(Table1[Bonus])</f>
        <v>308244983.02069992</v>
      </c>
    </row>
    <row r="327" spans="1:14" ht="12.75" customHeight="1" x14ac:dyDescent="0.25">
      <c r="A327" s="2">
        <v>180</v>
      </c>
      <c r="B327" s="10" t="s">
        <v>245</v>
      </c>
      <c r="C327" s="10" t="s">
        <v>424</v>
      </c>
      <c r="D327" s="10" t="s">
        <v>96</v>
      </c>
      <c r="E327" s="10" t="s">
        <v>27</v>
      </c>
      <c r="F327" s="10" t="s">
        <v>106</v>
      </c>
      <c r="G327" s="10" t="s">
        <v>56</v>
      </c>
      <c r="H327" s="13">
        <v>5282148.3279999997</v>
      </c>
      <c r="I327" s="15">
        <f>IF(Table1[[#This Row],[Salary]]&lt;1000000,Table1[[#This Row],[Salary]]*0.05,Table1[[#This Row],[Salary]]*0.1)</f>
        <v>528214.83279999997</v>
      </c>
      <c r="J327" s="15">
        <f>Table1[[#This Row],[Salary]]+Table1[[#This Row],[Bonus]]</f>
        <v>5810363.1607999997</v>
      </c>
      <c r="K327" s="25">
        <f>COUNTA(Table1[Employee_ID])</f>
        <v>1000</v>
      </c>
      <c r="L327" s="1">
        <f>SUM(Table1[Salary])</f>
        <v>3119391523.8580012</v>
      </c>
      <c r="M327" s="15">
        <f>AVERAGE(Table1[Salary])</f>
        <v>3119391.5238580015</v>
      </c>
      <c r="N327" s="29">
        <f>SUM(Table1[Bonus])</f>
        <v>308244983.02069992</v>
      </c>
    </row>
    <row r="328" spans="1:14" ht="12.75" customHeight="1" x14ac:dyDescent="0.25">
      <c r="A328" s="2">
        <v>181</v>
      </c>
      <c r="B328" s="10" t="s">
        <v>425</v>
      </c>
      <c r="C328" s="10" t="s">
        <v>426</v>
      </c>
      <c r="D328" s="10" t="s">
        <v>118</v>
      </c>
      <c r="E328" s="10" t="s">
        <v>6</v>
      </c>
      <c r="F328" s="10" t="s">
        <v>74</v>
      </c>
      <c r="G328" s="10" t="s">
        <v>23</v>
      </c>
      <c r="H328" s="13">
        <v>4894959.3720000004</v>
      </c>
      <c r="I328" s="15">
        <f>IF(Table1[[#This Row],[Salary]]&lt;1000000,Table1[[#This Row],[Salary]]*0.05,Table1[[#This Row],[Salary]]*0.1)</f>
        <v>489495.93720000004</v>
      </c>
      <c r="J328" s="15">
        <f>Table1[[#This Row],[Salary]]+Table1[[#This Row],[Bonus]]</f>
        <v>5384455.3092</v>
      </c>
      <c r="K328" s="25">
        <f>COUNTA(Table1[Employee_ID])</f>
        <v>1000</v>
      </c>
      <c r="L328" s="1">
        <f>SUM(Table1[Salary])</f>
        <v>3119391523.8580012</v>
      </c>
      <c r="M328" s="15">
        <f>AVERAGE(Table1[Salary])</f>
        <v>3119391.5238580015</v>
      </c>
      <c r="N328" s="29">
        <f>SUM(Table1[Bonus])</f>
        <v>308244983.02069992</v>
      </c>
    </row>
    <row r="329" spans="1:14" ht="12.75" customHeight="1" x14ac:dyDescent="0.25">
      <c r="A329" s="2">
        <v>182</v>
      </c>
      <c r="B329" s="10" t="s">
        <v>427</v>
      </c>
      <c r="C329" s="10" t="s">
        <v>428</v>
      </c>
      <c r="D329" s="10" t="s">
        <v>88</v>
      </c>
      <c r="E329" s="10" t="s">
        <v>2</v>
      </c>
      <c r="F329" s="10" t="s">
        <v>102</v>
      </c>
      <c r="G329" s="10" t="s">
        <v>23</v>
      </c>
      <c r="H329" s="13">
        <v>1616343.4380000001</v>
      </c>
      <c r="I329" s="15">
        <f>IF(Table1[[#This Row],[Salary]]&lt;1000000,Table1[[#This Row],[Salary]]*0.05,Table1[[#This Row],[Salary]]*0.1)</f>
        <v>161634.34380000003</v>
      </c>
      <c r="J329" s="15">
        <f>Table1[[#This Row],[Salary]]+Table1[[#This Row],[Bonus]]</f>
        <v>1777977.7818</v>
      </c>
      <c r="K329" s="25">
        <f>COUNTA(Table1[Employee_ID])</f>
        <v>1000</v>
      </c>
      <c r="L329" s="1">
        <f>SUM(Table1[Salary])</f>
        <v>3119391523.8580012</v>
      </c>
      <c r="M329" s="15">
        <f>AVERAGE(Table1[Salary])</f>
        <v>3119391.5238580015</v>
      </c>
      <c r="N329" s="29">
        <f>SUM(Table1[Bonus])</f>
        <v>308244983.02069992</v>
      </c>
    </row>
    <row r="330" spans="1:14" ht="12.75" customHeight="1" x14ac:dyDescent="0.25">
      <c r="A330" s="2">
        <v>183</v>
      </c>
      <c r="B330" s="10" t="s">
        <v>267</v>
      </c>
      <c r="C330" s="10" t="s">
        <v>429</v>
      </c>
      <c r="D330" s="10" t="s">
        <v>26</v>
      </c>
      <c r="E330" s="10" t="s">
        <v>27</v>
      </c>
      <c r="F330" s="10" t="s">
        <v>28</v>
      </c>
      <c r="G330" s="10" t="s">
        <v>56</v>
      </c>
      <c r="H330" s="13">
        <v>4470795.3899999997</v>
      </c>
      <c r="I330" s="15">
        <f>IF(Table1[[#This Row],[Salary]]&lt;1000000,Table1[[#This Row],[Salary]]*0.05,Table1[[#This Row],[Salary]]*0.1)</f>
        <v>447079.53899999999</v>
      </c>
      <c r="J330" s="15">
        <f>Table1[[#This Row],[Salary]]+Table1[[#This Row],[Bonus]]</f>
        <v>4917874.9289999995</v>
      </c>
      <c r="K330" s="25">
        <f>COUNTA(Table1[Employee_ID])</f>
        <v>1000</v>
      </c>
      <c r="L330" s="1">
        <f>SUM(Table1[Salary])</f>
        <v>3119391523.8580012</v>
      </c>
      <c r="M330" s="15">
        <f>AVERAGE(Table1[Salary])</f>
        <v>3119391.5238580015</v>
      </c>
      <c r="N330" s="29">
        <f>SUM(Table1[Bonus])</f>
        <v>308244983.02069992</v>
      </c>
    </row>
    <row r="331" spans="1:14" ht="12.75" customHeight="1" x14ac:dyDescent="0.25">
      <c r="A331" s="2">
        <v>184</v>
      </c>
      <c r="B331" s="10" t="s">
        <v>430</v>
      </c>
      <c r="C331" s="10" t="s">
        <v>431</v>
      </c>
      <c r="D331" s="10" t="s">
        <v>125</v>
      </c>
      <c r="E331" s="10" t="s">
        <v>13</v>
      </c>
      <c r="F331" s="10" t="s">
        <v>43</v>
      </c>
      <c r="G331" s="10" t="s">
        <v>29</v>
      </c>
      <c r="H331" s="13">
        <v>4069137.54</v>
      </c>
      <c r="I331" s="15">
        <f>IF(Table1[[#This Row],[Salary]]&lt;1000000,Table1[[#This Row],[Salary]]*0.05,Table1[[#This Row],[Salary]]*0.1)</f>
        <v>406913.75400000002</v>
      </c>
      <c r="J331" s="15">
        <f>Table1[[#This Row],[Salary]]+Table1[[#This Row],[Bonus]]</f>
        <v>4476051.2939999998</v>
      </c>
      <c r="K331" s="25">
        <f>COUNTA(Table1[Employee_ID])</f>
        <v>1000</v>
      </c>
      <c r="L331" s="1">
        <f>SUM(Table1[Salary])</f>
        <v>3119391523.8580012</v>
      </c>
      <c r="M331" s="15">
        <f>AVERAGE(Table1[Salary])</f>
        <v>3119391.5238580015</v>
      </c>
      <c r="N331" s="29">
        <f>SUM(Table1[Bonus])</f>
        <v>308244983.02069992</v>
      </c>
    </row>
    <row r="332" spans="1:14" ht="12.75" customHeight="1" x14ac:dyDescent="0.25">
      <c r="A332" s="2">
        <v>185</v>
      </c>
      <c r="B332" s="10" t="s">
        <v>432</v>
      </c>
      <c r="C332" s="10" t="s">
        <v>433</v>
      </c>
      <c r="D332" s="10" t="s">
        <v>128</v>
      </c>
      <c r="E332" s="10" t="s">
        <v>10</v>
      </c>
      <c r="F332" s="10" t="s">
        <v>131</v>
      </c>
      <c r="G332" s="10" t="s">
        <v>71</v>
      </c>
      <c r="H332" s="13">
        <v>365139.15400000004</v>
      </c>
      <c r="I332" s="15">
        <f>IF(Table1[[#This Row],[Salary]]&lt;1000000,Table1[[#This Row],[Salary]]*0.05,Table1[[#This Row],[Salary]]*0.1)</f>
        <v>18256.957700000003</v>
      </c>
      <c r="J332" s="15">
        <f>Table1[[#This Row],[Salary]]+Table1[[#This Row],[Bonus]]</f>
        <v>383396.11170000007</v>
      </c>
      <c r="K332" s="25">
        <f>COUNTA(Table1[Employee_ID])</f>
        <v>1000</v>
      </c>
      <c r="L332" s="1">
        <f>SUM(Table1[Salary])</f>
        <v>3119391523.8580012</v>
      </c>
      <c r="M332" s="15">
        <f>AVERAGE(Table1[Salary])</f>
        <v>3119391.5238580015</v>
      </c>
      <c r="N332" s="29">
        <f>SUM(Table1[Bonus])</f>
        <v>308244983.02069992</v>
      </c>
    </row>
    <row r="333" spans="1:14" ht="12.75" customHeight="1" x14ac:dyDescent="0.25">
      <c r="A333" s="2">
        <v>187</v>
      </c>
      <c r="B333" s="10" t="s">
        <v>436</v>
      </c>
      <c r="C333" s="10" t="s">
        <v>437</v>
      </c>
      <c r="D333" s="10" t="s">
        <v>134</v>
      </c>
      <c r="E333" s="10" t="s">
        <v>33</v>
      </c>
      <c r="F333" s="10" t="s">
        <v>34</v>
      </c>
      <c r="G333" s="10" t="s">
        <v>56</v>
      </c>
      <c r="H333" s="13">
        <v>5057781.9440000001</v>
      </c>
      <c r="I333" s="15">
        <f>IF(Table1[[#This Row],[Salary]]&lt;1000000,Table1[[#This Row],[Salary]]*0.05,Table1[[#This Row],[Salary]]*0.1)</f>
        <v>505778.19440000004</v>
      </c>
      <c r="J333" s="15">
        <f>Table1[[#This Row],[Salary]]+Table1[[#This Row],[Bonus]]</f>
        <v>5563560.1384000005</v>
      </c>
      <c r="K333" s="25">
        <f>COUNTA(Table1[Employee_ID])</f>
        <v>1000</v>
      </c>
      <c r="L333" s="1">
        <f>SUM(Table1[Salary])</f>
        <v>3119391523.8580012</v>
      </c>
      <c r="M333" s="15">
        <f>AVERAGE(Table1[Salary])</f>
        <v>3119391.5238580015</v>
      </c>
      <c r="N333" s="29">
        <f>SUM(Table1[Bonus])</f>
        <v>308244983.02069992</v>
      </c>
    </row>
    <row r="334" spans="1:14" ht="12.75" customHeight="1" x14ac:dyDescent="0.25">
      <c r="A334" s="2">
        <v>188</v>
      </c>
      <c r="B334" s="10" t="s">
        <v>438</v>
      </c>
      <c r="C334" s="10" t="s">
        <v>439</v>
      </c>
      <c r="D334" s="10" t="s">
        <v>137</v>
      </c>
      <c r="E334" s="10" t="s">
        <v>33</v>
      </c>
      <c r="F334" s="10" t="s">
        <v>47</v>
      </c>
      <c r="G334" s="10" t="s">
        <v>29</v>
      </c>
      <c r="H334" s="13">
        <v>5014567.6519999998</v>
      </c>
      <c r="I334" s="15">
        <f>IF(Table1[[#This Row],[Salary]]&lt;1000000,Table1[[#This Row],[Salary]]*0.05,Table1[[#This Row],[Salary]]*0.1)</f>
        <v>501456.76520000002</v>
      </c>
      <c r="J334" s="15">
        <f>Table1[[#This Row],[Salary]]+Table1[[#This Row],[Bonus]]</f>
        <v>5516024.4172</v>
      </c>
      <c r="K334" s="25">
        <f>COUNTA(Table1[Employee_ID])</f>
        <v>1000</v>
      </c>
      <c r="L334" s="1">
        <f>SUM(Table1[Salary])</f>
        <v>3119391523.8580012</v>
      </c>
      <c r="M334" s="15">
        <f>AVERAGE(Table1[Salary])</f>
        <v>3119391.5238580015</v>
      </c>
      <c r="N334" s="29">
        <f>SUM(Table1[Bonus])</f>
        <v>308244983.02069992</v>
      </c>
    </row>
    <row r="335" spans="1:14" ht="12.75" customHeight="1" x14ac:dyDescent="0.25">
      <c r="A335" s="2">
        <v>191</v>
      </c>
      <c r="B335" s="10" t="s">
        <v>442</v>
      </c>
      <c r="C335" s="10" t="s">
        <v>443</v>
      </c>
      <c r="D335" s="10" t="s">
        <v>146</v>
      </c>
      <c r="E335" s="10" t="s">
        <v>27</v>
      </c>
      <c r="F335" s="10" t="s">
        <v>85</v>
      </c>
      <c r="G335" s="10" t="s">
        <v>23</v>
      </c>
      <c r="H335" s="13">
        <v>4526104.5999999996</v>
      </c>
      <c r="I335" s="15">
        <f>IF(Table1[[#This Row],[Salary]]&lt;1000000,Table1[[#This Row],[Salary]]*0.05,Table1[[#This Row],[Salary]]*0.1)</f>
        <v>452610.45999999996</v>
      </c>
      <c r="J335" s="15">
        <f>Table1[[#This Row],[Salary]]+Table1[[#This Row],[Bonus]]</f>
        <v>4978715.0599999996</v>
      </c>
      <c r="K335" s="25">
        <f>COUNTA(Table1[Employee_ID])</f>
        <v>1000</v>
      </c>
      <c r="L335" s="1">
        <f>SUM(Table1[Salary])</f>
        <v>3119391523.8580012</v>
      </c>
      <c r="M335" s="15">
        <f>AVERAGE(Table1[Salary])</f>
        <v>3119391.5238580015</v>
      </c>
      <c r="N335" s="29">
        <f>SUM(Table1[Bonus])</f>
        <v>308244983.02069992</v>
      </c>
    </row>
    <row r="336" spans="1:14" ht="12.75" customHeight="1" x14ac:dyDescent="0.25">
      <c r="A336" s="2">
        <v>193</v>
      </c>
      <c r="B336" s="10" t="s">
        <v>444</v>
      </c>
      <c r="C336" s="10" t="s">
        <v>446</v>
      </c>
      <c r="D336" s="10" t="s">
        <v>88</v>
      </c>
      <c r="E336" s="10" t="s">
        <v>33</v>
      </c>
      <c r="F336" s="10" t="s">
        <v>55</v>
      </c>
      <c r="G336" s="10" t="s">
        <v>23</v>
      </c>
      <c r="H336" s="13">
        <v>4959403.0259999996</v>
      </c>
      <c r="I336" s="15">
        <f>IF(Table1[[#This Row],[Salary]]&lt;1000000,Table1[[#This Row],[Salary]]*0.05,Table1[[#This Row],[Salary]]*0.1)</f>
        <v>495940.3026</v>
      </c>
      <c r="J336" s="15">
        <f>Table1[[#This Row],[Salary]]+Table1[[#This Row],[Bonus]]</f>
        <v>5455343.3285999997</v>
      </c>
      <c r="K336" s="25">
        <f>COUNTA(Table1[Employee_ID])</f>
        <v>1000</v>
      </c>
      <c r="L336" s="1">
        <f>SUM(Table1[Salary])</f>
        <v>3119391523.8580012</v>
      </c>
      <c r="M336" s="15">
        <f>AVERAGE(Table1[Salary])</f>
        <v>3119391.5238580015</v>
      </c>
      <c r="N336" s="29">
        <f>SUM(Table1[Bonus])</f>
        <v>308244983.02069992</v>
      </c>
    </row>
    <row r="337" spans="1:14" ht="12.75" customHeight="1" x14ac:dyDescent="0.25">
      <c r="A337" s="2">
        <v>194</v>
      </c>
      <c r="B337" s="10" t="s">
        <v>447</v>
      </c>
      <c r="C337" s="10" t="s">
        <v>448</v>
      </c>
      <c r="D337" s="10" t="s">
        <v>26</v>
      </c>
      <c r="E337" s="10" t="s">
        <v>13</v>
      </c>
      <c r="F337" s="10" t="s">
        <v>67</v>
      </c>
      <c r="G337" s="10" t="s">
        <v>71</v>
      </c>
      <c r="H337" s="13">
        <v>4677500.3720000004</v>
      </c>
      <c r="I337" s="15">
        <f>IF(Table1[[#This Row],[Salary]]&lt;1000000,Table1[[#This Row],[Salary]]*0.05,Table1[[#This Row],[Salary]]*0.1)</f>
        <v>467750.03720000008</v>
      </c>
      <c r="J337" s="15">
        <f>Table1[[#This Row],[Salary]]+Table1[[#This Row],[Bonus]]</f>
        <v>5145250.4092000006</v>
      </c>
      <c r="K337" s="25">
        <f>COUNTA(Table1[Employee_ID])</f>
        <v>1000</v>
      </c>
      <c r="L337" s="1">
        <f>SUM(Table1[Salary])</f>
        <v>3119391523.8580012</v>
      </c>
      <c r="M337" s="15">
        <f>AVERAGE(Table1[Salary])</f>
        <v>3119391.5238580015</v>
      </c>
      <c r="N337" s="29">
        <f>SUM(Table1[Bonus])</f>
        <v>308244983.02069992</v>
      </c>
    </row>
    <row r="338" spans="1:14" ht="12.75" customHeight="1" x14ac:dyDescent="0.25">
      <c r="A338" s="2">
        <v>195</v>
      </c>
      <c r="B338" s="10" t="s">
        <v>449</v>
      </c>
      <c r="C338" s="10" t="s">
        <v>450</v>
      </c>
      <c r="D338" s="10" t="s">
        <v>156</v>
      </c>
      <c r="E338" s="10" t="s">
        <v>27</v>
      </c>
      <c r="F338" s="10" t="s">
        <v>106</v>
      </c>
      <c r="G338" s="10" t="s">
        <v>23</v>
      </c>
      <c r="H338" s="13">
        <v>1846259.9819999998</v>
      </c>
      <c r="I338" s="15">
        <f>IF(Table1[[#This Row],[Salary]]&lt;1000000,Table1[[#This Row],[Salary]]*0.05,Table1[[#This Row],[Salary]]*0.1)</f>
        <v>184625.9982</v>
      </c>
      <c r="J338" s="15">
        <f>Table1[[#This Row],[Salary]]+Table1[[#This Row],[Bonus]]</f>
        <v>2030885.9801999999</v>
      </c>
      <c r="K338" s="25">
        <f>COUNTA(Table1[Employee_ID])</f>
        <v>1000</v>
      </c>
      <c r="L338" s="1">
        <f>SUM(Table1[Salary])</f>
        <v>3119391523.8580012</v>
      </c>
      <c r="M338" s="15">
        <f>AVERAGE(Table1[Salary])</f>
        <v>3119391.5238580015</v>
      </c>
      <c r="N338" s="29">
        <f>SUM(Table1[Bonus])</f>
        <v>308244983.02069992</v>
      </c>
    </row>
    <row r="339" spans="1:14" ht="12.75" customHeight="1" x14ac:dyDescent="0.25">
      <c r="A339" s="2">
        <v>197</v>
      </c>
      <c r="B339" s="10" t="s">
        <v>129</v>
      </c>
      <c r="C339" s="10" t="s">
        <v>452</v>
      </c>
      <c r="D339" s="10" t="s">
        <v>162</v>
      </c>
      <c r="E339" s="10" t="s">
        <v>13</v>
      </c>
      <c r="F339" s="10" t="s">
        <v>120</v>
      </c>
      <c r="G339" s="10" t="s">
        <v>23</v>
      </c>
      <c r="H339" s="13">
        <v>2449033.0099999998</v>
      </c>
      <c r="I339" s="15">
        <f>IF(Table1[[#This Row],[Salary]]&lt;1000000,Table1[[#This Row],[Salary]]*0.05,Table1[[#This Row],[Salary]]*0.1)</f>
        <v>244903.30099999998</v>
      </c>
      <c r="J339" s="15">
        <f>Table1[[#This Row],[Salary]]+Table1[[#This Row],[Bonus]]</f>
        <v>2693936.3109999998</v>
      </c>
      <c r="K339" s="25">
        <f>COUNTA(Table1[Employee_ID])</f>
        <v>1000</v>
      </c>
      <c r="L339" s="1">
        <f>SUM(Table1[Salary])</f>
        <v>3119391523.8580012</v>
      </c>
      <c r="M339" s="15">
        <f>AVERAGE(Table1[Salary])</f>
        <v>3119391.5238580015</v>
      </c>
      <c r="N339" s="29">
        <f>SUM(Table1[Bonus])</f>
        <v>308244983.02069992</v>
      </c>
    </row>
    <row r="340" spans="1:14" ht="12.75" customHeight="1" x14ac:dyDescent="0.25">
      <c r="A340" s="2">
        <v>198</v>
      </c>
      <c r="B340" s="10" t="s">
        <v>453</v>
      </c>
      <c r="C340" s="10" t="s">
        <v>454</v>
      </c>
      <c r="D340" s="10" t="s">
        <v>165</v>
      </c>
      <c r="E340" s="10" t="s">
        <v>33</v>
      </c>
      <c r="F340" s="10" t="s">
        <v>34</v>
      </c>
      <c r="G340" s="10" t="s">
        <v>29</v>
      </c>
      <c r="H340" s="13">
        <v>812596.31800000009</v>
      </c>
      <c r="I340" s="15">
        <f>IF(Table1[[#This Row],[Salary]]&lt;1000000,Table1[[#This Row],[Salary]]*0.05,Table1[[#This Row],[Salary]]*0.1)</f>
        <v>40629.815900000009</v>
      </c>
      <c r="J340" s="15">
        <f>Table1[[#This Row],[Salary]]+Table1[[#This Row],[Bonus]]</f>
        <v>853226.13390000013</v>
      </c>
      <c r="K340" s="25">
        <f>COUNTA(Table1[Employee_ID])</f>
        <v>1000</v>
      </c>
      <c r="L340" s="1">
        <f>SUM(Table1[Salary])</f>
        <v>3119391523.8580012</v>
      </c>
      <c r="M340" s="15">
        <f>AVERAGE(Table1[Salary])</f>
        <v>3119391.5238580015</v>
      </c>
      <c r="N340" s="29">
        <f>SUM(Table1[Bonus])</f>
        <v>308244983.02069992</v>
      </c>
    </row>
    <row r="341" spans="1:14" ht="12.75" customHeight="1" x14ac:dyDescent="0.25">
      <c r="A341" s="2">
        <v>199</v>
      </c>
      <c r="B341" s="10" t="s">
        <v>455</v>
      </c>
      <c r="C341" s="10" t="s">
        <v>456</v>
      </c>
      <c r="D341" s="10" t="s">
        <v>156</v>
      </c>
      <c r="E341" s="10" t="s">
        <v>27</v>
      </c>
      <c r="F341" s="10" t="s">
        <v>28</v>
      </c>
      <c r="G341" s="10" t="s">
        <v>35</v>
      </c>
      <c r="H341" s="13">
        <v>2684530.03</v>
      </c>
      <c r="I341" s="15">
        <f>IF(Table1[[#This Row],[Salary]]&lt;1000000,Table1[[#This Row],[Salary]]*0.05,Table1[[#This Row],[Salary]]*0.1)</f>
        <v>268453.00299999997</v>
      </c>
      <c r="J341" s="15">
        <f>Table1[[#This Row],[Salary]]+Table1[[#This Row],[Bonus]]</f>
        <v>2952983.0329999998</v>
      </c>
      <c r="K341" s="25">
        <f>COUNTA(Table1[Employee_ID])</f>
        <v>1000</v>
      </c>
      <c r="L341" s="1">
        <f>SUM(Table1[Salary])</f>
        <v>3119391523.8580012</v>
      </c>
      <c r="M341" s="15">
        <f>AVERAGE(Table1[Salary])</f>
        <v>3119391.5238580015</v>
      </c>
      <c r="N341" s="29">
        <f>SUM(Table1[Bonus])</f>
        <v>308244983.02069992</v>
      </c>
    </row>
    <row r="342" spans="1:14" ht="12.75" customHeight="1" x14ac:dyDescent="0.25">
      <c r="A342" s="2">
        <v>200</v>
      </c>
      <c r="B342" s="10" t="s">
        <v>457</v>
      </c>
      <c r="C342" s="10" t="s">
        <v>458</v>
      </c>
      <c r="D342" s="10" t="s">
        <v>21</v>
      </c>
      <c r="E342" s="10" t="s">
        <v>33</v>
      </c>
      <c r="F342" s="10" t="s">
        <v>47</v>
      </c>
      <c r="G342" s="10" t="s">
        <v>35</v>
      </c>
      <c r="H342" s="13">
        <v>2709103.48</v>
      </c>
      <c r="I342" s="15">
        <f>IF(Table1[[#This Row],[Salary]]&lt;1000000,Table1[[#This Row],[Salary]]*0.05,Table1[[#This Row],[Salary]]*0.1)</f>
        <v>270910.348</v>
      </c>
      <c r="J342" s="15">
        <f>Table1[[#This Row],[Salary]]+Table1[[#This Row],[Bonus]]</f>
        <v>2980013.8279999997</v>
      </c>
      <c r="K342" s="25">
        <f>COUNTA(Table1[Employee_ID])</f>
        <v>1000</v>
      </c>
      <c r="L342" s="1">
        <f>SUM(Table1[Salary])</f>
        <v>3119391523.8580012</v>
      </c>
      <c r="M342" s="15">
        <f>AVERAGE(Table1[Salary])</f>
        <v>3119391.5238580015</v>
      </c>
      <c r="N342" s="29">
        <f>SUM(Table1[Bonus])</f>
        <v>308244983.02069992</v>
      </c>
    </row>
    <row r="343" spans="1:14" ht="12.75" customHeight="1" x14ac:dyDescent="0.25">
      <c r="A343" s="2">
        <v>201</v>
      </c>
      <c r="B343" s="10" t="s">
        <v>459</v>
      </c>
      <c r="C343" s="10" t="s">
        <v>460</v>
      </c>
      <c r="D343" s="10" t="s">
        <v>128</v>
      </c>
      <c r="E343" s="10" t="s">
        <v>63</v>
      </c>
      <c r="F343" s="10" t="s">
        <v>113</v>
      </c>
      <c r="G343" s="10" t="s">
        <v>56</v>
      </c>
      <c r="H343" s="13">
        <v>1162595.7039999999</v>
      </c>
      <c r="I343" s="15">
        <f>IF(Table1[[#This Row],[Salary]]&lt;1000000,Table1[[#This Row],[Salary]]*0.05,Table1[[#This Row],[Salary]]*0.1)</f>
        <v>116259.5704</v>
      </c>
      <c r="J343" s="15">
        <f>Table1[[#This Row],[Salary]]+Table1[[#This Row],[Bonus]]</f>
        <v>1278855.2744</v>
      </c>
      <c r="K343" s="25">
        <f>COUNTA(Table1[Employee_ID])</f>
        <v>1000</v>
      </c>
      <c r="L343" s="1">
        <f>SUM(Table1[Salary])</f>
        <v>3119391523.8580012</v>
      </c>
      <c r="M343" s="15">
        <f>AVERAGE(Table1[Salary])</f>
        <v>3119391.5238580015</v>
      </c>
      <c r="N343" s="29">
        <f>SUM(Table1[Bonus])</f>
        <v>308244983.02069992</v>
      </c>
    </row>
    <row r="344" spans="1:14" ht="12.75" customHeight="1" x14ac:dyDescent="0.25">
      <c r="A344" s="2">
        <v>202</v>
      </c>
      <c r="B344" s="10" t="s">
        <v>461</v>
      </c>
      <c r="C344" s="10" t="s">
        <v>462</v>
      </c>
      <c r="D344" s="10" t="s">
        <v>174</v>
      </c>
      <c r="E344" s="10" t="s">
        <v>6</v>
      </c>
      <c r="F344" s="10" t="s">
        <v>123</v>
      </c>
      <c r="G344" s="10" t="s">
        <v>23</v>
      </c>
      <c r="H344" s="13">
        <v>4760140.6220000004</v>
      </c>
      <c r="I344" s="15">
        <f>IF(Table1[[#This Row],[Salary]]&lt;1000000,Table1[[#This Row],[Salary]]*0.05,Table1[[#This Row],[Salary]]*0.1)</f>
        <v>476014.06220000004</v>
      </c>
      <c r="J344" s="15">
        <f>Table1[[#This Row],[Salary]]+Table1[[#This Row],[Bonus]]</f>
        <v>5236154.6842</v>
      </c>
      <c r="K344" s="25">
        <f>COUNTA(Table1[Employee_ID])</f>
        <v>1000</v>
      </c>
      <c r="L344" s="1">
        <f>SUM(Table1[Salary])</f>
        <v>3119391523.8580012</v>
      </c>
      <c r="M344" s="15">
        <f>AVERAGE(Table1[Salary])</f>
        <v>3119391.5238580015</v>
      </c>
      <c r="N344" s="29">
        <f>SUM(Table1[Bonus])</f>
        <v>308244983.02069992</v>
      </c>
    </row>
    <row r="345" spans="1:14" ht="12.75" customHeight="1" x14ac:dyDescent="0.25">
      <c r="A345" s="2">
        <v>203</v>
      </c>
      <c r="B345" s="10" t="s">
        <v>463</v>
      </c>
      <c r="C345" s="10" t="s">
        <v>464</v>
      </c>
      <c r="D345" s="10" t="s">
        <v>177</v>
      </c>
      <c r="E345" s="10" t="s">
        <v>39</v>
      </c>
      <c r="F345" s="10" t="s">
        <v>189</v>
      </c>
      <c r="G345" s="10" t="s">
        <v>56</v>
      </c>
      <c r="H345" s="13">
        <v>1648092.452</v>
      </c>
      <c r="I345" s="15">
        <f>IF(Table1[[#This Row],[Salary]]&lt;1000000,Table1[[#This Row],[Salary]]*0.05,Table1[[#This Row],[Salary]]*0.1)</f>
        <v>164809.2452</v>
      </c>
      <c r="J345" s="15">
        <f>Table1[[#This Row],[Salary]]+Table1[[#This Row],[Bonus]]</f>
        <v>1812901.6972000001</v>
      </c>
      <c r="K345" s="25">
        <f>COUNTA(Table1[Employee_ID])</f>
        <v>1000</v>
      </c>
      <c r="L345" s="1">
        <f>SUM(Table1[Salary])</f>
        <v>3119391523.8580012</v>
      </c>
      <c r="M345" s="15">
        <f>AVERAGE(Table1[Salary])</f>
        <v>3119391.5238580015</v>
      </c>
      <c r="N345" s="29">
        <f>SUM(Table1[Bonus])</f>
        <v>308244983.02069992</v>
      </c>
    </row>
    <row r="346" spans="1:14" ht="12.75" customHeight="1" x14ac:dyDescent="0.25">
      <c r="A346" s="2">
        <v>204</v>
      </c>
      <c r="B346" s="10" t="s">
        <v>465</v>
      </c>
      <c r="C346" s="10" t="s">
        <v>206</v>
      </c>
      <c r="D346" s="10" t="s">
        <v>180</v>
      </c>
      <c r="E346" s="10" t="s">
        <v>2</v>
      </c>
      <c r="F346" s="10" t="s">
        <v>60</v>
      </c>
      <c r="G346" s="10" t="s">
        <v>29</v>
      </c>
      <c r="H346" s="13">
        <v>1718666.9339999999</v>
      </c>
      <c r="I346" s="15">
        <f>IF(Table1[[#This Row],[Salary]]&lt;1000000,Table1[[#This Row],[Salary]]*0.05,Table1[[#This Row],[Salary]]*0.1)</f>
        <v>171866.69339999999</v>
      </c>
      <c r="J346" s="15">
        <f>Table1[[#This Row],[Salary]]+Table1[[#This Row],[Bonus]]</f>
        <v>1890533.6273999999</v>
      </c>
      <c r="K346" s="25">
        <f>COUNTA(Table1[Employee_ID])</f>
        <v>1000</v>
      </c>
      <c r="L346" s="1">
        <f>SUM(Table1[Salary])</f>
        <v>3119391523.8580012</v>
      </c>
      <c r="M346" s="15">
        <f>AVERAGE(Table1[Salary])</f>
        <v>3119391.5238580015</v>
      </c>
      <c r="N346" s="29">
        <f>SUM(Table1[Bonus])</f>
        <v>308244983.02069992</v>
      </c>
    </row>
    <row r="347" spans="1:14" ht="12.75" customHeight="1" x14ac:dyDescent="0.25">
      <c r="A347" s="2">
        <v>205</v>
      </c>
      <c r="B347" s="10" t="s">
        <v>466</v>
      </c>
      <c r="C347" s="10" t="s">
        <v>467</v>
      </c>
      <c r="D347" s="10" t="s">
        <v>183</v>
      </c>
      <c r="E347" s="10" t="s">
        <v>39</v>
      </c>
      <c r="F347" s="10" t="s">
        <v>40</v>
      </c>
      <c r="G347" s="10" t="s">
        <v>23</v>
      </c>
      <c r="H347" s="13">
        <v>3058876.662</v>
      </c>
      <c r="I347" s="15">
        <f>IF(Table1[[#This Row],[Salary]]&lt;1000000,Table1[[#This Row],[Salary]]*0.05,Table1[[#This Row],[Salary]]*0.1)</f>
        <v>305887.66620000004</v>
      </c>
      <c r="J347" s="15">
        <f>Table1[[#This Row],[Salary]]+Table1[[#This Row],[Bonus]]</f>
        <v>3364764.3281999999</v>
      </c>
      <c r="K347" s="25">
        <f>COUNTA(Table1[Employee_ID])</f>
        <v>1000</v>
      </c>
      <c r="L347" s="1">
        <f>SUM(Table1[Salary])</f>
        <v>3119391523.8580012</v>
      </c>
      <c r="M347" s="15">
        <f>AVERAGE(Table1[Salary])</f>
        <v>3119391.5238580015</v>
      </c>
      <c r="N347" s="29">
        <f>SUM(Table1[Bonus])</f>
        <v>308244983.02069992</v>
      </c>
    </row>
    <row r="348" spans="1:14" ht="12.75" customHeight="1" x14ac:dyDescent="0.25">
      <c r="A348" s="2">
        <v>206</v>
      </c>
      <c r="B348" s="10" t="s">
        <v>468</v>
      </c>
      <c r="C348" s="10" t="s">
        <v>469</v>
      </c>
      <c r="D348" s="10" t="s">
        <v>21</v>
      </c>
      <c r="E348" s="10" t="s">
        <v>14</v>
      </c>
      <c r="F348" s="10" t="s">
        <v>51</v>
      </c>
      <c r="G348" s="10" t="s">
        <v>56</v>
      </c>
      <c r="H348" s="13">
        <v>1009404.2919999999</v>
      </c>
      <c r="I348" s="15">
        <f>IF(Table1[[#This Row],[Salary]]&lt;1000000,Table1[[#This Row],[Salary]]*0.05,Table1[[#This Row],[Salary]]*0.1)</f>
        <v>100940.4292</v>
      </c>
      <c r="J348" s="15">
        <f>Table1[[#This Row],[Salary]]+Table1[[#This Row],[Bonus]]</f>
        <v>1110344.7211999998</v>
      </c>
      <c r="K348" s="25">
        <f>COUNTA(Table1[Employee_ID])</f>
        <v>1000</v>
      </c>
      <c r="L348" s="1">
        <f>SUM(Table1[Salary])</f>
        <v>3119391523.8580012</v>
      </c>
      <c r="M348" s="15">
        <f>AVERAGE(Table1[Salary])</f>
        <v>3119391.5238580015</v>
      </c>
      <c r="N348" s="29">
        <f>SUM(Table1[Bonus])</f>
        <v>308244983.02069992</v>
      </c>
    </row>
    <row r="349" spans="1:14" ht="12.75" customHeight="1" x14ac:dyDescent="0.25">
      <c r="A349" s="2">
        <v>207</v>
      </c>
      <c r="B349" s="10" t="s">
        <v>470</v>
      </c>
      <c r="C349" s="10" t="s">
        <v>471</v>
      </c>
      <c r="D349" s="10" t="s">
        <v>99</v>
      </c>
      <c r="E349" s="10" t="s">
        <v>27</v>
      </c>
      <c r="F349" s="10" t="s">
        <v>85</v>
      </c>
      <c r="G349" s="10" t="s">
        <v>48</v>
      </c>
      <c r="H349" s="13">
        <v>2768756.04</v>
      </c>
      <c r="I349" s="15">
        <f>IF(Table1[[#This Row],[Salary]]&lt;1000000,Table1[[#This Row],[Salary]]*0.05,Table1[[#This Row],[Salary]]*0.1)</f>
        <v>276875.60399999999</v>
      </c>
      <c r="J349" s="15">
        <f>Table1[[#This Row],[Salary]]+Table1[[#This Row],[Bonus]]</f>
        <v>3045631.6439999999</v>
      </c>
      <c r="K349" s="25">
        <f>COUNTA(Table1[Employee_ID])</f>
        <v>1000</v>
      </c>
      <c r="L349" s="1">
        <f>SUM(Table1[Salary])</f>
        <v>3119391523.8580012</v>
      </c>
      <c r="M349" s="15">
        <f>AVERAGE(Table1[Salary])</f>
        <v>3119391.5238580015</v>
      </c>
      <c r="N349" s="29">
        <f>SUM(Table1[Bonus])</f>
        <v>308244983.02069992</v>
      </c>
    </row>
    <row r="350" spans="1:14" ht="12.75" customHeight="1" x14ac:dyDescent="0.25">
      <c r="A350" s="2">
        <v>209</v>
      </c>
      <c r="B350" s="10" t="s">
        <v>263</v>
      </c>
      <c r="C350" s="10" t="s">
        <v>474</v>
      </c>
      <c r="D350" s="10" t="s">
        <v>177</v>
      </c>
      <c r="E350" s="10" t="s">
        <v>10</v>
      </c>
      <c r="F350" s="10" t="s">
        <v>78</v>
      </c>
      <c r="G350" s="10" t="s">
        <v>23</v>
      </c>
      <c r="H350" s="13">
        <v>4721608.9859999996</v>
      </c>
      <c r="I350" s="15">
        <f>IF(Table1[[#This Row],[Salary]]&lt;1000000,Table1[[#This Row],[Salary]]*0.05,Table1[[#This Row],[Salary]]*0.1)</f>
        <v>472160.89859999996</v>
      </c>
      <c r="J350" s="15">
        <f>Table1[[#This Row],[Salary]]+Table1[[#This Row],[Bonus]]</f>
        <v>5193769.8845999995</v>
      </c>
      <c r="K350" s="25">
        <f>COUNTA(Table1[Employee_ID])</f>
        <v>1000</v>
      </c>
      <c r="L350" s="1">
        <f>SUM(Table1[Salary])</f>
        <v>3119391523.8580012</v>
      </c>
      <c r="M350" s="15">
        <f>AVERAGE(Table1[Salary])</f>
        <v>3119391.5238580015</v>
      </c>
      <c r="N350" s="29">
        <f>SUM(Table1[Bonus])</f>
        <v>308244983.02069992</v>
      </c>
    </row>
    <row r="351" spans="1:14" ht="12.75" customHeight="1" x14ac:dyDescent="0.25">
      <c r="A351" s="2">
        <v>210</v>
      </c>
      <c r="B351" s="10" t="s">
        <v>475</v>
      </c>
      <c r="C351" s="10" t="s">
        <v>476</v>
      </c>
      <c r="D351" s="10" t="s">
        <v>313</v>
      </c>
      <c r="E351" s="10" t="s">
        <v>27</v>
      </c>
      <c r="F351" s="10" t="s">
        <v>106</v>
      </c>
      <c r="G351" s="10" t="s">
        <v>35</v>
      </c>
      <c r="H351" s="13">
        <v>2807263.19</v>
      </c>
      <c r="I351" s="15">
        <f>IF(Table1[[#This Row],[Salary]]&lt;1000000,Table1[[#This Row],[Salary]]*0.05,Table1[[#This Row],[Salary]]*0.1)</f>
        <v>280726.31900000002</v>
      </c>
      <c r="J351" s="15">
        <f>Table1[[#This Row],[Salary]]+Table1[[#This Row],[Bonus]]</f>
        <v>3087989.5090000001</v>
      </c>
      <c r="K351" s="25">
        <f>COUNTA(Table1[Employee_ID])</f>
        <v>1000</v>
      </c>
      <c r="L351" s="1">
        <f>SUM(Table1[Salary])</f>
        <v>3119391523.8580012</v>
      </c>
      <c r="M351" s="15">
        <f>AVERAGE(Table1[Salary])</f>
        <v>3119391.5238580015</v>
      </c>
      <c r="N351" s="29">
        <f>SUM(Table1[Bonus])</f>
        <v>308244983.02069992</v>
      </c>
    </row>
    <row r="352" spans="1:14" ht="12.75" customHeight="1" x14ac:dyDescent="0.25">
      <c r="A352" s="2">
        <v>211</v>
      </c>
      <c r="B352" s="10" t="s">
        <v>477</v>
      </c>
      <c r="C352" s="10" t="s">
        <v>478</v>
      </c>
      <c r="D352" s="10" t="s">
        <v>112</v>
      </c>
      <c r="E352" s="10" t="s">
        <v>33</v>
      </c>
      <c r="F352" s="10" t="s">
        <v>55</v>
      </c>
      <c r="G352" s="10" t="s">
        <v>23</v>
      </c>
      <c r="H352" s="13">
        <v>5827916.7820000006</v>
      </c>
      <c r="I352" s="15">
        <f>IF(Table1[[#This Row],[Salary]]&lt;1000000,Table1[[#This Row],[Salary]]*0.05,Table1[[#This Row],[Salary]]*0.1)</f>
        <v>582791.67820000008</v>
      </c>
      <c r="J352" s="15">
        <f>Table1[[#This Row],[Salary]]+Table1[[#This Row],[Bonus]]</f>
        <v>6410708.4602000006</v>
      </c>
      <c r="K352" s="25">
        <f>COUNTA(Table1[Employee_ID])</f>
        <v>1000</v>
      </c>
      <c r="L352" s="1">
        <f>SUM(Table1[Salary])</f>
        <v>3119391523.8580012</v>
      </c>
      <c r="M352" s="15">
        <f>AVERAGE(Table1[Salary])</f>
        <v>3119391.5238580015</v>
      </c>
      <c r="N352" s="29">
        <f>SUM(Table1[Bonus])</f>
        <v>308244983.02069992</v>
      </c>
    </row>
    <row r="353" spans="1:14" ht="12.75" customHeight="1" x14ac:dyDescent="0.25">
      <c r="A353" s="2">
        <v>213</v>
      </c>
      <c r="B353" s="10" t="s">
        <v>480</v>
      </c>
      <c r="C353" s="10" t="s">
        <v>101</v>
      </c>
      <c r="D353" s="10" t="s">
        <v>183</v>
      </c>
      <c r="E353" s="10" t="s">
        <v>33</v>
      </c>
      <c r="F353" s="10" t="s">
        <v>34</v>
      </c>
      <c r="G353" s="10" t="s">
        <v>71</v>
      </c>
      <c r="H353" s="13">
        <v>3525322.1359999999</v>
      </c>
      <c r="I353" s="15">
        <f>IF(Table1[[#This Row],[Salary]]&lt;1000000,Table1[[#This Row],[Salary]]*0.05,Table1[[#This Row],[Salary]]*0.1)</f>
        <v>352532.21360000002</v>
      </c>
      <c r="J353" s="15">
        <f>Table1[[#This Row],[Salary]]+Table1[[#This Row],[Bonus]]</f>
        <v>3877854.3495999998</v>
      </c>
      <c r="K353" s="25">
        <f>COUNTA(Table1[Employee_ID])</f>
        <v>1000</v>
      </c>
      <c r="L353" s="1">
        <f>SUM(Table1[Salary])</f>
        <v>3119391523.8580012</v>
      </c>
      <c r="M353" s="15">
        <f>AVERAGE(Table1[Salary])</f>
        <v>3119391.5238580015</v>
      </c>
      <c r="N353" s="29">
        <f>SUM(Table1[Bonus])</f>
        <v>308244983.02069992</v>
      </c>
    </row>
    <row r="354" spans="1:14" ht="12.75" customHeight="1" x14ac:dyDescent="0.25">
      <c r="A354" s="2">
        <v>214</v>
      </c>
      <c r="B354" s="10" t="s">
        <v>481</v>
      </c>
      <c r="C354" s="10" t="s">
        <v>482</v>
      </c>
      <c r="D354" s="10" t="s">
        <v>59</v>
      </c>
      <c r="E354" s="10" t="s">
        <v>27</v>
      </c>
      <c r="F354" s="10" t="s">
        <v>28</v>
      </c>
      <c r="G354" s="10" t="s">
        <v>48</v>
      </c>
      <c r="H354" s="13">
        <v>4268897.8260000004</v>
      </c>
      <c r="I354" s="15">
        <f>IF(Table1[[#This Row],[Salary]]&lt;1000000,Table1[[#This Row],[Salary]]*0.05,Table1[[#This Row],[Salary]]*0.1)</f>
        <v>426889.78260000004</v>
      </c>
      <c r="J354" s="15">
        <f>Table1[[#This Row],[Salary]]+Table1[[#This Row],[Bonus]]</f>
        <v>4695787.6085999999</v>
      </c>
      <c r="K354" s="25">
        <f>COUNTA(Table1[Employee_ID])</f>
        <v>1000</v>
      </c>
      <c r="L354" s="1">
        <f>SUM(Table1[Salary])</f>
        <v>3119391523.8580012</v>
      </c>
      <c r="M354" s="15">
        <f>AVERAGE(Table1[Salary])</f>
        <v>3119391.5238580015</v>
      </c>
      <c r="N354" s="29">
        <f>SUM(Table1[Bonus])</f>
        <v>308244983.02069992</v>
      </c>
    </row>
    <row r="355" spans="1:14" ht="12.75" customHeight="1" x14ac:dyDescent="0.25">
      <c r="A355" s="2">
        <v>217</v>
      </c>
      <c r="B355" s="10" t="s">
        <v>255</v>
      </c>
      <c r="C355" s="10" t="s">
        <v>485</v>
      </c>
      <c r="D355" s="10" t="s">
        <v>324</v>
      </c>
      <c r="E355" s="10" t="s">
        <v>6</v>
      </c>
      <c r="F355" s="10" t="s">
        <v>144</v>
      </c>
      <c r="G355" s="10" t="s">
        <v>35</v>
      </c>
      <c r="H355" s="13">
        <v>604086.36800000002</v>
      </c>
      <c r="I355" s="15">
        <f>IF(Table1[[#This Row],[Salary]]&lt;1000000,Table1[[#This Row],[Salary]]*0.05,Table1[[#This Row],[Salary]]*0.1)</f>
        <v>30204.318400000004</v>
      </c>
      <c r="J355" s="15">
        <f>Table1[[#This Row],[Salary]]+Table1[[#This Row],[Bonus]]</f>
        <v>634290.68640000001</v>
      </c>
      <c r="K355" s="25">
        <f>COUNTA(Table1[Employee_ID])</f>
        <v>1000</v>
      </c>
      <c r="L355" s="1">
        <f>SUM(Table1[Salary])</f>
        <v>3119391523.8580012</v>
      </c>
      <c r="M355" s="15">
        <f>AVERAGE(Table1[Salary])</f>
        <v>3119391.5238580015</v>
      </c>
      <c r="N355" s="29">
        <f>SUM(Table1[Bonus])</f>
        <v>308244983.02069992</v>
      </c>
    </row>
    <row r="356" spans="1:14" ht="12.75" customHeight="1" x14ac:dyDescent="0.25">
      <c r="A356" s="2">
        <v>218</v>
      </c>
      <c r="B356" s="10" t="s">
        <v>486</v>
      </c>
      <c r="C356" s="10" t="s">
        <v>487</v>
      </c>
      <c r="D356" s="10" t="s">
        <v>488</v>
      </c>
      <c r="E356" s="10" t="s">
        <v>14</v>
      </c>
      <c r="F356" s="10" t="s">
        <v>222</v>
      </c>
      <c r="G356" s="10" t="s">
        <v>29</v>
      </c>
      <c r="H356" s="13">
        <v>2247001.3560000001</v>
      </c>
      <c r="I356" s="15">
        <f>IF(Table1[[#This Row],[Salary]]&lt;1000000,Table1[[#This Row],[Salary]]*0.05,Table1[[#This Row],[Salary]]*0.1)</f>
        <v>224700.13560000004</v>
      </c>
      <c r="J356" s="15">
        <f>Table1[[#This Row],[Salary]]+Table1[[#This Row],[Bonus]]</f>
        <v>2471701.4916000003</v>
      </c>
      <c r="K356" s="25">
        <f>COUNTA(Table1[Employee_ID])</f>
        <v>1000</v>
      </c>
      <c r="L356" s="1">
        <f>SUM(Table1[Salary])</f>
        <v>3119391523.8580012</v>
      </c>
      <c r="M356" s="15">
        <f>AVERAGE(Table1[Salary])</f>
        <v>3119391.5238580015</v>
      </c>
      <c r="N356" s="29">
        <f>SUM(Table1[Bonus])</f>
        <v>308244983.02069992</v>
      </c>
    </row>
    <row r="357" spans="1:14" ht="12.75" customHeight="1" x14ac:dyDescent="0.25">
      <c r="A357" s="2">
        <v>219</v>
      </c>
      <c r="B357" s="10" t="s">
        <v>489</v>
      </c>
      <c r="C357" s="10" t="s">
        <v>490</v>
      </c>
      <c r="D357" s="10" t="s">
        <v>32</v>
      </c>
      <c r="E357" s="10" t="s">
        <v>14</v>
      </c>
      <c r="F357" s="10" t="s">
        <v>234</v>
      </c>
      <c r="G357" s="10" t="s">
        <v>23</v>
      </c>
      <c r="H357" s="13">
        <v>453857.76199999999</v>
      </c>
      <c r="I357" s="15">
        <f>IF(Table1[[#This Row],[Salary]]&lt;1000000,Table1[[#This Row],[Salary]]*0.05,Table1[[#This Row],[Salary]]*0.1)</f>
        <v>22692.8881</v>
      </c>
      <c r="J357" s="15">
        <f>Table1[[#This Row],[Salary]]+Table1[[#This Row],[Bonus]]</f>
        <v>476550.65009999997</v>
      </c>
      <c r="K357" s="25">
        <f>COUNTA(Table1[Employee_ID])</f>
        <v>1000</v>
      </c>
      <c r="L357" s="1">
        <f>SUM(Table1[Salary])</f>
        <v>3119391523.8580012</v>
      </c>
      <c r="M357" s="15">
        <f>AVERAGE(Table1[Salary])</f>
        <v>3119391.5238580015</v>
      </c>
      <c r="N357" s="29">
        <f>SUM(Table1[Bonus])</f>
        <v>308244983.02069992</v>
      </c>
    </row>
    <row r="358" spans="1:14" ht="12.75" customHeight="1" x14ac:dyDescent="0.25">
      <c r="A358" s="2">
        <v>220</v>
      </c>
      <c r="B358" s="10" t="s">
        <v>135</v>
      </c>
      <c r="C358" s="10" t="s">
        <v>491</v>
      </c>
      <c r="D358" s="10" t="s">
        <v>59</v>
      </c>
      <c r="E358" s="10" t="s">
        <v>63</v>
      </c>
      <c r="F358" s="10" t="s">
        <v>131</v>
      </c>
      <c r="G358" s="10" t="s">
        <v>23</v>
      </c>
      <c r="H358" s="13">
        <v>2738850.4720000001</v>
      </c>
      <c r="I358" s="15">
        <f>IF(Table1[[#This Row],[Salary]]&lt;1000000,Table1[[#This Row],[Salary]]*0.05,Table1[[#This Row],[Salary]]*0.1)</f>
        <v>273885.04720000003</v>
      </c>
      <c r="J358" s="15">
        <f>Table1[[#This Row],[Salary]]+Table1[[#This Row],[Bonus]]</f>
        <v>3012735.5192</v>
      </c>
      <c r="K358" s="25">
        <f>COUNTA(Table1[Employee_ID])</f>
        <v>1000</v>
      </c>
      <c r="L358" s="1">
        <f>SUM(Table1[Salary])</f>
        <v>3119391523.8580012</v>
      </c>
      <c r="M358" s="15">
        <f>AVERAGE(Table1[Salary])</f>
        <v>3119391.5238580015</v>
      </c>
      <c r="N358" s="29">
        <f>SUM(Table1[Bonus])</f>
        <v>308244983.02069992</v>
      </c>
    </row>
    <row r="359" spans="1:14" ht="12.75" customHeight="1" x14ac:dyDescent="0.25">
      <c r="A359" s="2">
        <v>221</v>
      </c>
      <c r="B359" s="10" t="s">
        <v>492</v>
      </c>
      <c r="C359" s="10" t="s">
        <v>493</v>
      </c>
      <c r="D359" s="10" t="s">
        <v>125</v>
      </c>
      <c r="E359" s="10" t="s">
        <v>33</v>
      </c>
      <c r="F359" s="10" t="s">
        <v>47</v>
      </c>
      <c r="G359" s="10" t="s">
        <v>29</v>
      </c>
      <c r="H359" s="13">
        <v>5398800.7979999995</v>
      </c>
      <c r="I359" s="15">
        <f>IF(Table1[[#This Row],[Salary]]&lt;1000000,Table1[[#This Row],[Salary]]*0.05,Table1[[#This Row],[Salary]]*0.1)</f>
        <v>539880.07979999995</v>
      </c>
      <c r="J359" s="15">
        <f>Table1[[#This Row],[Salary]]+Table1[[#This Row],[Bonus]]</f>
        <v>5938680.877799999</v>
      </c>
      <c r="K359" s="25">
        <f>COUNTA(Table1[Employee_ID])</f>
        <v>1000</v>
      </c>
      <c r="L359" s="1">
        <f>SUM(Table1[Salary])</f>
        <v>3119391523.8580012</v>
      </c>
      <c r="M359" s="15">
        <f>AVERAGE(Table1[Salary])</f>
        <v>3119391.5238580015</v>
      </c>
      <c r="N359" s="29">
        <f>SUM(Table1[Bonus])</f>
        <v>308244983.02069992</v>
      </c>
    </row>
    <row r="360" spans="1:14" ht="12.75" customHeight="1" x14ac:dyDescent="0.25">
      <c r="A360" s="2">
        <v>222</v>
      </c>
      <c r="B360" s="10" t="s">
        <v>494</v>
      </c>
      <c r="C360" s="10" t="s">
        <v>495</v>
      </c>
      <c r="D360" s="10" t="s">
        <v>77</v>
      </c>
      <c r="E360" s="10" t="s">
        <v>27</v>
      </c>
      <c r="F360" s="10" t="s">
        <v>85</v>
      </c>
      <c r="G360" s="10" t="s">
        <v>56</v>
      </c>
      <c r="H360" s="13">
        <v>3119127.38</v>
      </c>
      <c r="I360" s="15">
        <f>IF(Table1[[#This Row],[Salary]]&lt;1000000,Table1[[#This Row],[Salary]]*0.05,Table1[[#This Row],[Salary]]*0.1)</f>
        <v>311912.73800000001</v>
      </c>
      <c r="J360" s="15">
        <f>Table1[[#This Row],[Salary]]+Table1[[#This Row],[Bonus]]</f>
        <v>3431040.1179999998</v>
      </c>
      <c r="K360" s="25">
        <f>COUNTA(Table1[Employee_ID])</f>
        <v>1000</v>
      </c>
      <c r="L360" s="1">
        <f>SUM(Table1[Salary])</f>
        <v>3119391523.8580012</v>
      </c>
      <c r="M360" s="15">
        <f>AVERAGE(Table1[Salary])</f>
        <v>3119391.5238580015</v>
      </c>
      <c r="N360" s="29">
        <f>SUM(Table1[Bonus])</f>
        <v>308244983.02069992</v>
      </c>
    </row>
    <row r="361" spans="1:14" ht="12.75" customHeight="1" x14ac:dyDescent="0.25">
      <c r="A361" s="2">
        <v>223</v>
      </c>
      <c r="B361" s="10" t="s">
        <v>412</v>
      </c>
      <c r="C361" s="10" t="s">
        <v>496</v>
      </c>
      <c r="D361" s="10" t="s">
        <v>128</v>
      </c>
      <c r="E361" s="10" t="s">
        <v>14</v>
      </c>
      <c r="F361" s="10" t="s">
        <v>51</v>
      </c>
      <c r="G361" s="10" t="s">
        <v>29</v>
      </c>
      <c r="H361" s="13">
        <v>1424054.88</v>
      </c>
      <c r="I361" s="15">
        <f>IF(Table1[[#This Row],[Salary]]&lt;1000000,Table1[[#This Row],[Salary]]*0.05,Table1[[#This Row],[Salary]]*0.1)</f>
        <v>142405.48799999998</v>
      </c>
      <c r="J361" s="15">
        <f>Table1[[#This Row],[Salary]]+Table1[[#This Row],[Bonus]]</f>
        <v>1566460.3679999998</v>
      </c>
      <c r="K361" s="25">
        <f>COUNTA(Table1[Employee_ID])</f>
        <v>1000</v>
      </c>
      <c r="L361" s="1">
        <f>SUM(Table1[Salary])</f>
        <v>3119391523.8580012</v>
      </c>
      <c r="M361" s="15">
        <f>AVERAGE(Table1[Salary])</f>
        <v>3119391.5238580015</v>
      </c>
      <c r="N361" s="29">
        <f>SUM(Table1[Bonus])</f>
        <v>308244983.02069992</v>
      </c>
    </row>
    <row r="362" spans="1:14" ht="12.75" customHeight="1" x14ac:dyDescent="0.25">
      <c r="A362" s="2">
        <v>224</v>
      </c>
      <c r="B362" s="10" t="s">
        <v>497</v>
      </c>
      <c r="C362" s="10" t="s">
        <v>498</v>
      </c>
      <c r="D362" s="10" t="s">
        <v>377</v>
      </c>
      <c r="E362" s="10" t="s">
        <v>63</v>
      </c>
      <c r="F362" s="10" t="s">
        <v>64</v>
      </c>
      <c r="G362" s="10" t="s">
        <v>71</v>
      </c>
      <c r="H362" s="13">
        <v>3741307.3120000004</v>
      </c>
      <c r="I362" s="15">
        <f>IF(Table1[[#This Row],[Salary]]&lt;1000000,Table1[[#This Row],[Salary]]*0.05,Table1[[#This Row],[Salary]]*0.1)</f>
        <v>374130.73120000004</v>
      </c>
      <c r="J362" s="15">
        <f>Table1[[#This Row],[Salary]]+Table1[[#This Row],[Bonus]]</f>
        <v>4115438.0432000002</v>
      </c>
      <c r="K362" s="25">
        <f>COUNTA(Table1[Employee_ID])</f>
        <v>1000</v>
      </c>
      <c r="L362" s="1">
        <f>SUM(Table1[Salary])</f>
        <v>3119391523.8580012</v>
      </c>
      <c r="M362" s="15">
        <f>AVERAGE(Table1[Salary])</f>
        <v>3119391.5238580015</v>
      </c>
      <c r="N362" s="29">
        <f>SUM(Table1[Bonus])</f>
        <v>308244983.02069992</v>
      </c>
    </row>
    <row r="363" spans="1:14" ht="12.75" customHeight="1" x14ac:dyDescent="0.25">
      <c r="A363" s="2">
        <v>225</v>
      </c>
      <c r="B363" s="10" t="s">
        <v>163</v>
      </c>
      <c r="C363" s="10" t="s">
        <v>499</v>
      </c>
      <c r="D363" s="10" t="s">
        <v>140</v>
      </c>
      <c r="E363" s="10" t="s">
        <v>27</v>
      </c>
      <c r="F363" s="10" t="s">
        <v>106</v>
      </c>
      <c r="G363" s="10" t="s">
        <v>23</v>
      </c>
      <c r="H363" s="13">
        <v>3708372.4760000003</v>
      </c>
      <c r="I363" s="15">
        <f>IF(Table1[[#This Row],[Salary]]&lt;1000000,Table1[[#This Row],[Salary]]*0.05,Table1[[#This Row],[Salary]]*0.1)</f>
        <v>370837.24760000006</v>
      </c>
      <c r="J363" s="15">
        <f>Table1[[#This Row],[Salary]]+Table1[[#This Row],[Bonus]]</f>
        <v>4079209.7236000001</v>
      </c>
      <c r="K363" s="25">
        <f>COUNTA(Table1[Employee_ID])</f>
        <v>1000</v>
      </c>
      <c r="L363" s="1">
        <f>SUM(Table1[Salary])</f>
        <v>3119391523.8580012</v>
      </c>
      <c r="M363" s="15">
        <f>AVERAGE(Table1[Salary])</f>
        <v>3119391.5238580015</v>
      </c>
      <c r="N363" s="29">
        <f>SUM(Table1[Bonus])</f>
        <v>308244983.02069992</v>
      </c>
    </row>
    <row r="364" spans="1:14" ht="12.75" customHeight="1" x14ac:dyDescent="0.25">
      <c r="A364" s="2">
        <v>226</v>
      </c>
      <c r="B364" s="10" t="s">
        <v>500</v>
      </c>
      <c r="C364" s="10" t="s">
        <v>501</v>
      </c>
      <c r="D364" s="10" t="s">
        <v>32</v>
      </c>
      <c r="E364" s="10" t="s">
        <v>13</v>
      </c>
      <c r="F364" s="10" t="s">
        <v>43</v>
      </c>
      <c r="G364" s="10" t="s">
        <v>56</v>
      </c>
      <c r="H364" s="13">
        <v>2816180.7579999999</v>
      </c>
      <c r="I364" s="15">
        <f>IF(Table1[[#This Row],[Salary]]&lt;1000000,Table1[[#This Row],[Salary]]*0.05,Table1[[#This Row],[Salary]]*0.1)</f>
        <v>281618.07579999999</v>
      </c>
      <c r="J364" s="15">
        <f>Table1[[#This Row],[Salary]]+Table1[[#This Row],[Bonus]]</f>
        <v>3097798.8338000001</v>
      </c>
      <c r="K364" s="25">
        <f>COUNTA(Table1[Employee_ID])</f>
        <v>1000</v>
      </c>
      <c r="L364" s="1">
        <f>SUM(Table1[Salary])</f>
        <v>3119391523.8580012</v>
      </c>
      <c r="M364" s="15">
        <f>AVERAGE(Table1[Salary])</f>
        <v>3119391.5238580015</v>
      </c>
      <c r="N364" s="29">
        <f>SUM(Table1[Bonus])</f>
        <v>308244983.02069992</v>
      </c>
    </row>
    <row r="365" spans="1:14" ht="12.75" customHeight="1" x14ac:dyDescent="0.25">
      <c r="A365" s="2">
        <v>227</v>
      </c>
      <c r="B365" s="10" t="s">
        <v>502</v>
      </c>
      <c r="C365" s="10" t="s">
        <v>352</v>
      </c>
      <c r="D365" s="10" t="s">
        <v>316</v>
      </c>
      <c r="E365" s="10" t="s">
        <v>39</v>
      </c>
      <c r="F365" s="10" t="s">
        <v>186</v>
      </c>
      <c r="G365" s="10" t="s">
        <v>71</v>
      </c>
      <c r="H365" s="13">
        <v>1045406.8740000001</v>
      </c>
      <c r="I365" s="15">
        <f>IF(Table1[[#This Row],[Salary]]&lt;1000000,Table1[[#This Row],[Salary]]*0.05,Table1[[#This Row],[Salary]]*0.1)</f>
        <v>104540.68740000001</v>
      </c>
      <c r="J365" s="15">
        <f>Table1[[#This Row],[Salary]]+Table1[[#This Row],[Bonus]]</f>
        <v>1149947.5614</v>
      </c>
      <c r="K365" s="25">
        <f>COUNTA(Table1[Employee_ID])</f>
        <v>1000</v>
      </c>
      <c r="L365" s="1">
        <f>SUM(Table1[Salary])</f>
        <v>3119391523.8580012</v>
      </c>
      <c r="M365" s="15">
        <f>AVERAGE(Table1[Salary])</f>
        <v>3119391.5238580015</v>
      </c>
      <c r="N365" s="29">
        <f>SUM(Table1[Bonus])</f>
        <v>308244983.02069992</v>
      </c>
    </row>
    <row r="366" spans="1:14" ht="12.75" customHeight="1" x14ac:dyDescent="0.25">
      <c r="A366" s="2">
        <v>228</v>
      </c>
      <c r="B366" s="10" t="s">
        <v>503</v>
      </c>
      <c r="C366" s="10" t="s">
        <v>504</v>
      </c>
      <c r="D366" s="10" t="s">
        <v>174</v>
      </c>
      <c r="E366" s="10" t="s">
        <v>39</v>
      </c>
      <c r="F366" s="10" t="s">
        <v>189</v>
      </c>
      <c r="G366" s="10" t="s">
        <v>29</v>
      </c>
      <c r="H366" s="13">
        <v>2884664.602</v>
      </c>
      <c r="I366" s="15">
        <f>IF(Table1[[#This Row],[Salary]]&lt;1000000,Table1[[#This Row],[Salary]]*0.05,Table1[[#This Row],[Salary]]*0.1)</f>
        <v>288466.46020000003</v>
      </c>
      <c r="J366" s="15">
        <f>Table1[[#This Row],[Salary]]+Table1[[#This Row],[Bonus]]</f>
        <v>3173131.0622</v>
      </c>
      <c r="K366" s="25">
        <f>COUNTA(Table1[Employee_ID])</f>
        <v>1000</v>
      </c>
      <c r="L366" s="1">
        <f>SUM(Table1[Salary])</f>
        <v>3119391523.8580012</v>
      </c>
      <c r="M366" s="15">
        <f>AVERAGE(Table1[Salary])</f>
        <v>3119391.5238580015</v>
      </c>
      <c r="N366" s="29">
        <f>SUM(Table1[Bonus])</f>
        <v>308244983.02069992</v>
      </c>
    </row>
    <row r="367" spans="1:14" ht="12.75" customHeight="1" x14ac:dyDescent="0.25">
      <c r="A367" s="2">
        <v>231</v>
      </c>
      <c r="B367" s="10" t="s">
        <v>508</v>
      </c>
      <c r="C367" s="10" t="s">
        <v>509</v>
      </c>
      <c r="D367" s="10" t="s">
        <v>46</v>
      </c>
      <c r="E367" s="10" t="s">
        <v>14</v>
      </c>
      <c r="F367" s="10" t="s">
        <v>222</v>
      </c>
      <c r="G367" s="10" t="s">
        <v>35</v>
      </c>
      <c r="H367" s="13">
        <v>4488517.4240000006</v>
      </c>
      <c r="I367" s="15">
        <f>IF(Table1[[#This Row],[Salary]]&lt;1000000,Table1[[#This Row],[Salary]]*0.05,Table1[[#This Row],[Salary]]*0.1)</f>
        <v>448851.7424000001</v>
      </c>
      <c r="J367" s="15">
        <f>Table1[[#This Row],[Salary]]+Table1[[#This Row],[Bonus]]</f>
        <v>4937369.1664000005</v>
      </c>
      <c r="K367" s="25">
        <f>COUNTA(Table1[Employee_ID])</f>
        <v>1000</v>
      </c>
      <c r="L367" s="1">
        <f>SUM(Table1[Salary])</f>
        <v>3119391523.8580012</v>
      </c>
      <c r="M367" s="15">
        <f>AVERAGE(Table1[Salary])</f>
        <v>3119391.5238580015</v>
      </c>
      <c r="N367" s="29">
        <f>SUM(Table1[Bonus])</f>
        <v>308244983.02069992</v>
      </c>
    </row>
    <row r="368" spans="1:14" ht="12.75" customHeight="1" x14ac:dyDescent="0.25">
      <c r="A368" s="2">
        <v>233</v>
      </c>
      <c r="B368" s="10" t="s">
        <v>512</v>
      </c>
      <c r="C368" s="10" t="s">
        <v>513</v>
      </c>
      <c r="D368" s="10" t="s">
        <v>377</v>
      </c>
      <c r="E368" s="10" t="s">
        <v>2</v>
      </c>
      <c r="F368" s="10" t="s">
        <v>74</v>
      </c>
      <c r="G368" s="10" t="s">
        <v>35</v>
      </c>
      <c r="H368" s="13">
        <v>5931946.1359999999</v>
      </c>
      <c r="I368" s="15">
        <f>IF(Table1[[#This Row],[Salary]]&lt;1000000,Table1[[#This Row],[Salary]]*0.05,Table1[[#This Row],[Salary]]*0.1)</f>
        <v>593194.61360000004</v>
      </c>
      <c r="J368" s="15">
        <f>Table1[[#This Row],[Salary]]+Table1[[#This Row],[Bonus]]</f>
        <v>6525140.7495999997</v>
      </c>
      <c r="K368" s="25">
        <f>COUNTA(Table1[Employee_ID])</f>
        <v>1000</v>
      </c>
      <c r="L368" s="1">
        <f>SUM(Table1[Salary])</f>
        <v>3119391523.8580012</v>
      </c>
      <c r="M368" s="15">
        <f>AVERAGE(Table1[Salary])</f>
        <v>3119391.5238580015</v>
      </c>
      <c r="N368" s="29">
        <f>SUM(Table1[Bonus])</f>
        <v>308244983.02069992</v>
      </c>
    </row>
    <row r="369" spans="1:14" ht="12.75" customHeight="1" x14ac:dyDescent="0.25">
      <c r="A369" s="2">
        <v>234</v>
      </c>
      <c r="B369" s="10" t="s">
        <v>514</v>
      </c>
      <c r="C369" s="10" t="s">
        <v>515</v>
      </c>
      <c r="D369" s="10" t="s">
        <v>159</v>
      </c>
      <c r="E369" s="10" t="s">
        <v>10</v>
      </c>
      <c r="F369" s="10" t="s">
        <v>109</v>
      </c>
      <c r="G369" s="10" t="s">
        <v>56</v>
      </c>
      <c r="H369" s="13">
        <v>5135278.9679999994</v>
      </c>
      <c r="I369" s="15">
        <f>IF(Table1[[#This Row],[Salary]]&lt;1000000,Table1[[#This Row],[Salary]]*0.05,Table1[[#This Row],[Salary]]*0.1)</f>
        <v>513527.89679999999</v>
      </c>
      <c r="J369" s="15">
        <f>Table1[[#This Row],[Salary]]+Table1[[#This Row],[Bonus]]</f>
        <v>5648806.8647999996</v>
      </c>
      <c r="K369" s="25">
        <f>COUNTA(Table1[Employee_ID])</f>
        <v>1000</v>
      </c>
      <c r="L369" s="1">
        <f>SUM(Table1[Salary])</f>
        <v>3119391523.8580012</v>
      </c>
      <c r="M369" s="15">
        <f>AVERAGE(Table1[Salary])</f>
        <v>3119391.5238580015</v>
      </c>
      <c r="N369" s="29">
        <f>SUM(Table1[Bonus])</f>
        <v>308244983.02069992</v>
      </c>
    </row>
    <row r="370" spans="1:14" ht="12.75" customHeight="1" x14ac:dyDescent="0.25">
      <c r="A370" s="2">
        <v>235</v>
      </c>
      <c r="B370" s="10" t="s">
        <v>516</v>
      </c>
      <c r="C370" s="10" t="s">
        <v>517</v>
      </c>
      <c r="D370" s="10" t="s">
        <v>377</v>
      </c>
      <c r="E370" s="10" t="s">
        <v>10</v>
      </c>
      <c r="F370" s="10" t="s">
        <v>131</v>
      </c>
      <c r="G370" s="10" t="s">
        <v>56</v>
      </c>
      <c r="H370" s="13">
        <v>5507144.352</v>
      </c>
      <c r="I370" s="15">
        <f>IF(Table1[[#This Row],[Salary]]&lt;1000000,Table1[[#This Row],[Salary]]*0.05,Table1[[#This Row],[Salary]]*0.1)</f>
        <v>550714.43520000007</v>
      </c>
      <c r="J370" s="15">
        <f>Table1[[#This Row],[Salary]]+Table1[[#This Row],[Bonus]]</f>
        <v>6057858.7872000001</v>
      </c>
      <c r="K370" s="25">
        <f>COUNTA(Table1[Employee_ID])</f>
        <v>1000</v>
      </c>
      <c r="L370" s="1">
        <f>SUM(Table1[Salary])</f>
        <v>3119391523.8580012</v>
      </c>
      <c r="M370" s="15">
        <f>AVERAGE(Table1[Salary])</f>
        <v>3119391.5238580015</v>
      </c>
      <c r="N370" s="29">
        <f>SUM(Table1[Bonus])</f>
        <v>308244983.02069992</v>
      </c>
    </row>
    <row r="371" spans="1:14" ht="12.75" customHeight="1" x14ac:dyDescent="0.25">
      <c r="A371" s="2">
        <v>236</v>
      </c>
      <c r="B371" s="10" t="s">
        <v>518</v>
      </c>
      <c r="C371" s="10" t="s">
        <v>519</v>
      </c>
      <c r="D371" s="10" t="s">
        <v>156</v>
      </c>
      <c r="E371" s="10" t="s">
        <v>63</v>
      </c>
      <c r="F371" s="10" t="s">
        <v>113</v>
      </c>
      <c r="G371" s="10" t="s">
        <v>29</v>
      </c>
      <c r="H371" s="13">
        <v>725331.71199999994</v>
      </c>
      <c r="I371" s="15">
        <f>IF(Table1[[#This Row],[Salary]]&lt;1000000,Table1[[#This Row],[Salary]]*0.05,Table1[[#This Row],[Salary]]*0.1)</f>
        <v>36266.585599999999</v>
      </c>
      <c r="J371" s="15">
        <f>Table1[[#This Row],[Salary]]+Table1[[#This Row],[Bonus]]</f>
        <v>761598.29759999993</v>
      </c>
      <c r="K371" s="25">
        <f>COUNTA(Table1[Employee_ID])</f>
        <v>1000</v>
      </c>
      <c r="L371" s="1">
        <f>SUM(Table1[Salary])</f>
        <v>3119391523.8580012</v>
      </c>
      <c r="M371" s="15">
        <f>AVERAGE(Table1[Salary])</f>
        <v>3119391.5238580015</v>
      </c>
      <c r="N371" s="29">
        <f>SUM(Table1[Bonus])</f>
        <v>308244983.02069992</v>
      </c>
    </row>
    <row r="372" spans="1:14" ht="12.75" customHeight="1" x14ac:dyDescent="0.25">
      <c r="A372" s="2">
        <v>238</v>
      </c>
      <c r="B372" s="10" t="s">
        <v>521</v>
      </c>
      <c r="C372" s="10" t="s">
        <v>522</v>
      </c>
      <c r="D372" s="10" t="s">
        <v>125</v>
      </c>
      <c r="E372" s="10" t="s">
        <v>33</v>
      </c>
      <c r="F372" s="10" t="s">
        <v>55</v>
      </c>
      <c r="G372" s="10" t="s">
        <v>71</v>
      </c>
      <c r="H372" s="13">
        <v>4647844.3279999997</v>
      </c>
      <c r="I372" s="15">
        <f>IF(Table1[[#This Row],[Salary]]&lt;1000000,Table1[[#This Row],[Salary]]*0.05,Table1[[#This Row],[Salary]]*0.1)</f>
        <v>464784.43280000001</v>
      </c>
      <c r="J372" s="15">
        <f>Table1[[#This Row],[Salary]]+Table1[[#This Row],[Bonus]]</f>
        <v>5112628.7607999993</v>
      </c>
      <c r="K372" s="25">
        <f>COUNTA(Table1[Employee_ID])</f>
        <v>1000</v>
      </c>
      <c r="L372" s="1">
        <f>SUM(Table1[Salary])</f>
        <v>3119391523.8580012</v>
      </c>
      <c r="M372" s="15">
        <f>AVERAGE(Table1[Salary])</f>
        <v>3119391.5238580015</v>
      </c>
      <c r="N372" s="29">
        <f>SUM(Table1[Bonus])</f>
        <v>308244983.02069992</v>
      </c>
    </row>
    <row r="373" spans="1:14" ht="12.75" customHeight="1" x14ac:dyDescent="0.25">
      <c r="A373" s="2">
        <v>239</v>
      </c>
      <c r="B373" s="10" t="s">
        <v>523</v>
      </c>
      <c r="C373" s="10" t="s">
        <v>195</v>
      </c>
      <c r="D373" s="10" t="s">
        <v>128</v>
      </c>
      <c r="E373" s="10" t="s">
        <v>27</v>
      </c>
      <c r="F373" s="10" t="s">
        <v>28</v>
      </c>
      <c r="G373" s="10" t="s">
        <v>71</v>
      </c>
      <c r="H373" s="13">
        <v>4969534.4000000004</v>
      </c>
      <c r="I373" s="15">
        <f>IF(Table1[[#This Row],[Salary]]&lt;1000000,Table1[[#This Row],[Salary]]*0.05,Table1[[#This Row],[Salary]]*0.1)</f>
        <v>496953.44000000006</v>
      </c>
      <c r="J373" s="15">
        <f>Table1[[#This Row],[Salary]]+Table1[[#This Row],[Bonus]]</f>
        <v>5466487.8400000008</v>
      </c>
      <c r="K373" s="25">
        <f>COUNTA(Table1[Employee_ID])</f>
        <v>1000</v>
      </c>
      <c r="L373" s="1">
        <f>SUM(Table1[Salary])</f>
        <v>3119391523.8580012</v>
      </c>
      <c r="M373" s="15">
        <f>AVERAGE(Table1[Salary])</f>
        <v>3119391.5238580015</v>
      </c>
      <c r="N373" s="29">
        <f>SUM(Table1[Bonus])</f>
        <v>308244983.02069992</v>
      </c>
    </row>
    <row r="374" spans="1:14" ht="12.75" customHeight="1" x14ac:dyDescent="0.25">
      <c r="A374" s="2">
        <v>240</v>
      </c>
      <c r="B374" s="10" t="s">
        <v>524</v>
      </c>
      <c r="C374" s="10" t="s">
        <v>525</v>
      </c>
      <c r="D374" s="10" t="s">
        <v>125</v>
      </c>
      <c r="E374" s="10" t="s">
        <v>27</v>
      </c>
      <c r="F374" s="10" t="s">
        <v>85</v>
      </c>
      <c r="G374" s="10" t="s">
        <v>29</v>
      </c>
      <c r="H374" s="13">
        <v>1488602.308</v>
      </c>
      <c r="I374" s="15">
        <f>IF(Table1[[#This Row],[Salary]]&lt;1000000,Table1[[#This Row],[Salary]]*0.05,Table1[[#This Row],[Salary]]*0.1)</f>
        <v>148860.23079999999</v>
      </c>
      <c r="J374" s="15">
        <f>Table1[[#This Row],[Salary]]+Table1[[#This Row],[Bonus]]</f>
        <v>1637462.5388</v>
      </c>
      <c r="K374" s="25">
        <f>COUNTA(Table1[Employee_ID])</f>
        <v>1000</v>
      </c>
      <c r="L374" s="1">
        <f>SUM(Table1[Salary])</f>
        <v>3119391523.8580012</v>
      </c>
      <c r="M374" s="15">
        <f>AVERAGE(Table1[Salary])</f>
        <v>3119391.5238580015</v>
      </c>
      <c r="N374" s="29">
        <f>SUM(Table1[Bonus])</f>
        <v>308244983.02069992</v>
      </c>
    </row>
    <row r="375" spans="1:14" ht="12.75" customHeight="1" x14ac:dyDescent="0.25">
      <c r="A375" s="2">
        <v>242</v>
      </c>
      <c r="B375" s="10" t="s">
        <v>528</v>
      </c>
      <c r="C375" s="10" t="s">
        <v>529</v>
      </c>
      <c r="D375" s="10" t="s">
        <v>137</v>
      </c>
      <c r="E375" s="10" t="s">
        <v>27</v>
      </c>
      <c r="F375" s="10" t="s">
        <v>106</v>
      </c>
      <c r="G375" s="10" t="s">
        <v>56</v>
      </c>
      <c r="H375" s="13">
        <v>2153147.6839999999</v>
      </c>
      <c r="I375" s="15">
        <f>IF(Table1[[#This Row],[Salary]]&lt;1000000,Table1[[#This Row],[Salary]]*0.05,Table1[[#This Row],[Salary]]*0.1)</f>
        <v>215314.7684</v>
      </c>
      <c r="J375" s="15">
        <f>Table1[[#This Row],[Salary]]+Table1[[#This Row],[Bonus]]</f>
        <v>2368462.4523999998</v>
      </c>
      <c r="K375" s="25">
        <f>COUNTA(Table1[Employee_ID])</f>
        <v>1000</v>
      </c>
      <c r="L375" s="1">
        <f>SUM(Table1[Salary])</f>
        <v>3119391523.8580012</v>
      </c>
      <c r="M375" s="15">
        <f>AVERAGE(Table1[Salary])</f>
        <v>3119391.5238580015</v>
      </c>
      <c r="N375" s="29">
        <f>SUM(Table1[Bonus])</f>
        <v>308244983.02069992</v>
      </c>
    </row>
    <row r="376" spans="1:14" ht="12.75" customHeight="1" x14ac:dyDescent="0.25">
      <c r="A376" s="2">
        <v>244</v>
      </c>
      <c r="B376" s="10" t="s">
        <v>532</v>
      </c>
      <c r="C376" s="10" t="s">
        <v>533</v>
      </c>
      <c r="D376" s="10" t="s">
        <v>143</v>
      </c>
      <c r="E376" s="10" t="s">
        <v>39</v>
      </c>
      <c r="F376" s="10" t="s">
        <v>40</v>
      </c>
      <c r="G376" s="10" t="s">
        <v>56</v>
      </c>
      <c r="H376" s="13">
        <v>906416.17599999998</v>
      </c>
      <c r="I376" s="15">
        <f>IF(Table1[[#This Row],[Salary]]&lt;1000000,Table1[[#This Row],[Salary]]*0.05,Table1[[#This Row],[Salary]]*0.1)</f>
        <v>45320.808799999999</v>
      </c>
      <c r="J376" s="15">
        <f>Table1[[#This Row],[Salary]]+Table1[[#This Row],[Bonus]]</f>
        <v>951736.98479999998</v>
      </c>
      <c r="K376" s="25">
        <f>COUNTA(Table1[Employee_ID])</f>
        <v>1000</v>
      </c>
      <c r="L376" s="1">
        <f>SUM(Table1[Salary])</f>
        <v>3119391523.8580012</v>
      </c>
      <c r="M376" s="15">
        <f>AVERAGE(Table1[Salary])</f>
        <v>3119391.5238580015</v>
      </c>
      <c r="N376" s="29">
        <f>SUM(Table1[Bonus])</f>
        <v>308244983.02069992</v>
      </c>
    </row>
    <row r="377" spans="1:14" ht="12.75" customHeight="1" x14ac:dyDescent="0.25">
      <c r="A377" s="2">
        <v>245</v>
      </c>
      <c r="B377" s="10" t="s">
        <v>534</v>
      </c>
      <c r="C377" s="10" t="s">
        <v>535</v>
      </c>
      <c r="D377" s="10" t="s">
        <v>146</v>
      </c>
      <c r="E377" s="10" t="s">
        <v>63</v>
      </c>
      <c r="F377" s="10" t="s">
        <v>131</v>
      </c>
      <c r="G377" s="10" t="s">
        <v>56</v>
      </c>
      <c r="H377" s="13">
        <v>1432591.1660000002</v>
      </c>
      <c r="I377" s="15">
        <f>IF(Table1[[#This Row],[Salary]]&lt;1000000,Table1[[#This Row],[Salary]]*0.05,Table1[[#This Row],[Salary]]*0.1)</f>
        <v>143259.11660000004</v>
      </c>
      <c r="J377" s="15">
        <f>Table1[[#This Row],[Salary]]+Table1[[#This Row],[Bonus]]</f>
        <v>1575850.2826000003</v>
      </c>
      <c r="K377" s="25">
        <f>COUNTA(Table1[Employee_ID])</f>
        <v>1000</v>
      </c>
      <c r="L377" s="1">
        <f>SUM(Table1[Salary])</f>
        <v>3119391523.8580012</v>
      </c>
      <c r="M377" s="15">
        <f>AVERAGE(Table1[Salary])</f>
        <v>3119391.5238580015</v>
      </c>
      <c r="N377" s="29">
        <f>SUM(Table1[Bonus])</f>
        <v>308244983.02069992</v>
      </c>
    </row>
    <row r="378" spans="1:14" ht="12.75" customHeight="1" x14ac:dyDescent="0.25">
      <c r="A378" s="2">
        <v>246</v>
      </c>
      <c r="B378" s="10" t="s">
        <v>536</v>
      </c>
      <c r="C378" s="10" t="s">
        <v>537</v>
      </c>
      <c r="D378" s="10" t="s">
        <v>149</v>
      </c>
      <c r="E378" s="10" t="s">
        <v>33</v>
      </c>
      <c r="F378" s="10" t="s">
        <v>34</v>
      </c>
      <c r="G378" s="10" t="s">
        <v>23</v>
      </c>
      <c r="H378" s="13">
        <v>3196588.2579999999</v>
      </c>
      <c r="I378" s="15">
        <f>IF(Table1[[#This Row],[Salary]]&lt;1000000,Table1[[#This Row],[Salary]]*0.05,Table1[[#This Row],[Salary]]*0.1)</f>
        <v>319658.82579999999</v>
      </c>
      <c r="J378" s="15">
        <f>Table1[[#This Row],[Salary]]+Table1[[#This Row],[Bonus]]</f>
        <v>3516247.0838000001</v>
      </c>
      <c r="K378" s="25">
        <f>COUNTA(Table1[Employee_ID])</f>
        <v>1000</v>
      </c>
      <c r="L378" s="1">
        <f>SUM(Table1[Salary])</f>
        <v>3119391523.8580012</v>
      </c>
      <c r="M378" s="15">
        <f>AVERAGE(Table1[Salary])</f>
        <v>3119391.5238580015</v>
      </c>
      <c r="N378" s="29">
        <f>SUM(Table1[Bonus])</f>
        <v>308244983.02069992</v>
      </c>
    </row>
    <row r="379" spans="1:14" ht="12.75" customHeight="1" x14ac:dyDescent="0.25">
      <c r="A379" s="2">
        <v>247</v>
      </c>
      <c r="B379" s="10" t="s">
        <v>538</v>
      </c>
      <c r="C379" s="10" t="s">
        <v>539</v>
      </c>
      <c r="D379" s="10" t="s">
        <v>88</v>
      </c>
      <c r="E379" s="10" t="s">
        <v>27</v>
      </c>
      <c r="F379" s="10" t="s">
        <v>28</v>
      </c>
      <c r="G379" s="10" t="s">
        <v>23</v>
      </c>
      <c r="H379" s="13">
        <v>2523983.4900000002</v>
      </c>
      <c r="I379" s="15">
        <f>IF(Table1[[#This Row],[Salary]]&lt;1000000,Table1[[#This Row],[Salary]]*0.05,Table1[[#This Row],[Salary]]*0.1)</f>
        <v>252398.34900000005</v>
      </c>
      <c r="J379" s="15">
        <f>Table1[[#This Row],[Salary]]+Table1[[#This Row],[Bonus]]</f>
        <v>2776381.8390000002</v>
      </c>
      <c r="K379" s="25">
        <f>COUNTA(Table1[Employee_ID])</f>
        <v>1000</v>
      </c>
      <c r="L379" s="1">
        <f>SUM(Table1[Salary])</f>
        <v>3119391523.8580012</v>
      </c>
      <c r="M379" s="15">
        <f>AVERAGE(Table1[Salary])</f>
        <v>3119391.5238580015</v>
      </c>
      <c r="N379" s="29">
        <f>SUM(Table1[Bonus])</f>
        <v>308244983.02069992</v>
      </c>
    </row>
    <row r="380" spans="1:14" ht="12.75" customHeight="1" x14ac:dyDescent="0.25">
      <c r="A380" s="2">
        <v>251</v>
      </c>
      <c r="B380" s="10" t="s">
        <v>545</v>
      </c>
      <c r="C380" s="10" t="s">
        <v>546</v>
      </c>
      <c r="D380" s="10" t="s">
        <v>162</v>
      </c>
      <c r="E380" s="10" t="s">
        <v>27</v>
      </c>
      <c r="F380" s="10" t="s">
        <v>85</v>
      </c>
      <c r="G380" s="10" t="s">
        <v>71</v>
      </c>
      <c r="H380" s="13">
        <v>2741293.2420000001</v>
      </c>
      <c r="I380" s="15">
        <f>IF(Table1[[#This Row],[Salary]]&lt;1000000,Table1[[#This Row],[Salary]]*0.05,Table1[[#This Row],[Salary]]*0.1)</f>
        <v>274129.32420000003</v>
      </c>
      <c r="J380" s="15">
        <f>Table1[[#This Row],[Salary]]+Table1[[#This Row],[Bonus]]</f>
        <v>3015422.5662000002</v>
      </c>
      <c r="K380" s="25">
        <f>COUNTA(Table1[Employee_ID])</f>
        <v>1000</v>
      </c>
      <c r="L380" s="1">
        <f>SUM(Table1[Salary])</f>
        <v>3119391523.8580012</v>
      </c>
      <c r="M380" s="15">
        <f>AVERAGE(Table1[Salary])</f>
        <v>3119391.5238580015</v>
      </c>
      <c r="N380" s="29">
        <f>SUM(Table1[Bonus])</f>
        <v>308244983.02069992</v>
      </c>
    </row>
    <row r="381" spans="1:14" ht="12.75" customHeight="1" x14ac:dyDescent="0.25">
      <c r="A381" s="2">
        <v>254</v>
      </c>
      <c r="B381" s="10" t="s">
        <v>549</v>
      </c>
      <c r="C381" s="10" t="s">
        <v>550</v>
      </c>
      <c r="D381" s="10" t="s">
        <v>21</v>
      </c>
      <c r="E381" s="10" t="s">
        <v>27</v>
      </c>
      <c r="F381" s="10" t="s">
        <v>106</v>
      </c>
      <c r="G381" s="10" t="s">
        <v>29</v>
      </c>
      <c r="H381" s="13">
        <v>5742990.0059999991</v>
      </c>
      <c r="I381" s="15">
        <f>IF(Table1[[#This Row],[Salary]]&lt;1000000,Table1[[#This Row],[Salary]]*0.05,Table1[[#This Row],[Salary]]*0.1)</f>
        <v>574299.00059999991</v>
      </c>
      <c r="J381" s="15">
        <f>Table1[[#This Row],[Salary]]+Table1[[#This Row],[Bonus]]</f>
        <v>6317289.006599999</v>
      </c>
      <c r="K381" s="25">
        <f>COUNTA(Table1[Employee_ID])</f>
        <v>1000</v>
      </c>
      <c r="L381" s="1">
        <f>SUM(Table1[Salary])</f>
        <v>3119391523.8580012</v>
      </c>
      <c r="M381" s="15">
        <f>AVERAGE(Table1[Salary])</f>
        <v>3119391.5238580015</v>
      </c>
      <c r="N381" s="29">
        <f>SUM(Table1[Bonus])</f>
        <v>308244983.02069992</v>
      </c>
    </row>
    <row r="382" spans="1:14" ht="12.75" customHeight="1" x14ac:dyDescent="0.25">
      <c r="A382" s="2">
        <v>255</v>
      </c>
      <c r="B382" s="10" t="s">
        <v>551</v>
      </c>
      <c r="C382" s="10" t="s">
        <v>552</v>
      </c>
      <c r="D382" s="10" t="s">
        <v>128</v>
      </c>
      <c r="E382" s="10" t="s">
        <v>10</v>
      </c>
      <c r="F382" s="10" t="s">
        <v>78</v>
      </c>
      <c r="G382" s="10" t="s">
        <v>23</v>
      </c>
      <c r="H382" s="13">
        <v>1076418.976</v>
      </c>
      <c r="I382" s="15">
        <f>IF(Table1[[#This Row],[Salary]]&lt;1000000,Table1[[#This Row],[Salary]]*0.05,Table1[[#This Row],[Salary]]*0.1)</f>
        <v>107641.89760000001</v>
      </c>
      <c r="J382" s="15">
        <f>Table1[[#This Row],[Salary]]+Table1[[#This Row],[Bonus]]</f>
        <v>1184060.8736</v>
      </c>
      <c r="K382" s="25">
        <f>COUNTA(Table1[Employee_ID])</f>
        <v>1000</v>
      </c>
      <c r="L382" s="1">
        <f>SUM(Table1[Salary])</f>
        <v>3119391523.8580012</v>
      </c>
      <c r="M382" s="15">
        <f>AVERAGE(Table1[Salary])</f>
        <v>3119391.5238580015</v>
      </c>
      <c r="N382" s="29">
        <f>SUM(Table1[Bonus])</f>
        <v>308244983.02069992</v>
      </c>
    </row>
    <row r="383" spans="1:14" ht="12.75" customHeight="1" x14ac:dyDescent="0.25">
      <c r="A383" s="2">
        <v>256</v>
      </c>
      <c r="B383" s="10" t="s">
        <v>553</v>
      </c>
      <c r="C383" s="10" t="s">
        <v>554</v>
      </c>
      <c r="D383" s="10" t="s">
        <v>174</v>
      </c>
      <c r="E383" s="10" t="s">
        <v>33</v>
      </c>
      <c r="F383" s="10" t="s">
        <v>47</v>
      </c>
      <c r="G383" s="10" t="s">
        <v>56</v>
      </c>
      <c r="H383" s="13">
        <v>5269504.2240000004</v>
      </c>
      <c r="I383" s="15">
        <f>IF(Table1[[#This Row],[Salary]]&lt;1000000,Table1[[#This Row],[Salary]]*0.05,Table1[[#This Row],[Salary]]*0.1)</f>
        <v>526950.42240000004</v>
      </c>
      <c r="J383" s="15">
        <f>Table1[[#This Row],[Salary]]+Table1[[#This Row],[Bonus]]</f>
        <v>5796454.6464000009</v>
      </c>
      <c r="K383" s="25">
        <f>COUNTA(Table1[Employee_ID])</f>
        <v>1000</v>
      </c>
      <c r="L383" s="1">
        <f>SUM(Table1[Salary])</f>
        <v>3119391523.8580012</v>
      </c>
      <c r="M383" s="15">
        <f>AVERAGE(Table1[Salary])</f>
        <v>3119391.5238580015</v>
      </c>
      <c r="N383" s="29">
        <f>SUM(Table1[Bonus])</f>
        <v>308244983.02069992</v>
      </c>
    </row>
    <row r="384" spans="1:14" ht="12.75" customHeight="1" x14ac:dyDescent="0.25">
      <c r="A384" s="2">
        <v>257</v>
      </c>
      <c r="B384" s="10" t="s">
        <v>110</v>
      </c>
      <c r="C384" s="10" t="s">
        <v>555</v>
      </c>
      <c r="D384" s="10" t="s">
        <v>177</v>
      </c>
      <c r="E384" s="10" t="s">
        <v>6</v>
      </c>
      <c r="F384" s="10" t="s">
        <v>74</v>
      </c>
      <c r="G384" s="10" t="s">
        <v>48</v>
      </c>
      <c r="H384" s="13">
        <v>5380856.0580000002</v>
      </c>
      <c r="I384" s="15">
        <f>IF(Table1[[#This Row],[Salary]]&lt;1000000,Table1[[#This Row],[Salary]]*0.05,Table1[[#This Row],[Salary]]*0.1)</f>
        <v>538085.60580000002</v>
      </c>
      <c r="J384" s="15">
        <f>Table1[[#This Row],[Salary]]+Table1[[#This Row],[Bonus]]</f>
        <v>5918941.6638000002</v>
      </c>
      <c r="K384" s="25">
        <f>COUNTA(Table1[Employee_ID])</f>
        <v>1000</v>
      </c>
      <c r="L384" s="1">
        <f>SUM(Table1[Salary])</f>
        <v>3119391523.8580012</v>
      </c>
      <c r="M384" s="15">
        <f>AVERAGE(Table1[Salary])</f>
        <v>3119391.5238580015</v>
      </c>
      <c r="N384" s="29">
        <f>SUM(Table1[Bonus])</f>
        <v>308244983.02069992</v>
      </c>
    </row>
    <row r="385" spans="1:14" ht="12.75" customHeight="1" x14ac:dyDescent="0.25">
      <c r="A385" s="2">
        <v>259</v>
      </c>
      <c r="B385" s="10" t="s">
        <v>557</v>
      </c>
      <c r="C385" s="10" t="s">
        <v>558</v>
      </c>
      <c r="D385" s="10" t="s">
        <v>183</v>
      </c>
      <c r="E385" s="10" t="s">
        <v>2</v>
      </c>
      <c r="F385" s="10" t="s">
        <v>102</v>
      </c>
      <c r="G385" s="10" t="s">
        <v>23</v>
      </c>
      <c r="H385" s="13">
        <v>5969001.6159999995</v>
      </c>
      <c r="I385" s="15">
        <f>IF(Table1[[#This Row],[Salary]]&lt;1000000,Table1[[#This Row],[Salary]]*0.05,Table1[[#This Row],[Salary]]*0.1)</f>
        <v>596900.16159999999</v>
      </c>
      <c r="J385" s="15">
        <f>Table1[[#This Row],[Salary]]+Table1[[#This Row],[Bonus]]</f>
        <v>6565901.7775999997</v>
      </c>
      <c r="K385" s="25">
        <f>COUNTA(Table1[Employee_ID])</f>
        <v>1000</v>
      </c>
      <c r="L385" s="1">
        <f>SUM(Table1[Salary])</f>
        <v>3119391523.8580012</v>
      </c>
      <c r="M385" s="15">
        <f>AVERAGE(Table1[Salary])</f>
        <v>3119391.5238580015</v>
      </c>
      <c r="N385" s="29">
        <f>SUM(Table1[Bonus])</f>
        <v>308244983.02069992</v>
      </c>
    </row>
    <row r="386" spans="1:14" ht="12.75" customHeight="1" x14ac:dyDescent="0.25">
      <c r="A386" s="2">
        <v>260</v>
      </c>
      <c r="B386" s="10" t="s">
        <v>559</v>
      </c>
      <c r="C386" s="10" t="s">
        <v>560</v>
      </c>
      <c r="D386" s="10" t="s">
        <v>21</v>
      </c>
      <c r="E386" s="10" t="s">
        <v>27</v>
      </c>
      <c r="F386" s="10" t="s">
        <v>28</v>
      </c>
      <c r="G386" s="10" t="s">
        <v>56</v>
      </c>
      <c r="H386" s="13">
        <v>2461157.0779999997</v>
      </c>
      <c r="I386" s="15">
        <f>IF(Table1[[#This Row],[Salary]]&lt;1000000,Table1[[#This Row],[Salary]]*0.05,Table1[[#This Row],[Salary]]*0.1)</f>
        <v>246115.70779999997</v>
      </c>
      <c r="J386" s="15">
        <f>Table1[[#This Row],[Salary]]+Table1[[#This Row],[Bonus]]</f>
        <v>2707272.7857999997</v>
      </c>
      <c r="K386" s="25">
        <f>COUNTA(Table1[Employee_ID])</f>
        <v>1000</v>
      </c>
      <c r="L386" s="1">
        <f>SUM(Table1[Salary])</f>
        <v>3119391523.8580012</v>
      </c>
      <c r="M386" s="15">
        <f>AVERAGE(Table1[Salary])</f>
        <v>3119391.5238580015</v>
      </c>
      <c r="N386" s="29">
        <f>SUM(Table1[Bonus])</f>
        <v>308244983.02069992</v>
      </c>
    </row>
    <row r="387" spans="1:14" ht="12.75" customHeight="1" x14ac:dyDescent="0.25">
      <c r="A387" s="2">
        <v>261</v>
      </c>
      <c r="B387" s="10" t="s">
        <v>561</v>
      </c>
      <c r="C387" s="10" t="s">
        <v>562</v>
      </c>
      <c r="D387" s="10" t="s">
        <v>99</v>
      </c>
      <c r="E387" s="10" t="s">
        <v>13</v>
      </c>
      <c r="F387" s="10" t="s">
        <v>67</v>
      </c>
      <c r="G387" s="10" t="s">
        <v>56</v>
      </c>
      <c r="H387" s="13">
        <v>617686.59199999995</v>
      </c>
      <c r="I387" s="15">
        <f>IF(Table1[[#This Row],[Salary]]&lt;1000000,Table1[[#This Row],[Salary]]*0.05,Table1[[#This Row],[Salary]]*0.1)</f>
        <v>30884.329599999997</v>
      </c>
      <c r="J387" s="15">
        <f>Table1[[#This Row],[Salary]]+Table1[[#This Row],[Bonus]]</f>
        <v>648570.9216</v>
      </c>
      <c r="K387" s="25">
        <f>COUNTA(Table1[Employee_ID])</f>
        <v>1000</v>
      </c>
      <c r="L387" s="1">
        <f>SUM(Table1[Salary])</f>
        <v>3119391523.8580012</v>
      </c>
      <c r="M387" s="15">
        <f>AVERAGE(Table1[Salary])</f>
        <v>3119391.5238580015</v>
      </c>
      <c r="N387" s="29">
        <f>SUM(Table1[Bonus])</f>
        <v>308244983.02069992</v>
      </c>
    </row>
    <row r="388" spans="1:14" ht="12.75" customHeight="1" x14ac:dyDescent="0.25">
      <c r="A388" s="2">
        <v>262</v>
      </c>
      <c r="B388" s="10" t="s">
        <v>563</v>
      </c>
      <c r="C388" s="10" t="s">
        <v>130</v>
      </c>
      <c r="D388" s="10" t="s">
        <v>125</v>
      </c>
      <c r="E388" s="10" t="s">
        <v>63</v>
      </c>
      <c r="F388" s="10" t="s">
        <v>64</v>
      </c>
      <c r="G388" s="10" t="s">
        <v>29</v>
      </c>
      <c r="H388" s="13">
        <v>1210458.838</v>
      </c>
      <c r="I388" s="15">
        <f>IF(Table1[[#This Row],[Salary]]&lt;1000000,Table1[[#This Row],[Salary]]*0.05,Table1[[#This Row],[Salary]]*0.1)</f>
        <v>121045.88380000001</v>
      </c>
      <c r="J388" s="15">
        <f>Table1[[#This Row],[Salary]]+Table1[[#This Row],[Bonus]]</f>
        <v>1331504.7217999999</v>
      </c>
      <c r="K388" s="25">
        <f>COUNTA(Table1[Employee_ID])</f>
        <v>1000</v>
      </c>
      <c r="L388" s="1">
        <f>SUM(Table1[Salary])</f>
        <v>3119391523.8580012</v>
      </c>
      <c r="M388" s="15">
        <f>AVERAGE(Table1[Salary])</f>
        <v>3119391.5238580015</v>
      </c>
      <c r="N388" s="29">
        <f>SUM(Table1[Bonus])</f>
        <v>308244983.02069992</v>
      </c>
    </row>
    <row r="389" spans="1:14" ht="12.75" customHeight="1" x14ac:dyDescent="0.25">
      <c r="A389" s="2">
        <v>263</v>
      </c>
      <c r="B389" s="10" t="s">
        <v>564</v>
      </c>
      <c r="C389" s="10" t="s">
        <v>565</v>
      </c>
      <c r="D389" s="10" t="s">
        <v>177</v>
      </c>
      <c r="E389" s="10" t="s">
        <v>27</v>
      </c>
      <c r="F389" s="10" t="s">
        <v>85</v>
      </c>
      <c r="G389" s="10" t="s">
        <v>29</v>
      </c>
      <c r="H389" s="13">
        <v>995568.53599999996</v>
      </c>
      <c r="I389" s="15">
        <f>IF(Table1[[#This Row],[Salary]]&lt;1000000,Table1[[#This Row],[Salary]]*0.05,Table1[[#This Row],[Salary]]*0.1)</f>
        <v>49778.426800000001</v>
      </c>
      <c r="J389" s="15">
        <f>Table1[[#This Row],[Salary]]+Table1[[#This Row],[Bonus]]</f>
        <v>1045346.9628</v>
      </c>
      <c r="K389" s="25">
        <f>COUNTA(Table1[Employee_ID])</f>
        <v>1000</v>
      </c>
      <c r="L389" s="1">
        <f>SUM(Table1[Salary])</f>
        <v>3119391523.8580012</v>
      </c>
      <c r="M389" s="15">
        <f>AVERAGE(Table1[Salary])</f>
        <v>3119391.5238580015</v>
      </c>
      <c r="N389" s="29">
        <f>SUM(Table1[Bonus])</f>
        <v>308244983.02069992</v>
      </c>
    </row>
    <row r="390" spans="1:14" ht="12.75" customHeight="1" x14ac:dyDescent="0.25">
      <c r="A390" s="2">
        <v>264</v>
      </c>
      <c r="B390" s="10" t="s">
        <v>566</v>
      </c>
      <c r="C390" s="10" t="s">
        <v>567</v>
      </c>
      <c r="D390" s="10" t="s">
        <v>313</v>
      </c>
      <c r="E390" s="10" t="s">
        <v>33</v>
      </c>
      <c r="F390" s="10" t="s">
        <v>55</v>
      </c>
      <c r="G390" s="10" t="s">
        <v>56</v>
      </c>
      <c r="H390" s="13">
        <v>5969219.6579999998</v>
      </c>
      <c r="I390" s="15">
        <f>IF(Table1[[#This Row],[Salary]]&lt;1000000,Table1[[#This Row],[Salary]]*0.05,Table1[[#This Row],[Salary]]*0.1)</f>
        <v>596921.96580000001</v>
      </c>
      <c r="J390" s="15">
        <f>Table1[[#This Row],[Salary]]+Table1[[#This Row],[Bonus]]</f>
        <v>6566141.6238000002</v>
      </c>
      <c r="K390" s="25">
        <f>COUNTA(Table1[Employee_ID])</f>
        <v>1000</v>
      </c>
      <c r="L390" s="1">
        <f>SUM(Table1[Salary])</f>
        <v>3119391523.8580012</v>
      </c>
      <c r="M390" s="15">
        <f>AVERAGE(Table1[Salary])</f>
        <v>3119391.5238580015</v>
      </c>
      <c r="N390" s="29">
        <f>SUM(Table1[Bonus])</f>
        <v>308244983.02069992</v>
      </c>
    </row>
    <row r="391" spans="1:14" ht="12.75" customHeight="1" x14ac:dyDescent="0.25">
      <c r="A391" s="2">
        <v>265</v>
      </c>
      <c r="B391" s="10" t="s">
        <v>568</v>
      </c>
      <c r="C391" s="10" t="s">
        <v>569</v>
      </c>
      <c r="D391" s="10" t="s">
        <v>112</v>
      </c>
      <c r="E391" s="10" t="s">
        <v>10</v>
      </c>
      <c r="F391" s="10" t="s">
        <v>109</v>
      </c>
      <c r="G391" s="10" t="s">
        <v>23</v>
      </c>
      <c r="H391" s="13">
        <v>4898847.9819999998</v>
      </c>
      <c r="I391" s="15">
        <f>IF(Table1[[#This Row],[Salary]]&lt;1000000,Table1[[#This Row],[Salary]]*0.05,Table1[[#This Row],[Salary]]*0.1)</f>
        <v>489884.79820000002</v>
      </c>
      <c r="J391" s="15">
        <f>Table1[[#This Row],[Salary]]+Table1[[#This Row],[Bonus]]</f>
        <v>5388732.7801999999</v>
      </c>
      <c r="K391" s="25">
        <f>COUNTA(Table1[Employee_ID])</f>
        <v>1000</v>
      </c>
      <c r="L391" s="1">
        <f>SUM(Table1[Salary])</f>
        <v>3119391523.8580012</v>
      </c>
      <c r="M391" s="15">
        <f>AVERAGE(Table1[Salary])</f>
        <v>3119391.5238580015</v>
      </c>
      <c r="N391" s="29">
        <f>SUM(Table1[Bonus])</f>
        <v>308244983.02069992</v>
      </c>
    </row>
    <row r="392" spans="1:14" ht="12.75" customHeight="1" x14ac:dyDescent="0.25">
      <c r="A392" s="2">
        <v>266</v>
      </c>
      <c r="B392" s="10" t="s">
        <v>412</v>
      </c>
      <c r="C392" s="10" t="s">
        <v>570</v>
      </c>
      <c r="D392" s="10" t="s">
        <v>174</v>
      </c>
      <c r="E392" s="10" t="s">
        <v>10</v>
      </c>
      <c r="F392" s="10" t="s">
        <v>131</v>
      </c>
      <c r="G392" s="10" t="s">
        <v>35</v>
      </c>
      <c r="H392" s="13">
        <v>2777968.6060000001</v>
      </c>
      <c r="I392" s="15">
        <f>IF(Table1[[#This Row],[Salary]]&lt;1000000,Table1[[#This Row],[Salary]]*0.05,Table1[[#This Row],[Salary]]*0.1)</f>
        <v>277796.86060000001</v>
      </c>
      <c r="J392" s="15">
        <f>Table1[[#This Row],[Salary]]+Table1[[#This Row],[Bonus]]</f>
        <v>3055765.4665999999</v>
      </c>
      <c r="K392" s="25">
        <f>COUNTA(Table1[Employee_ID])</f>
        <v>1000</v>
      </c>
      <c r="L392" s="1">
        <f>SUM(Table1[Salary])</f>
        <v>3119391523.8580012</v>
      </c>
      <c r="M392" s="15">
        <f>AVERAGE(Table1[Salary])</f>
        <v>3119391.5238580015</v>
      </c>
      <c r="N392" s="29">
        <f>SUM(Table1[Bonus])</f>
        <v>308244983.02069992</v>
      </c>
    </row>
    <row r="393" spans="1:14" ht="12.75" customHeight="1" x14ac:dyDescent="0.25">
      <c r="A393" s="2">
        <v>267</v>
      </c>
      <c r="B393" s="10" t="s">
        <v>571</v>
      </c>
      <c r="C393" s="10" t="s">
        <v>572</v>
      </c>
      <c r="D393" s="10" t="s">
        <v>183</v>
      </c>
      <c r="E393" s="10" t="s">
        <v>27</v>
      </c>
      <c r="F393" s="10" t="s">
        <v>106</v>
      </c>
      <c r="G393" s="10" t="s">
        <v>23</v>
      </c>
      <c r="H393" s="13">
        <v>2132526.9739999999</v>
      </c>
      <c r="I393" s="15">
        <f>IF(Table1[[#This Row],[Salary]]&lt;1000000,Table1[[#This Row],[Salary]]*0.05,Table1[[#This Row],[Salary]]*0.1)</f>
        <v>213252.6974</v>
      </c>
      <c r="J393" s="15">
        <f>Table1[[#This Row],[Salary]]+Table1[[#This Row],[Bonus]]</f>
        <v>2345779.6713999999</v>
      </c>
      <c r="K393" s="25">
        <f>COUNTA(Table1[Employee_ID])</f>
        <v>1000</v>
      </c>
      <c r="L393" s="1">
        <f>SUM(Table1[Salary])</f>
        <v>3119391523.8580012</v>
      </c>
      <c r="M393" s="15">
        <f>AVERAGE(Table1[Salary])</f>
        <v>3119391.5238580015</v>
      </c>
      <c r="N393" s="29">
        <f>SUM(Table1[Bonus])</f>
        <v>308244983.02069992</v>
      </c>
    </row>
    <row r="394" spans="1:14" ht="12.75" customHeight="1" x14ac:dyDescent="0.25">
      <c r="A394" s="2">
        <v>268</v>
      </c>
      <c r="B394" s="10" t="s">
        <v>573</v>
      </c>
      <c r="C394" s="10" t="s">
        <v>361</v>
      </c>
      <c r="D394" s="10" t="s">
        <v>313</v>
      </c>
      <c r="E394" s="10" t="s">
        <v>63</v>
      </c>
      <c r="F394" s="10" t="s">
        <v>113</v>
      </c>
      <c r="G394" s="10" t="s">
        <v>23</v>
      </c>
      <c r="H394" s="13">
        <v>4815526.7879999997</v>
      </c>
      <c r="I394" s="15">
        <f>IF(Table1[[#This Row],[Salary]]&lt;1000000,Table1[[#This Row],[Salary]]*0.05,Table1[[#This Row],[Salary]]*0.1)</f>
        <v>481552.67879999999</v>
      </c>
      <c r="J394" s="15">
        <f>Table1[[#This Row],[Salary]]+Table1[[#This Row],[Bonus]]</f>
        <v>5297079.4667999996</v>
      </c>
      <c r="K394" s="25">
        <f>COUNTA(Table1[Employee_ID])</f>
        <v>1000</v>
      </c>
      <c r="L394" s="1">
        <f>SUM(Table1[Salary])</f>
        <v>3119391523.8580012</v>
      </c>
      <c r="M394" s="15">
        <f>AVERAGE(Table1[Salary])</f>
        <v>3119391.5238580015</v>
      </c>
      <c r="N394" s="29">
        <f>SUM(Table1[Bonus])</f>
        <v>308244983.02069992</v>
      </c>
    </row>
    <row r="395" spans="1:14" ht="12.75" customHeight="1" x14ac:dyDescent="0.25">
      <c r="A395" s="2">
        <v>269</v>
      </c>
      <c r="B395" s="10" t="s">
        <v>574</v>
      </c>
      <c r="C395" s="10" t="s">
        <v>575</v>
      </c>
      <c r="D395" s="10" t="s">
        <v>112</v>
      </c>
      <c r="E395" s="10" t="s">
        <v>10</v>
      </c>
      <c r="F395" s="10" t="s">
        <v>78</v>
      </c>
      <c r="G395" s="10" t="s">
        <v>48</v>
      </c>
      <c r="H395" s="13">
        <v>5533851.5820000004</v>
      </c>
      <c r="I395" s="15">
        <f>IF(Table1[[#This Row],[Salary]]&lt;1000000,Table1[[#This Row],[Salary]]*0.05,Table1[[#This Row],[Salary]]*0.1)</f>
        <v>553385.15820000006</v>
      </c>
      <c r="J395" s="15">
        <f>Table1[[#This Row],[Salary]]+Table1[[#This Row],[Bonus]]</f>
        <v>6087236.7402000008</v>
      </c>
      <c r="K395" s="25">
        <f>COUNTA(Table1[Employee_ID])</f>
        <v>1000</v>
      </c>
      <c r="L395" s="1">
        <f>SUM(Table1[Salary])</f>
        <v>3119391523.8580012</v>
      </c>
      <c r="M395" s="15">
        <f>AVERAGE(Table1[Salary])</f>
        <v>3119391.5238580015</v>
      </c>
      <c r="N395" s="29">
        <f>SUM(Table1[Bonus])</f>
        <v>308244983.02069992</v>
      </c>
    </row>
    <row r="396" spans="1:14" ht="12.75" customHeight="1" x14ac:dyDescent="0.25">
      <c r="A396" s="2">
        <v>270</v>
      </c>
      <c r="B396" s="10" t="s">
        <v>492</v>
      </c>
      <c r="C396" s="10" t="s">
        <v>576</v>
      </c>
      <c r="D396" s="10" t="s">
        <v>174</v>
      </c>
      <c r="E396" s="10" t="s">
        <v>13</v>
      </c>
      <c r="F396" s="10" t="s">
        <v>120</v>
      </c>
      <c r="G396" s="10" t="s">
        <v>23</v>
      </c>
      <c r="H396" s="13">
        <v>4774677.1440000003</v>
      </c>
      <c r="I396" s="15">
        <f>IF(Table1[[#This Row],[Salary]]&lt;1000000,Table1[[#This Row],[Salary]]*0.05,Table1[[#This Row],[Salary]]*0.1)</f>
        <v>477467.71440000006</v>
      </c>
      <c r="J396" s="15">
        <f>Table1[[#This Row],[Salary]]+Table1[[#This Row],[Bonus]]</f>
        <v>5252144.8584000003</v>
      </c>
      <c r="K396" s="25">
        <f>COUNTA(Table1[Employee_ID])</f>
        <v>1000</v>
      </c>
      <c r="L396" s="1">
        <f>SUM(Table1[Salary])</f>
        <v>3119391523.8580012</v>
      </c>
      <c r="M396" s="15">
        <f>AVERAGE(Table1[Salary])</f>
        <v>3119391.5238580015</v>
      </c>
      <c r="N396" s="29">
        <f>SUM(Table1[Bonus])</f>
        <v>308244983.02069992</v>
      </c>
    </row>
    <row r="397" spans="1:14" ht="12.75" customHeight="1" x14ac:dyDescent="0.25">
      <c r="A397" s="2">
        <v>271</v>
      </c>
      <c r="B397" s="10" t="s">
        <v>577</v>
      </c>
      <c r="C397" s="10" t="s">
        <v>578</v>
      </c>
      <c r="D397" s="10" t="s">
        <v>183</v>
      </c>
      <c r="E397" s="10" t="s">
        <v>39</v>
      </c>
      <c r="F397" s="10" t="s">
        <v>186</v>
      </c>
      <c r="G397" s="10" t="s">
        <v>23</v>
      </c>
      <c r="H397" s="13">
        <v>2545482.1979999999</v>
      </c>
      <c r="I397" s="15">
        <f>IF(Table1[[#This Row],[Salary]]&lt;1000000,Table1[[#This Row],[Salary]]*0.05,Table1[[#This Row],[Salary]]*0.1)</f>
        <v>254548.21979999999</v>
      </c>
      <c r="J397" s="15">
        <f>Table1[[#This Row],[Salary]]+Table1[[#This Row],[Bonus]]</f>
        <v>2800030.4177999999</v>
      </c>
      <c r="K397" s="25">
        <f>COUNTA(Table1[Employee_ID])</f>
        <v>1000</v>
      </c>
      <c r="L397" s="1">
        <f>SUM(Table1[Salary])</f>
        <v>3119391523.8580012</v>
      </c>
      <c r="M397" s="15">
        <f>AVERAGE(Table1[Salary])</f>
        <v>3119391.5238580015</v>
      </c>
      <c r="N397" s="29">
        <f>SUM(Table1[Bonus])</f>
        <v>308244983.02069992</v>
      </c>
    </row>
    <row r="398" spans="1:14" ht="12.75" customHeight="1" x14ac:dyDescent="0.25">
      <c r="A398" s="2">
        <v>272</v>
      </c>
      <c r="B398" s="10" t="s">
        <v>545</v>
      </c>
      <c r="C398" s="10" t="s">
        <v>579</v>
      </c>
      <c r="D398" s="10" t="s">
        <v>59</v>
      </c>
      <c r="E398" s="10" t="s">
        <v>14</v>
      </c>
      <c r="F398" s="10" t="s">
        <v>234</v>
      </c>
      <c r="G398" s="10" t="s">
        <v>23</v>
      </c>
      <c r="H398" s="13">
        <v>2680233.3199999998</v>
      </c>
      <c r="I398" s="15">
        <f>IF(Table1[[#This Row],[Salary]]&lt;1000000,Table1[[#This Row],[Salary]]*0.05,Table1[[#This Row],[Salary]]*0.1)</f>
        <v>268023.33199999999</v>
      </c>
      <c r="J398" s="15">
        <f>Table1[[#This Row],[Salary]]+Table1[[#This Row],[Bonus]]</f>
        <v>2948256.6519999998</v>
      </c>
      <c r="K398" s="25">
        <f>COUNTA(Table1[Employee_ID])</f>
        <v>1000</v>
      </c>
      <c r="L398" s="1">
        <f>SUM(Table1[Salary])</f>
        <v>3119391523.8580012</v>
      </c>
      <c r="M398" s="15">
        <f>AVERAGE(Table1[Salary])</f>
        <v>3119391.5238580015</v>
      </c>
      <c r="N398" s="29">
        <f>SUM(Table1[Bonus])</f>
        <v>308244983.02069992</v>
      </c>
    </row>
    <row r="399" spans="1:14" ht="12.75" customHeight="1" x14ac:dyDescent="0.25">
      <c r="A399" s="2">
        <v>273</v>
      </c>
      <c r="B399" s="10" t="s">
        <v>580</v>
      </c>
      <c r="C399" s="10" t="s">
        <v>581</v>
      </c>
      <c r="D399" s="10" t="s">
        <v>324</v>
      </c>
      <c r="E399" s="10" t="s">
        <v>27</v>
      </c>
      <c r="F399" s="10" t="s">
        <v>28</v>
      </c>
      <c r="G399" s="10" t="s">
        <v>29</v>
      </c>
      <c r="H399" s="13">
        <v>4733134.8959999997</v>
      </c>
      <c r="I399" s="15">
        <f>IF(Table1[[#This Row],[Salary]]&lt;1000000,Table1[[#This Row],[Salary]]*0.05,Table1[[#This Row],[Salary]]*0.1)</f>
        <v>473313.48959999997</v>
      </c>
      <c r="J399" s="15">
        <f>Table1[[#This Row],[Salary]]+Table1[[#This Row],[Bonus]]</f>
        <v>5206448.3855999997</v>
      </c>
      <c r="K399" s="25">
        <f>COUNTA(Table1[Employee_ID])</f>
        <v>1000</v>
      </c>
      <c r="L399" s="1">
        <f>SUM(Table1[Salary])</f>
        <v>3119391523.8580012</v>
      </c>
      <c r="M399" s="15">
        <f>AVERAGE(Table1[Salary])</f>
        <v>3119391.5238580015</v>
      </c>
      <c r="N399" s="29">
        <f>SUM(Table1[Bonus])</f>
        <v>308244983.02069992</v>
      </c>
    </row>
    <row r="400" spans="1:14" ht="12.75" customHeight="1" x14ac:dyDescent="0.25">
      <c r="A400" s="2">
        <v>274</v>
      </c>
      <c r="B400" s="10" t="s">
        <v>582</v>
      </c>
      <c r="C400" s="10" t="s">
        <v>583</v>
      </c>
      <c r="D400" s="10" t="s">
        <v>54</v>
      </c>
      <c r="E400" s="10" t="s">
        <v>13</v>
      </c>
      <c r="F400" s="10" t="s">
        <v>43</v>
      </c>
      <c r="G400" s="10" t="s">
        <v>23</v>
      </c>
      <c r="H400" s="13">
        <v>3562191.0559999999</v>
      </c>
      <c r="I400" s="15">
        <f>IF(Table1[[#This Row],[Salary]]&lt;1000000,Table1[[#This Row],[Salary]]*0.05,Table1[[#This Row],[Salary]]*0.1)</f>
        <v>356219.10560000001</v>
      </c>
      <c r="J400" s="15">
        <f>Table1[[#This Row],[Salary]]+Table1[[#This Row],[Bonus]]</f>
        <v>3918410.1615999998</v>
      </c>
      <c r="K400" s="25">
        <f>COUNTA(Table1[Employee_ID])</f>
        <v>1000</v>
      </c>
      <c r="L400" s="1">
        <f>SUM(Table1[Salary])</f>
        <v>3119391523.8580012</v>
      </c>
      <c r="M400" s="15">
        <f>AVERAGE(Table1[Salary])</f>
        <v>3119391.5238580015</v>
      </c>
      <c r="N400" s="29">
        <f>SUM(Table1[Bonus])</f>
        <v>308244983.02069992</v>
      </c>
    </row>
    <row r="401" spans="1:14" ht="12.75" customHeight="1" x14ac:dyDescent="0.25">
      <c r="A401" s="2">
        <v>275</v>
      </c>
      <c r="B401" s="10" t="s">
        <v>584</v>
      </c>
      <c r="C401" s="10" t="s">
        <v>585</v>
      </c>
      <c r="D401" s="10" t="s">
        <v>324</v>
      </c>
      <c r="E401" s="10" t="s">
        <v>39</v>
      </c>
      <c r="F401" s="10" t="s">
        <v>189</v>
      </c>
      <c r="G401" s="10" t="s">
        <v>71</v>
      </c>
      <c r="H401" s="13">
        <v>860071.174</v>
      </c>
      <c r="I401" s="15">
        <f>IF(Table1[[#This Row],[Salary]]&lt;1000000,Table1[[#This Row],[Salary]]*0.05,Table1[[#This Row],[Salary]]*0.1)</f>
        <v>43003.558700000001</v>
      </c>
      <c r="J401" s="15">
        <f>Table1[[#This Row],[Salary]]+Table1[[#This Row],[Bonus]]</f>
        <v>903074.73270000005</v>
      </c>
      <c r="K401" s="25">
        <f>COUNTA(Table1[Employee_ID])</f>
        <v>1000</v>
      </c>
      <c r="L401" s="1">
        <f>SUM(Table1[Salary])</f>
        <v>3119391523.8580012</v>
      </c>
      <c r="M401" s="15">
        <f>AVERAGE(Table1[Salary])</f>
        <v>3119391.5238580015</v>
      </c>
      <c r="N401" s="29">
        <f>SUM(Table1[Bonus])</f>
        <v>308244983.02069992</v>
      </c>
    </row>
    <row r="402" spans="1:14" ht="12.75" customHeight="1" x14ac:dyDescent="0.25">
      <c r="A402" s="2">
        <v>276</v>
      </c>
      <c r="B402" s="10" t="s">
        <v>586</v>
      </c>
      <c r="C402" s="10" t="s">
        <v>552</v>
      </c>
      <c r="D402" s="10" t="s">
        <v>488</v>
      </c>
      <c r="E402" s="10" t="s">
        <v>27</v>
      </c>
      <c r="F402" s="10" t="s">
        <v>85</v>
      </c>
      <c r="G402" s="10" t="s">
        <v>35</v>
      </c>
      <c r="H402" s="13">
        <v>4476304.74</v>
      </c>
      <c r="I402" s="15">
        <f>IF(Table1[[#This Row],[Salary]]&lt;1000000,Table1[[#This Row],[Salary]]*0.05,Table1[[#This Row],[Salary]]*0.1)</f>
        <v>447630.47400000005</v>
      </c>
      <c r="J402" s="15">
        <f>Table1[[#This Row],[Salary]]+Table1[[#This Row],[Bonus]]</f>
        <v>4923935.2140000006</v>
      </c>
      <c r="K402" s="25">
        <f>COUNTA(Table1[Employee_ID])</f>
        <v>1000</v>
      </c>
      <c r="L402" s="1">
        <f>SUM(Table1[Salary])</f>
        <v>3119391523.8580012</v>
      </c>
      <c r="M402" s="15">
        <f>AVERAGE(Table1[Salary])</f>
        <v>3119391.5238580015</v>
      </c>
      <c r="N402" s="29">
        <f>SUM(Table1[Bonus])</f>
        <v>308244983.02069992</v>
      </c>
    </row>
    <row r="403" spans="1:14" ht="12.75" customHeight="1" x14ac:dyDescent="0.25">
      <c r="A403" s="2">
        <v>277</v>
      </c>
      <c r="B403" s="10" t="s">
        <v>587</v>
      </c>
      <c r="C403" s="10" t="s">
        <v>588</v>
      </c>
      <c r="D403" s="10" t="s">
        <v>32</v>
      </c>
      <c r="E403" s="10" t="s">
        <v>2</v>
      </c>
      <c r="F403" s="10" t="s">
        <v>60</v>
      </c>
      <c r="G403" s="10" t="s">
        <v>71</v>
      </c>
      <c r="H403" s="13">
        <v>3043940.202</v>
      </c>
      <c r="I403" s="15">
        <f>IF(Table1[[#This Row],[Salary]]&lt;1000000,Table1[[#This Row],[Salary]]*0.05,Table1[[#This Row],[Salary]]*0.1)</f>
        <v>304394.02020000003</v>
      </c>
      <c r="J403" s="15">
        <f>Table1[[#This Row],[Salary]]+Table1[[#This Row],[Bonus]]</f>
        <v>3348334.2222000002</v>
      </c>
      <c r="K403" s="25">
        <f>COUNTA(Table1[Employee_ID])</f>
        <v>1000</v>
      </c>
      <c r="L403" s="1">
        <f>SUM(Table1[Salary])</f>
        <v>3119391523.8580012</v>
      </c>
      <c r="M403" s="15">
        <f>AVERAGE(Table1[Salary])</f>
        <v>3119391.5238580015</v>
      </c>
      <c r="N403" s="29">
        <f>SUM(Table1[Bonus])</f>
        <v>308244983.02069992</v>
      </c>
    </row>
    <row r="404" spans="1:14" ht="12.75" customHeight="1" x14ac:dyDescent="0.25">
      <c r="A404" s="2">
        <v>278</v>
      </c>
      <c r="B404" s="10" t="s">
        <v>589</v>
      </c>
      <c r="C404" s="10" t="s">
        <v>590</v>
      </c>
      <c r="D404" s="10" t="s">
        <v>59</v>
      </c>
      <c r="E404" s="10" t="s">
        <v>14</v>
      </c>
      <c r="F404" s="10" t="s">
        <v>51</v>
      </c>
      <c r="G404" s="10" t="s">
        <v>71</v>
      </c>
      <c r="H404" s="13">
        <v>4183526.804</v>
      </c>
      <c r="I404" s="15">
        <f>IF(Table1[[#This Row],[Salary]]&lt;1000000,Table1[[#This Row],[Salary]]*0.05,Table1[[#This Row],[Salary]]*0.1)</f>
        <v>418352.68040000001</v>
      </c>
      <c r="J404" s="15">
        <f>Table1[[#This Row],[Salary]]+Table1[[#This Row],[Bonus]]</f>
        <v>4601879.4844000004</v>
      </c>
      <c r="K404" s="25">
        <f>COUNTA(Table1[Employee_ID])</f>
        <v>1000</v>
      </c>
      <c r="L404" s="1">
        <f>SUM(Table1[Salary])</f>
        <v>3119391523.8580012</v>
      </c>
      <c r="M404" s="15">
        <f>AVERAGE(Table1[Salary])</f>
        <v>3119391.5238580015</v>
      </c>
      <c r="N404" s="29">
        <f>SUM(Table1[Bonus])</f>
        <v>308244983.02069992</v>
      </c>
    </row>
    <row r="405" spans="1:14" ht="12.75" customHeight="1" x14ac:dyDescent="0.25">
      <c r="A405" s="2">
        <v>279</v>
      </c>
      <c r="B405" s="10" t="s">
        <v>49</v>
      </c>
      <c r="C405" s="10" t="s">
        <v>591</v>
      </c>
      <c r="D405" s="10" t="s">
        <v>125</v>
      </c>
      <c r="E405" s="10" t="s">
        <v>33</v>
      </c>
      <c r="F405" s="10" t="s">
        <v>34</v>
      </c>
      <c r="G405" s="10" t="s">
        <v>23</v>
      </c>
      <c r="H405" s="13">
        <v>4036305.3120000004</v>
      </c>
      <c r="I405" s="15">
        <f>IF(Table1[[#This Row],[Salary]]&lt;1000000,Table1[[#This Row],[Salary]]*0.05,Table1[[#This Row],[Salary]]*0.1)</f>
        <v>403630.53120000008</v>
      </c>
      <c r="J405" s="15">
        <f>Table1[[#This Row],[Salary]]+Table1[[#This Row],[Bonus]]</f>
        <v>4439935.8432</v>
      </c>
      <c r="K405" s="25">
        <f>COUNTA(Table1[Employee_ID])</f>
        <v>1000</v>
      </c>
      <c r="L405" s="1">
        <f>SUM(Table1[Salary])</f>
        <v>3119391523.8580012</v>
      </c>
      <c r="M405" s="15">
        <f>AVERAGE(Table1[Salary])</f>
        <v>3119391.5238580015</v>
      </c>
      <c r="N405" s="29">
        <f>SUM(Table1[Bonus])</f>
        <v>308244983.02069992</v>
      </c>
    </row>
    <row r="406" spans="1:14" ht="12.75" customHeight="1" x14ac:dyDescent="0.25">
      <c r="A406" s="2">
        <v>280</v>
      </c>
      <c r="B406" s="10" t="s">
        <v>387</v>
      </c>
      <c r="C406" s="10" t="s">
        <v>263</v>
      </c>
      <c r="D406" s="10" t="s">
        <v>77</v>
      </c>
      <c r="E406" s="10" t="s">
        <v>39</v>
      </c>
      <c r="F406" s="10" t="s">
        <v>40</v>
      </c>
      <c r="G406" s="10" t="s">
        <v>29</v>
      </c>
      <c r="H406" s="13">
        <v>1752342.18</v>
      </c>
      <c r="I406" s="15">
        <f>IF(Table1[[#This Row],[Salary]]&lt;1000000,Table1[[#This Row],[Salary]]*0.05,Table1[[#This Row],[Salary]]*0.1)</f>
        <v>175234.21799999999</v>
      </c>
      <c r="J406" s="15">
        <f>Table1[[#This Row],[Salary]]+Table1[[#This Row],[Bonus]]</f>
        <v>1927576.398</v>
      </c>
      <c r="K406" s="25">
        <f>COUNTA(Table1[Employee_ID])</f>
        <v>1000</v>
      </c>
      <c r="L406" s="1">
        <f>SUM(Table1[Salary])</f>
        <v>3119391523.8580012</v>
      </c>
      <c r="M406" s="15">
        <f>AVERAGE(Table1[Salary])</f>
        <v>3119391.5238580015</v>
      </c>
      <c r="N406" s="29">
        <f>SUM(Table1[Bonus])</f>
        <v>308244983.02069992</v>
      </c>
    </row>
    <row r="407" spans="1:14" ht="12.75" customHeight="1" x14ac:dyDescent="0.25">
      <c r="A407" s="2">
        <v>281</v>
      </c>
      <c r="B407" s="10" t="s">
        <v>592</v>
      </c>
      <c r="C407" s="10" t="s">
        <v>593</v>
      </c>
      <c r="D407" s="10" t="s">
        <v>128</v>
      </c>
      <c r="E407" s="10" t="s">
        <v>13</v>
      </c>
      <c r="F407" s="10" t="s">
        <v>67</v>
      </c>
      <c r="G407" s="10" t="s">
        <v>35</v>
      </c>
      <c r="H407" s="13">
        <v>2053493.162</v>
      </c>
      <c r="I407" s="15">
        <f>IF(Table1[[#This Row],[Salary]]&lt;1000000,Table1[[#This Row],[Salary]]*0.05,Table1[[#This Row],[Salary]]*0.1)</f>
        <v>205349.3162</v>
      </c>
      <c r="J407" s="15">
        <f>Table1[[#This Row],[Salary]]+Table1[[#This Row],[Bonus]]</f>
        <v>2258842.4781999998</v>
      </c>
      <c r="K407" s="25">
        <f>COUNTA(Table1[Employee_ID])</f>
        <v>1000</v>
      </c>
      <c r="L407" s="1">
        <f>SUM(Table1[Salary])</f>
        <v>3119391523.8580012</v>
      </c>
      <c r="M407" s="15">
        <f>AVERAGE(Table1[Salary])</f>
        <v>3119391.5238580015</v>
      </c>
      <c r="N407" s="29">
        <f>SUM(Table1[Bonus])</f>
        <v>308244983.02069992</v>
      </c>
    </row>
    <row r="408" spans="1:14" ht="12.75" customHeight="1" x14ac:dyDescent="0.25">
      <c r="A408" s="2">
        <v>282</v>
      </c>
      <c r="B408" s="10" t="s">
        <v>147</v>
      </c>
      <c r="C408" s="10" t="s">
        <v>594</v>
      </c>
      <c r="D408" s="10" t="s">
        <v>377</v>
      </c>
      <c r="E408" s="10" t="s">
        <v>2</v>
      </c>
      <c r="F408" s="10" t="s">
        <v>74</v>
      </c>
      <c r="G408" s="10" t="s">
        <v>29</v>
      </c>
      <c r="H408" s="13">
        <v>2870350.7860000003</v>
      </c>
      <c r="I408" s="15">
        <f>IF(Table1[[#This Row],[Salary]]&lt;1000000,Table1[[#This Row],[Salary]]*0.05,Table1[[#This Row],[Salary]]*0.1)</f>
        <v>287035.07860000007</v>
      </c>
      <c r="J408" s="15">
        <f>Table1[[#This Row],[Salary]]+Table1[[#This Row],[Bonus]]</f>
        <v>3157385.8646000004</v>
      </c>
      <c r="K408" s="25">
        <f>COUNTA(Table1[Employee_ID])</f>
        <v>1000</v>
      </c>
      <c r="L408" s="1">
        <f>SUM(Table1[Salary])</f>
        <v>3119391523.8580012</v>
      </c>
      <c r="M408" s="15">
        <f>AVERAGE(Table1[Salary])</f>
        <v>3119391.5238580015</v>
      </c>
      <c r="N408" s="29">
        <f>SUM(Table1[Bonus])</f>
        <v>308244983.02069992</v>
      </c>
    </row>
    <row r="409" spans="1:14" ht="12.75" customHeight="1" x14ac:dyDescent="0.25">
      <c r="A409" s="2">
        <v>283</v>
      </c>
      <c r="B409" s="10" t="s">
        <v>138</v>
      </c>
      <c r="C409" s="10" t="s">
        <v>595</v>
      </c>
      <c r="D409" s="10" t="s">
        <v>140</v>
      </c>
      <c r="E409" s="10" t="s">
        <v>27</v>
      </c>
      <c r="F409" s="10" t="s">
        <v>106</v>
      </c>
      <c r="G409" s="10" t="s">
        <v>23</v>
      </c>
      <c r="H409" s="13">
        <v>2512900.66</v>
      </c>
      <c r="I409" s="15">
        <f>IF(Table1[[#This Row],[Salary]]&lt;1000000,Table1[[#This Row],[Salary]]*0.05,Table1[[#This Row],[Salary]]*0.1)</f>
        <v>251290.06600000002</v>
      </c>
      <c r="J409" s="15">
        <f>Table1[[#This Row],[Salary]]+Table1[[#This Row],[Bonus]]</f>
        <v>2764190.7260000003</v>
      </c>
      <c r="K409" s="25">
        <f>COUNTA(Table1[Employee_ID])</f>
        <v>1000</v>
      </c>
      <c r="L409" s="1">
        <f>SUM(Table1[Salary])</f>
        <v>3119391523.8580012</v>
      </c>
      <c r="M409" s="15">
        <f>AVERAGE(Table1[Salary])</f>
        <v>3119391.5238580015</v>
      </c>
      <c r="N409" s="29">
        <f>SUM(Table1[Bonus])</f>
        <v>308244983.02069992</v>
      </c>
    </row>
    <row r="410" spans="1:14" ht="12.75" customHeight="1" x14ac:dyDescent="0.25">
      <c r="A410" s="2">
        <v>284</v>
      </c>
      <c r="B410" s="10" t="s">
        <v>596</v>
      </c>
      <c r="C410" s="10" t="s">
        <v>597</v>
      </c>
      <c r="D410" s="10" t="s">
        <v>32</v>
      </c>
      <c r="E410" s="10" t="s">
        <v>63</v>
      </c>
      <c r="F410" s="10" t="s">
        <v>131</v>
      </c>
      <c r="G410" s="10" t="s">
        <v>29</v>
      </c>
      <c r="H410" s="13">
        <v>5013823.7439999999</v>
      </c>
      <c r="I410" s="15">
        <f>IF(Table1[[#This Row],[Salary]]&lt;1000000,Table1[[#This Row],[Salary]]*0.05,Table1[[#This Row],[Salary]]*0.1)</f>
        <v>501382.37440000003</v>
      </c>
      <c r="J410" s="15">
        <f>Table1[[#This Row],[Salary]]+Table1[[#This Row],[Bonus]]</f>
        <v>5515206.1184</v>
      </c>
      <c r="K410" s="25">
        <f>COUNTA(Table1[Employee_ID])</f>
        <v>1000</v>
      </c>
      <c r="L410" s="1">
        <f>SUM(Table1[Salary])</f>
        <v>3119391523.8580012</v>
      </c>
      <c r="M410" s="15">
        <f>AVERAGE(Table1[Salary])</f>
        <v>3119391.5238580015</v>
      </c>
      <c r="N410" s="29">
        <f>SUM(Table1[Bonus])</f>
        <v>308244983.02069992</v>
      </c>
    </row>
    <row r="411" spans="1:14" ht="12.75" customHeight="1" x14ac:dyDescent="0.25">
      <c r="A411" s="2">
        <v>285</v>
      </c>
      <c r="B411" s="10" t="s">
        <v>400</v>
      </c>
      <c r="C411" s="10" t="s">
        <v>598</v>
      </c>
      <c r="D411" s="10" t="s">
        <v>316</v>
      </c>
      <c r="E411" s="10" t="s">
        <v>27</v>
      </c>
      <c r="F411" s="10" t="s">
        <v>28</v>
      </c>
      <c r="G411" s="10" t="s">
        <v>71</v>
      </c>
      <c r="H411" s="13">
        <v>4717546.642</v>
      </c>
      <c r="I411" s="15">
        <f>IF(Table1[[#This Row],[Salary]]&lt;1000000,Table1[[#This Row],[Salary]]*0.05,Table1[[#This Row],[Salary]]*0.1)</f>
        <v>471754.6642</v>
      </c>
      <c r="J411" s="15">
        <f>Table1[[#This Row],[Salary]]+Table1[[#This Row],[Bonus]]</f>
        <v>5189301.3061999995</v>
      </c>
      <c r="K411" s="25">
        <f>COUNTA(Table1[Employee_ID])</f>
        <v>1000</v>
      </c>
      <c r="L411" s="1">
        <f>SUM(Table1[Salary])</f>
        <v>3119391523.8580012</v>
      </c>
      <c r="M411" s="15">
        <f>AVERAGE(Table1[Salary])</f>
        <v>3119391.5238580015</v>
      </c>
      <c r="N411" s="29">
        <f>SUM(Table1[Bonus])</f>
        <v>308244983.02069992</v>
      </c>
    </row>
    <row r="412" spans="1:14" ht="12.75" customHeight="1" x14ac:dyDescent="0.25">
      <c r="A412" s="2">
        <v>286</v>
      </c>
      <c r="B412" s="10" t="s">
        <v>181</v>
      </c>
      <c r="C412" s="10" t="s">
        <v>599</v>
      </c>
      <c r="D412" s="10" t="s">
        <v>174</v>
      </c>
      <c r="E412" s="10" t="s">
        <v>39</v>
      </c>
      <c r="F412" s="10" t="s">
        <v>186</v>
      </c>
      <c r="G412" s="10" t="s">
        <v>56</v>
      </c>
      <c r="H412" s="13">
        <v>5079591.9740000004</v>
      </c>
      <c r="I412" s="15">
        <f>IF(Table1[[#This Row],[Salary]]&lt;1000000,Table1[[#This Row],[Salary]]*0.05,Table1[[#This Row],[Salary]]*0.1)</f>
        <v>507959.19740000006</v>
      </c>
      <c r="J412" s="15">
        <f>Table1[[#This Row],[Salary]]+Table1[[#This Row],[Bonus]]</f>
        <v>5587551.1714000003</v>
      </c>
      <c r="K412" s="25">
        <f>COUNTA(Table1[Employee_ID])</f>
        <v>1000</v>
      </c>
      <c r="L412" s="1">
        <f>SUM(Table1[Salary])</f>
        <v>3119391523.8580012</v>
      </c>
      <c r="M412" s="15">
        <f>AVERAGE(Table1[Salary])</f>
        <v>3119391.5238580015</v>
      </c>
      <c r="N412" s="29">
        <f>SUM(Table1[Bonus])</f>
        <v>308244983.02069992</v>
      </c>
    </row>
    <row r="413" spans="1:14" ht="12.75" customHeight="1" x14ac:dyDescent="0.25">
      <c r="A413" s="2">
        <v>287</v>
      </c>
      <c r="B413" s="10" t="s">
        <v>600</v>
      </c>
      <c r="C413" s="10" t="s">
        <v>601</v>
      </c>
      <c r="D413" s="10" t="s">
        <v>183</v>
      </c>
      <c r="E413" s="10" t="s">
        <v>6</v>
      </c>
      <c r="F413" s="10" t="s">
        <v>123</v>
      </c>
      <c r="G413" s="10" t="s">
        <v>35</v>
      </c>
      <c r="H413" s="13">
        <v>3172120.9139999999</v>
      </c>
      <c r="I413" s="15">
        <f>IF(Table1[[#This Row],[Salary]]&lt;1000000,Table1[[#This Row],[Salary]]*0.05,Table1[[#This Row],[Salary]]*0.1)</f>
        <v>317212.09140000003</v>
      </c>
      <c r="J413" s="15">
        <f>Table1[[#This Row],[Salary]]+Table1[[#This Row],[Bonus]]</f>
        <v>3489333.0054000001</v>
      </c>
      <c r="K413" s="25">
        <f>COUNTA(Table1[Employee_ID])</f>
        <v>1000</v>
      </c>
      <c r="L413" s="1">
        <f>SUM(Table1[Salary])</f>
        <v>3119391523.8580012</v>
      </c>
      <c r="M413" s="15">
        <f>AVERAGE(Table1[Salary])</f>
        <v>3119391.5238580015</v>
      </c>
      <c r="N413" s="29">
        <f>SUM(Table1[Bonus])</f>
        <v>308244983.02069992</v>
      </c>
    </row>
    <row r="414" spans="1:14" ht="12.75" customHeight="1" x14ac:dyDescent="0.25">
      <c r="A414" s="2">
        <v>290</v>
      </c>
      <c r="B414" s="10" t="s">
        <v>606</v>
      </c>
      <c r="C414" s="10" t="s">
        <v>607</v>
      </c>
      <c r="D414" s="10" t="s">
        <v>488</v>
      </c>
      <c r="E414" s="10" t="s">
        <v>27</v>
      </c>
      <c r="F414" s="10" t="s">
        <v>85</v>
      </c>
      <c r="G414" s="10" t="s">
        <v>29</v>
      </c>
      <c r="H414" s="13">
        <v>5484564.7620000001</v>
      </c>
      <c r="I414" s="15">
        <f>IF(Table1[[#This Row],[Salary]]&lt;1000000,Table1[[#This Row],[Salary]]*0.05,Table1[[#This Row],[Salary]]*0.1)</f>
        <v>548456.47620000003</v>
      </c>
      <c r="J414" s="15">
        <f>Table1[[#This Row],[Salary]]+Table1[[#This Row],[Bonus]]</f>
        <v>6033021.2382000005</v>
      </c>
      <c r="K414" s="25">
        <f>COUNTA(Table1[Employee_ID])</f>
        <v>1000</v>
      </c>
      <c r="L414" s="1">
        <f>SUM(Table1[Salary])</f>
        <v>3119391523.8580012</v>
      </c>
      <c r="M414" s="15">
        <f>AVERAGE(Table1[Salary])</f>
        <v>3119391.5238580015</v>
      </c>
      <c r="N414" s="29">
        <f>SUM(Table1[Bonus])</f>
        <v>308244983.02069992</v>
      </c>
    </row>
    <row r="415" spans="1:14" ht="12.75" customHeight="1" x14ac:dyDescent="0.25">
      <c r="A415" s="2">
        <v>291</v>
      </c>
      <c r="B415" s="10" t="s">
        <v>608</v>
      </c>
      <c r="C415" s="10" t="s">
        <v>609</v>
      </c>
      <c r="D415" s="10" t="s">
        <v>377</v>
      </c>
      <c r="E415" s="10" t="s">
        <v>27</v>
      </c>
      <c r="F415" s="10" t="s">
        <v>106</v>
      </c>
      <c r="G415" s="10" t="s">
        <v>71</v>
      </c>
      <c r="H415" s="13">
        <v>860627.35599999991</v>
      </c>
      <c r="I415" s="15">
        <f>IF(Table1[[#This Row],[Salary]]&lt;1000000,Table1[[#This Row],[Salary]]*0.05,Table1[[#This Row],[Salary]]*0.1)</f>
        <v>43031.3678</v>
      </c>
      <c r="J415" s="15">
        <f>Table1[[#This Row],[Salary]]+Table1[[#This Row],[Bonus]]</f>
        <v>903658.72379999992</v>
      </c>
      <c r="K415" s="25">
        <f>COUNTA(Table1[Employee_ID])</f>
        <v>1000</v>
      </c>
      <c r="L415" s="1">
        <f>SUM(Table1[Salary])</f>
        <v>3119391523.8580012</v>
      </c>
      <c r="M415" s="15">
        <f>AVERAGE(Table1[Salary])</f>
        <v>3119391.5238580015</v>
      </c>
      <c r="N415" s="29">
        <f>SUM(Table1[Bonus])</f>
        <v>308244983.02069992</v>
      </c>
    </row>
    <row r="416" spans="1:14" ht="12.75" customHeight="1" x14ac:dyDescent="0.25">
      <c r="A416" s="2">
        <v>293</v>
      </c>
      <c r="B416" s="10" t="s">
        <v>553</v>
      </c>
      <c r="C416" s="10" t="s">
        <v>611</v>
      </c>
      <c r="D416" s="10" t="s">
        <v>377</v>
      </c>
      <c r="E416" s="10" t="s">
        <v>13</v>
      </c>
      <c r="F416" s="10" t="s">
        <v>120</v>
      </c>
      <c r="G416" s="10" t="s">
        <v>48</v>
      </c>
      <c r="H416" s="13">
        <v>3276918.662</v>
      </c>
      <c r="I416" s="15">
        <f>IF(Table1[[#This Row],[Salary]]&lt;1000000,Table1[[#This Row],[Salary]]*0.05,Table1[[#This Row],[Salary]]*0.1)</f>
        <v>327691.86620000005</v>
      </c>
      <c r="J416" s="15">
        <f>Table1[[#This Row],[Salary]]+Table1[[#This Row],[Bonus]]</f>
        <v>3604610.5282000001</v>
      </c>
      <c r="K416" s="25">
        <f>COUNTA(Table1[Employee_ID])</f>
        <v>1000</v>
      </c>
      <c r="L416" s="1">
        <f>SUM(Table1[Salary])</f>
        <v>3119391523.8580012</v>
      </c>
      <c r="M416" s="15">
        <f>AVERAGE(Table1[Salary])</f>
        <v>3119391.5238580015</v>
      </c>
      <c r="N416" s="29">
        <f>SUM(Table1[Bonus])</f>
        <v>308244983.02069992</v>
      </c>
    </row>
    <row r="417" spans="1:14" ht="12.75" customHeight="1" x14ac:dyDescent="0.25">
      <c r="A417" s="2">
        <v>294</v>
      </c>
      <c r="B417" s="10" t="s">
        <v>506</v>
      </c>
      <c r="C417" s="10" t="s">
        <v>20</v>
      </c>
      <c r="D417" s="10" t="s">
        <v>156</v>
      </c>
      <c r="E417" s="10" t="s">
        <v>2</v>
      </c>
      <c r="F417" s="10" t="s">
        <v>102</v>
      </c>
      <c r="G417" s="10" t="s">
        <v>71</v>
      </c>
      <c r="H417" s="13">
        <v>596409.424</v>
      </c>
      <c r="I417" s="15">
        <f>IF(Table1[[#This Row],[Salary]]&lt;1000000,Table1[[#This Row],[Salary]]*0.05,Table1[[#This Row],[Salary]]*0.1)</f>
        <v>29820.4712</v>
      </c>
      <c r="J417" s="15">
        <f>Table1[[#This Row],[Salary]]+Table1[[#This Row],[Bonus]]</f>
        <v>626229.89520000003</v>
      </c>
      <c r="K417" s="25">
        <f>COUNTA(Table1[Employee_ID])</f>
        <v>1000</v>
      </c>
      <c r="L417" s="1">
        <f>SUM(Table1[Salary])</f>
        <v>3119391523.8580012</v>
      </c>
      <c r="M417" s="15">
        <f>AVERAGE(Table1[Salary])</f>
        <v>3119391.5238580015</v>
      </c>
      <c r="N417" s="29">
        <f>SUM(Table1[Bonus])</f>
        <v>308244983.02069992</v>
      </c>
    </row>
    <row r="418" spans="1:14" ht="12.75" customHeight="1" x14ac:dyDescent="0.25">
      <c r="A418" s="2">
        <v>295</v>
      </c>
      <c r="B418" s="10" t="s">
        <v>612</v>
      </c>
      <c r="C418" s="10" t="s">
        <v>613</v>
      </c>
      <c r="D418" s="10" t="s">
        <v>174</v>
      </c>
      <c r="E418" s="10" t="s">
        <v>27</v>
      </c>
      <c r="F418" s="10" t="s">
        <v>28</v>
      </c>
      <c r="G418" s="10" t="s">
        <v>23</v>
      </c>
      <c r="H418" s="13">
        <v>1982445.284</v>
      </c>
      <c r="I418" s="15">
        <f>IF(Table1[[#This Row],[Salary]]&lt;1000000,Table1[[#This Row],[Salary]]*0.05,Table1[[#This Row],[Salary]]*0.1)</f>
        <v>198244.52840000001</v>
      </c>
      <c r="J418" s="15">
        <f>Table1[[#This Row],[Salary]]+Table1[[#This Row],[Bonus]]</f>
        <v>2180689.8124000002</v>
      </c>
      <c r="K418" s="25">
        <f>COUNTA(Table1[Employee_ID])</f>
        <v>1000</v>
      </c>
      <c r="L418" s="1">
        <f>SUM(Table1[Salary])</f>
        <v>3119391523.8580012</v>
      </c>
      <c r="M418" s="15">
        <f>AVERAGE(Table1[Salary])</f>
        <v>3119391.5238580015</v>
      </c>
      <c r="N418" s="29">
        <f>SUM(Table1[Bonus])</f>
        <v>308244983.02069992</v>
      </c>
    </row>
    <row r="419" spans="1:14" ht="12.75" customHeight="1" x14ac:dyDescent="0.25">
      <c r="A419" s="2">
        <v>296</v>
      </c>
      <c r="B419" s="10" t="s">
        <v>614</v>
      </c>
      <c r="C419" s="10" t="s">
        <v>130</v>
      </c>
      <c r="D419" s="10" t="s">
        <v>174</v>
      </c>
      <c r="E419" s="10" t="s">
        <v>27</v>
      </c>
      <c r="F419" s="10" t="s">
        <v>85</v>
      </c>
      <c r="G419" s="10" t="s">
        <v>56</v>
      </c>
      <c r="H419" s="13">
        <v>3647209.946</v>
      </c>
      <c r="I419" s="15">
        <f>IF(Table1[[#This Row],[Salary]]&lt;1000000,Table1[[#This Row],[Salary]]*0.05,Table1[[#This Row],[Salary]]*0.1)</f>
        <v>364720.99460000003</v>
      </c>
      <c r="J419" s="15">
        <f>Table1[[#This Row],[Salary]]+Table1[[#This Row],[Bonus]]</f>
        <v>4011930.9405999999</v>
      </c>
      <c r="K419" s="25">
        <f>COUNTA(Table1[Employee_ID])</f>
        <v>1000</v>
      </c>
      <c r="L419" s="1">
        <f>SUM(Table1[Salary])</f>
        <v>3119391523.8580012</v>
      </c>
      <c r="M419" s="15">
        <f>AVERAGE(Table1[Salary])</f>
        <v>3119391.5238580015</v>
      </c>
      <c r="N419" s="29">
        <f>SUM(Table1[Bonus])</f>
        <v>308244983.02069992</v>
      </c>
    </row>
    <row r="420" spans="1:14" ht="12.75" customHeight="1" x14ac:dyDescent="0.25">
      <c r="A420" s="2">
        <v>298</v>
      </c>
      <c r="B420" s="10" t="s">
        <v>617</v>
      </c>
      <c r="C420" s="10" t="s">
        <v>618</v>
      </c>
      <c r="D420" s="10" t="s">
        <v>324</v>
      </c>
      <c r="E420" s="10" t="s">
        <v>6</v>
      </c>
      <c r="F420" s="10" t="s">
        <v>144</v>
      </c>
      <c r="G420" s="10" t="s">
        <v>48</v>
      </c>
      <c r="H420" s="13">
        <v>706172</v>
      </c>
      <c r="I420" s="15">
        <f>IF(Table1[[#This Row],[Salary]]&lt;1000000,Table1[[#This Row],[Salary]]*0.05,Table1[[#This Row],[Salary]]*0.1)</f>
        <v>35308.6</v>
      </c>
      <c r="J420" s="15">
        <f>Table1[[#This Row],[Salary]]+Table1[[#This Row],[Bonus]]</f>
        <v>741480.6</v>
      </c>
      <c r="K420" s="25">
        <f>COUNTA(Table1[Employee_ID])</f>
        <v>1000</v>
      </c>
      <c r="L420" s="1">
        <f>SUM(Table1[Salary])</f>
        <v>3119391523.8580012</v>
      </c>
      <c r="M420" s="15">
        <f>AVERAGE(Table1[Salary])</f>
        <v>3119391.5238580015</v>
      </c>
      <c r="N420" s="29">
        <f>SUM(Table1[Bonus])</f>
        <v>308244983.02069992</v>
      </c>
    </row>
    <row r="421" spans="1:14" ht="12.75" customHeight="1" x14ac:dyDescent="0.25">
      <c r="A421" s="2">
        <v>299</v>
      </c>
      <c r="B421" s="10" t="s">
        <v>249</v>
      </c>
      <c r="C421" s="10" t="s">
        <v>619</v>
      </c>
      <c r="D421" s="10" t="s">
        <v>177</v>
      </c>
      <c r="E421" s="10" t="s">
        <v>63</v>
      </c>
      <c r="F421" s="10" t="s">
        <v>64</v>
      </c>
      <c r="G421" s="10" t="s">
        <v>35</v>
      </c>
      <c r="H421" s="13">
        <v>5075459.67</v>
      </c>
      <c r="I421" s="15">
        <f>IF(Table1[[#This Row],[Salary]]&lt;1000000,Table1[[#This Row],[Salary]]*0.05,Table1[[#This Row],[Salary]]*0.1)</f>
        <v>507545.967</v>
      </c>
      <c r="J421" s="15">
        <f>Table1[[#This Row],[Salary]]+Table1[[#This Row],[Bonus]]</f>
        <v>5583005.6370000001</v>
      </c>
      <c r="K421" s="25">
        <f>COUNTA(Table1[Employee_ID])</f>
        <v>1000</v>
      </c>
      <c r="L421" s="1">
        <f>SUM(Table1[Salary])</f>
        <v>3119391523.8580012</v>
      </c>
      <c r="M421" s="15">
        <f>AVERAGE(Table1[Salary])</f>
        <v>3119391.5238580015</v>
      </c>
      <c r="N421" s="29">
        <f>SUM(Table1[Bonus])</f>
        <v>308244983.02069992</v>
      </c>
    </row>
    <row r="422" spans="1:14" ht="12.75" customHeight="1" x14ac:dyDescent="0.25">
      <c r="A422" s="2">
        <v>300</v>
      </c>
      <c r="B422" s="10" t="s">
        <v>620</v>
      </c>
      <c r="C422" s="10" t="s">
        <v>621</v>
      </c>
      <c r="D422" s="10" t="s">
        <v>324</v>
      </c>
      <c r="E422" s="10" t="s">
        <v>27</v>
      </c>
      <c r="F422" s="10" t="s">
        <v>106</v>
      </c>
      <c r="G422" s="10" t="s">
        <v>56</v>
      </c>
      <c r="H422" s="13">
        <v>2041407.5719999999</v>
      </c>
      <c r="I422" s="15">
        <f>IF(Table1[[#This Row],[Salary]]&lt;1000000,Table1[[#This Row],[Salary]]*0.05,Table1[[#This Row],[Salary]]*0.1)</f>
        <v>204140.75719999999</v>
      </c>
      <c r="J422" s="15">
        <f>Table1[[#This Row],[Salary]]+Table1[[#This Row],[Bonus]]</f>
        <v>2245548.3292</v>
      </c>
      <c r="K422" s="25">
        <f>COUNTA(Table1[Employee_ID])</f>
        <v>1000</v>
      </c>
      <c r="L422" s="1">
        <f>SUM(Table1[Salary])</f>
        <v>3119391523.8580012</v>
      </c>
      <c r="M422" s="15">
        <f>AVERAGE(Table1[Salary])</f>
        <v>3119391.5238580015</v>
      </c>
      <c r="N422" s="29">
        <f>SUM(Table1[Bonus])</f>
        <v>308244983.02069992</v>
      </c>
    </row>
    <row r="423" spans="1:14" ht="12.75" customHeight="1" x14ac:dyDescent="0.25">
      <c r="A423" s="2">
        <v>306</v>
      </c>
      <c r="B423" s="10" t="s">
        <v>628</v>
      </c>
      <c r="C423" s="10" t="s">
        <v>629</v>
      </c>
      <c r="D423" s="10" t="s">
        <v>96</v>
      </c>
      <c r="E423" s="10" t="s">
        <v>39</v>
      </c>
      <c r="F423" s="10" t="s">
        <v>189</v>
      </c>
      <c r="G423" s="10" t="s">
        <v>29</v>
      </c>
      <c r="H423" s="13">
        <v>2612114.4339999999</v>
      </c>
      <c r="I423" s="15">
        <f>IF(Table1[[#This Row],[Salary]]&lt;1000000,Table1[[#This Row],[Salary]]*0.05,Table1[[#This Row],[Salary]]*0.1)</f>
        <v>261211.44339999999</v>
      </c>
      <c r="J423" s="15">
        <f>Table1[[#This Row],[Salary]]+Table1[[#This Row],[Bonus]]</f>
        <v>2873325.8773999996</v>
      </c>
      <c r="K423" s="25">
        <f>COUNTA(Table1[Employee_ID])</f>
        <v>1000</v>
      </c>
      <c r="L423" s="1">
        <f>SUM(Table1[Salary])</f>
        <v>3119391523.8580012</v>
      </c>
      <c r="M423" s="15">
        <f>AVERAGE(Table1[Salary])</f>
        <v>3119391.5238580015</v>
      </c>
      <c r="N423" s="29">
        <f>SUM(Table1[Bonus])</f>
        <v>308244983.02069992</v>
      </c>
    </row>
    <row r="424" spans="1:14" ht="12.75" customHeight="1" x14ac:dyDescent="0.25">
      <c r="A424" s="2">
        <v>307</v>
      </c>
      <c r="B424" s="10" t="s">
        <v>630</v>
      </c>
      <c r="C424" s="10" t="s">
        <v>631</v>
      </c>
      <c r="D424" s="10" t="s">
        <v>137</v>
      </c>
      <c r="E424" s="10" t="s">
        <v>10</v>
      </c>
      <c r="F424" s="10" t="s">
        <v>109</v>
      </c>
      <c r="G424" s="10" t="s">
        <v>35</v>
      </c>
      <c r="H424" s="13">
        <v>3231301.2439999999</v>
      </c>
      <c r="I424" s="15">
        <f>IF(Table1[[#This Row],[Salary]]&lt;1000000,Table1[[#This Row],[Salary]]*0.05,Table1[[#This Row],[Salary]]*0.1)</f>
        <v>323130.12440000003</v>
      </c>
      <c r="J424" s="15">
        <f>Table1[[#This Row],[Salary]]+Table1[[#This Row],[Bonus]]</f>
        <v>3554431.3684</v>
      </c>
      <c r="K424" s="25">
        <f>COUNTA(Table1[Employee_ID])</f>
        <v>1000</v>
      </c>
      <c r="L424" s="1">
        <f>SUM(Table1[Salary])</f>
        <v>3119391523.8580012</v>
      </c>
      <c r="M424" s="15">
        <f>AVERAGE(Table1[Salary])</f>
        <v>3119391.5238580015</v>
      </c>
      <c r="N424" s="29">
        <f>SUM(Table1[Bonus])</f>
        <v>308244983.02069992</v>
      </c>
    </row>
    <row r="425" spans="1:14" ht="12.75" customHeight="1" x14ac:dyDescent="0.25">
      <c r="A425" s="2">
        <v>308</v>
      </c>
      <c r="B425" s="10" t="s">
        <v>632</v>
      </c>
      <c r="C425" s="10" t="s">
        <v>633</v>
      </c>
      <c r="D425" s="10" t="s">
        <v>316</v>
      </c>
      <c r="E425" s="10" t="s">
        <v>63</v>
      </c>
      <c r="F425" s="10" t="s">
        <v>113</v>
      </c>
      <c r="G425" s="10" t="s">
        <v>23</v>
      </c>
      <c r="H425" s="13">
        <v>5355117.7740000002</v>
      </c>
      <c r="I425" s="15">
        <f>IF(Table1[[#This Row],[Salary]]&lt;1000000,Table1[[#This Row],[Salary]]*0.05,Table1[[#This Row],[Salary]]*0.1)</f>
        <v>535511.77740000002</v>
      </c>
      <c r="J425" s="15">
        <f>Table1[[#This Row],[Salary]]+Table1[[#This Row],[Bonus]]</f>
        <v>5890629.5514000002</v>
      </c>
      <c r="K425" s="25">
        <f>COUNTA(Table1[Employee_ID])</f>
        <v>1000</v>
      </c>
      <c r="L425" s="1">
        <f>SUM(Table1[Salary])</f>
        <v>3119391523.8580012</v>
      </c>
      <c r="M425" s="15">
        <f>AVERAGE(Table1[Salary])</f>
        <v>3119391.5238580015</v>
      </c>
      <c r="N425" s="29">
        <f>SUM(Table1[Bonus])</f>
        <v>308244983.02069992</v>
      </c>
    </row>
    <row r="426" spans="1:14" ht="12.75" customHeight="1" x14ac:dyDescent="0.25">
      <c r="A426" s="2">
        <v>309</v>
      </c>
      <c r="B426" s="10" t="s">
        <v>634</v>
      </c>
      <c r="C426" s="10" t="s">
        <v>635</v>
      </c>
      <c r="D426" s="10" t="s">
        <v>21</v>
      </c>
      <c r="E426" s="10" t="s">
        <v>63</v>
      </c>
      <c r="F426" s="10" t="s">
        <v>131</v>
      </c>
      <c r="G426" s="10" t="s">
        <v>71</v>
      </c>
      <c r="H426" s="13">
        <v>3611392.7579999999</v>
      </c>
      <c r="I426" s="15">
        <f>IF(Table1[[#This Row],[Salary]]&lt;1000000,Table1[[#This Row],[Salary]]*0.05,Table1[[#This Row],[Salary]]*0.1)</f>
        <v>361139.2758</v>
      </c>
      <c r="J426" s="15">
        <f>Table1[[#This Row],[Salary]]+Table1[[#This Row],[Bonus]]</f>
        <v>3972532.0337999999</v>
      </c>
      <c r="K426" s="25">
        <f>COUNTA(Table1[Employee_ID])</f>
        <v>1000</v>
      </c>
      <c r="L426" s="1">
        <f>SUM(Table1[Salary])</f>
        <v>3119391523.8580012</v>
      </c>
      <c r="M426" s="15">
        <f>AVERAGE(Table1[Salary])</f>
        <v>3119391.5238580015</v>
      </c>
      <c r="N426" s="29">
        <f>SUM(Table1[Bonus])</f>
        <v>308244983.02069992</v>
      </c>
    </row>
    <row r="427" spans="1:14" ht="12.75" customHeight="1" x14ac:dyDescent="0.25">
      <c r="A427" s="2">
        <v>310</v>
      </c>
      <c r="B427" s="10" t="s">
        <v>636</v>
      </c>
      <c r="C427" s="10" t="s">
        <v>637</v>
      </c>
      <c r="D427" s="10" t="s">
        <v>26</v>
      </c>
      <c r="E427" s="10" t="s">
        <v>2</v>
      </c>
      <c r="F427" s="10" t="s">
        <v>60</v>
      </c>
      <c r="G427" s="10" t="s">
        <v>23</v>
      </c>
      <c r="H427" s="13">
        <v>4551046.5059999991</v>
      </c>
      <c r="I427" s="15">
        <f>IF(Table1[[#This Row],[Salary]]&lt;1000000,Table1[[#This Row],[Salary]]*0.05,Table1[[#This Row],[Salary]]*0.1)</f>
        <v>455104.65059999994</v>
      </c>
      <c r="J427" s="15">
        <f>Table1[[#This Row],[Salary]]+Table1[[#This Row],[Bonus]]</f>
        <v>5006151.1565999994</v>
      </c>
      <c r="K427" s="25">
        <f>COUNTA(Table1[Employee_ID])</f>
        <v>1000</v>
      </c>
      <c r="L427" s="1">
        <f>SUM(Table1[Salary])</f>
        <v>3119391523.8580012</v>
      </c>
      <c r="M427" s="15">
        <f>AVERAGE(Table1[Salary])</f>
        <v>3119391.5238580015</v>
      </c>
      <c r="N427" s="29">
        <f>SUM(Table1[Bonus])</f>
        <v>308244983.02069992</v>
      </c>
    </row>
    <row r="428" spans="1:14" ht="12.75" customHeight="1" x14ac:dyDescent="0.25">
      <c r="A428" s="2">
        <v>311</v>
      </c>
      <c r="B428" s="10" t="s">
        <v>638</v>
      </c>
      <c r="C428" s="10" t="s">
        <v>639</v>
      </c>
      <c r="D428" s="10" t="s">
        <v>32</v>
      </c>
      <c r="E428" s="10" t="s">
        <v>10</v>
      </c>
      <c r="F428" s="10" t="s">
        <v>131</v>
      </c>
      <c r="G428" s="10" t="s">
        <v>48</v>
      </c>
      <c r="H428" s="13">
        <v>5791739.2999999998</v>
      </c>
      <c r="I428" s="15">
        <f>IF(Table1[[#This Row],[Salary]]&lt;1000000,Table1[[#This Row],[Salary]]*0.05,Table1[[#This Row],[Salary]]*0.1)</f>
        <v>579173.93000000005</v>
      </c>
      <c r="J428" s="15">
        <f>Table1[[#This Row],[Salary]]+Table1[[#This Row],[Bonus]]</f>
        <v>6370913.2299999995</v>
      </c>
      <c r="K428" s="25">
        <f>COUNTA(Table1[Employee_ID])</f>
        <v>1000</v>
      </c>
      <c r="L428" s="1">
        <f>SUM(Table1[Salary])</f>
        <v>3119391523.8580012</v>
      </c>
      <c r="M428" s="15">
        <f>AVERAGE(Table1[Salary])</f>
        <v>3119391.5238580015</v>
      </c>
      <c r="N428" s="29">
        <f>SUM(Table1[Bonus])</f>
        <v>308244983.02069992</v>
      </c>
    </row>
    <row r="429" spans="1:14" ht="12.75" customHeight="1" x14ac:dyDescent="0.25">
      <c r="A429" s="2">
        <v>312</v>
      </c>
      <c r="B429" s="10" t="s">
        <v>640</v>
      </c>
      <c r="C429" s="10" t="s">
        <v>641</v>
      </c>
      <c r="D429" s="10" t="s">
        <v>38</v>
      </c>
      <c r="E429" s="10" t="s">
        <v>14</v>
      </c>
      <c r="F429" s="10" t="s">
        <v>222</v>
      </c>
      <c r="G429" s="10" t="s">
        <v>29</v>
      </c>
      <c r="H429" s="13">
        <v>5143199.6059999997</v>
      </c>
      <c r="I429" s="15">
        <f>IF(Table1[[#This Row],[Salary]]&lt;1000000,Table1[[#This Row],[Salary]]*0.05,Table1[[#This Row],[Salary]]*0.1)</f>
        <v>514319.96059999999</v>
      </c>
      <c r="J429" s="15">
        <f>Table1[[#This Row],[Salary]]+Table1[[#This Row],[Bonus]]</f>
        <v>5657519.5665999996</v>
      </c>
      <c r="K429" s="25">
        <f>COUNTA(Table1[Employee_ID])</f>
        <v>1000</v>
      </c>
      <c r="L429" s="1">
        <f>SUM(Table1[Salary])</f>
        <v>3119391523.8580012</v>
      </c>
      <c r="M429" s="15">
        <f>AVERAGE(Table1[Salary])</f>
        <v>3119391.5238580015</v>
      </c>
      <c r="N429" s="29">
        <f>SUM(Table1[Bonus])</f>
        <v>308244983.02069992</v>
      </c>
    </row>
    <row r="430" spans="1:14" ht="12.75" customHeight="1" x14ac:dyDescent="0.25">
      <c r="A430" s="2">
        <v>314</v>
      </c>
      <c r="B430" s="10" t="s">
        <v>592</v>
      </c>
      <c r="C430" s="10" t="s">
        <v>643</v>
      </c>
      <c r="D430" s="10" t="s">
        <v>46</v>
      </c>
      <c r="E430" s="10" t="s">
        <v>33</v>
      </c>
      <c r="F430" s="10" t="s">
        <v>47</v>
      </c>
      <c r="G430" s="10" t="s">
        <v>23</v>
      </c>
      <c r="H430" s="13">
        <v>1698092.8639999998</v>
      </c>
      <c r="I430" s="15">
        <f>IF(Table1[[#This Row],[Salary]]&lt;1000000,Table1[[#This Row],[Salary]]*0.05,Table1[[#This Row],[Salary]]*0.1)</f>
        <v>169809.28639999998</v>
      </c>
      <c r="J430" s="15">
        <f>Table1[[#This Row],[Salary]]+Table1[[#This Row],[Bonus]]</f>
        <v>1867902.1503999997</v>
      </c>
      <c r="K430" s="25">
        <f>COUNTA(Table1[Employee_ID])</f>
        <v>1000</v>
      </c>
      <c r="L430" s="1">
        <f>SUM(Table1[Salary])</f>
        <v>3119391523.8580012</v>
      </c>
      <c r="M430" s="15">
        <f>AVERAGE(Table1[Salary])</f>
        <v>3119391.5238580015</v>
      </c>
      <c r="N430" s="29">
        <f>SUM(Table1[Bonus])</f>
        <v>308244983.02069992</v>
      </c>
    </row>
    <row r="431" spans="1:14" ht="12.75" customHeight="1" x14ac:dyDescent="0.25">
      <c r="A431" s="2">
        <v>315</v>
      </c>
      <c r="B431" s="10" t="s">
        <v>644</v>
      </c>
      <c r="C431" s="10" t="s">
        <v>645</v>
      </c>
      <c r="D431" s="10" t="s">
        <v>21</v>
      </c>
      <c r="E431" s="10" t="s">
        <v>33</v>
      </c>
      <c r="F431" s="10" t="s">
        <v>55</v>
      </c>
      <c r="G431" s="10" t="s">
        <v>35</v>
      </c>
      <c r="H431" s="13">
        <v>3280043.5420000004</v>
      </c>
      <c r="I431" s="15">
        <f>IF(Table1[[#This Row],[Salary]]&lt;1000000,Table1[[#This Row],[Salary]]*0.05,Table1[[#This Row],[Salary]]*0.1)</f>
        <v>328004.35420000006</v>
      </c>
      <c r="J431" s="15">
        <f>Table1[[#This Row],[Salary]]+Table1[[#This Row],[Bonus]]</f>
        <v>3608047.8962000003</v>
      </c>
      <c r="K431" s="25">
        <f>COUNTA(Table1[Employee_ID])</f>
        <v>1000</v>
      </c>
      <c r="L431" s="1">
        <f>SUM(Table1[Salary])</f>
        <v>3119391523.8580012</v>
      </c>
      <c r="M431" s="15">
        <f>AVERAGE(Table1[Salary])</f>
        <v>3119391.5238580015</v>
      </c>
      <c r="N431" s="29">
        <f>SUM(Table1[Bonus])</f>
        <v>308244983.02069992</v>
      </c>
    </row>
    <row r="432" spans="1:14" ht="12.75" customHeight="1" x14ac:dyDescent="0.25">
      <c r="A432" s="2">
        <v>316</v>
      </c>
      <c r="B432" s="10" t="s">
        <v>598</v>
      </c>
      <c r="C432" s="10" t="s">
        <v>597</v>
      </c>
      <c r="D432" s="10" t="s">
        <v>54</v>
      </c>
      <c r="E432" s="10" t="s">
        <v>2</v>
      </c>
      <c r="F432" s="10" t="s">
        <v>74</v>
      </c>
      <c r="G432" s="10" t="s">
        <v>56</v>
      </c>
      <c r="H432" s="13">
        <v>2527030.2479999997</v>
      </c>
      <c r="I432" s="15">
        <f>IF(Table1[[#This Row],[Salary]]&lt;1000000,Table1[[#This Row],[Salary]]*0.05,Table1[[#This Row],[Salary]]*0.1)</f>
        <v>252703.02479999998</v>
      </c>
      <c r="J432" s="15">
        <f>Table1[[#This Row],[Salary]]+Table1[[#This Row],[Bonus]]</f>
        <v>2779733.2727999995</v>
      </c>
      <c r="K432" s="25">
        <f>COUNTA(Table1[Employee_ID])</f>
        <v>1000</v>
      </c>
      <c r="L432" s="1">
        <f>SUM(Table1[Salary])</f>
        <v>3119391523.8580012</v>
      </c>
      <c r="M432" s="15">
        <f>AVERAGE(Table1[Salary])</f>
        <v>3119391.5238580015</v>
      </c>
      <c r="N432" s="29">
        <f>SUM(Table1[Bonus])</f>
        <v>308244983.02069992</v>
      </c>
    </row>
    <row r="433" spans="1:14" ht="12.75" customHeight="1" x14ac:dyDescent="0.25">
      <c r="A433" s="2">
        <v>317</v>
      </c>
      <c r="B433" s="10" t="s">
        <v>646</v>
      </c>
      <c r="C433" s="10" t="s">
        <v>598</v>
      </c>
      <c r="D433" s="10" t="s">
        <v>59</v>
      </c>
      <c r="E433" s="10" t="s">
        <v>27</v>
      </c>
      <c r="F433" s="10" t="s">
        <v>28</v>
      </c>
      <c r="G433" s="10" t="s">
        <v>23</v>
      </c>
      <c r="H433" s="13">
        <v>4462577.4220000003</v>
      </c>
      <c r="I433" s="15">
        <f>IF(Table1[[#This Row],[Salary]]&lt;1000000,Table1[[#This Row],[Salary]]*0.05,Table1[[#This Row],[Salary]]*0.1)</f>
        <v>446257.74220000004</v>
      </c>
      <c r="J433" s="15">
        <f>Table1[[#This Row],[Salary]]+Table1[[#This Row],[Bonus]]</f>
        <v>4908835.1642000005</v>
      </c>
      <c r="K433" s="25">
        <f>COUNTA(Table1[Employee_ID])</f>
        <v>1000</v>
      </c>
      <c r="L433" s="1">
        <f>SUM(Table1[Salary])</f>
        <v>3119391523.8580012</v>
      </c>
      <c r="M433" s="15">
        <f>AVERAGE(Table1[Salary])</f>
        <v>3119391.5238580015</v>
      </c>
      <c r="N433" s="29">
        <f>SUM(Table1[Bonus])</f>
        <v>308244983.02069992</v>
      </c>
    </row>
    <row r="434" spans="1:14" ht="12.75" customHeight="1" x14ac:dyDescent="0.25">
      <c r="A434" s="2">
        <v>318</v>
      </c>
      <c r="B434" s="10" t="s">
        <v>647</v>
      </c>
      <c r="C434" s="10" t="s">
        <v>648</v>
      </c>
      <c r="D434" s="10" t="s">
        <v>21</v>
      </c>
      <c r="E434" s="10" t="s">
        <v>10</v>
      </c>
      <c r="F434" s="10" t="s">
        <v>78</v>
      </c>
      <c r="G434" s="10" t="s">
        <v>56</v>
      </c>
      <c r="H434" s="13">
        <v>5284921.0759999994</v>
      </c>
      <c r="I434" s="15">
        <f>IF(Table1[[#This Row],[Salary]]&lt;1000000,Table1[[#This Row],[Salary]]*0.05,Table1[[#This Row],[Salary]]*0.1)</f>
        <v>528492.10759999999</v>
      </c>
      <c r="J434" s="15">
        <f>Table1[[#This Row],[Salary]]+Table1[[#This Row],[Bonus]]</f>
        <v>5813413.1835999992</v>
      </c>
      <c r="K434" s="25">
        <f>COUNTA(Table1[Employee_ID])</f>
        <v>1000</v>
      </c>
      <c r="L434" s="1">
        <f>SUM(Table1[Salary])</f>
        <v>3119391523.8580012</v>
      </c>
      <c r="M434" s="15">
        <f>AVERAGE(Table1[Salary])</f>
        <v>3119391.5238580015</v>
      </c>
      <c r="N434" s="29">
        <f>SUM(Table1[Bonus])</f>
        <v>308244983.02069992</v>
      </c>
    </row>
    <row r="435" spans="1:14" ht="12.75" customHeight="1" x14ac:dyDescent="0.25">
      <c r="A435" s="2">
        <v>319</v>
      </c>
      <c r="B435" s="10" t="s">
        <v>649</v>
      </c>
      <c r="C435" s="10" t="s">
        <v>650</v>
      </c>
      <c r="D435" s="10" t="s">
        <v>46</v>
      </c>
      <c r="E435" s="10" t="s">
        <v>10</v>
      </c>
      <c r="F435" s="10" t="s">
        <v>109</v>
      </c>
      <c r="G435" s="10" t="s">
        <v>23</v>
      </c>
      <c r="H435" s="13">
        <v>688855.73400000005</v>
      </c>
      <c r="I435" s="15">
        <f>IF(Table1[[#This Row],[Salary]]&lt;1000000,Table1[[#This Row],[Salary]]*0.05,Table1[[#This Row],[Salary]]*0.1)</f>
        <v>34442.786700000004</v>
      </c>
      <c r="J435" s="15">
        <f>Table1[[#This Row],[Salary]]+Table1[[#This Row],[Bonus]]</f>
        <v>723298.52070000011</v>
      </c>
      <c r="K435" s="25">
        <f>COUNTA(Table1[Employee_ID])</f>
        <v>1000</v>
      </c>
      <c r="L435" s="1">
        <f>SUM(Table1[Salary])</f>
        <v>3119391523.8580012</v>
      </c>
      <c r="M435" s="15">
        <f>AVERAGE(Table1[Salary])</f>
        <v>3119391.5238580015</v>
      </c>
      <c r="N435" s="29">
        <f>SUM(Table1[Bonus])</f>
        <v>308244983.02069992</v>
      </c>
    </row>
    <row r="436" spans="1:14" ht="12.75" customHeight="1" x14ac:dyDescent="0.25">
      <c r="A436" s="2">
        <v>320</v>
      </c>
      <c r="B436" s="10" t="s">
        <v>651</v>
      </c>
      <c r="C436" s="10" t="s">
        <v>251</v>
      </c>
      <c r="D436" s="10" t="s">
        <v>59</v>
      </c>
      <c r="E436" s="10" t="s">
        <v>10</v>
      </c>
      <c r="F436" s="10" t="s">
        <v>131</v>
      </c>
      <c r="G436" s="10" t="s">
        <v>71</v>
      </c>
      <c r="H436" s="13">
        <v>1730529.818</v>
      </c>
      <c r="I436" s="15">
        <f>IF(Table1[[#This Row],[Salary]]&lt;1000000,Table1[[#This Row],[Salary]]*0.05,Table1[[#This Row],[Salary]]*0.1)</f>
        <v>173052.98180000001</v>
      </c>
      <c r="J436" s="15">
        <f>Table1[[#This Row],[Salary]]+Table1[[#This Row],[Bonus]]</f>
        <v>1903582.7997999999</v>
      </c>
      <c r="K436" s="25">
        <f>COUNTA(Table1[Employee_ID])</f>
        <v>1000</v>
      </c>
      <c r="L436" s="1">
        <f>SUM(Table1[Salary])</f>
        <v>3119391523.8580012</v>
      </c>
      <c r="M436" s="15">
        <f>AVERAGE(Table1[Salary])</f>
        <v>3119391.5238580015</v>
      </c>
      <c r="N436" s="29">
        <f>SUM(Table1[Bonus])</f>
        <v>308244983.02069992</v>
      </c>
    </row>
    <row r="437" spans="1:14" ht="12.75" customHeight="1" x14ac:dyDescent="0.25">
      <c r="A437" s="2">
        <v>321</v>
      </c>
      <c r="B437" s="10" t="s">
        <v>419</v>
      </c>
      <c r="C437" s="10" t="s">
        <v>652</v>
      </c>
      <c r="D437" s="10" t="s">
        <v>46</v>
      </c>
      <c r="E437" s="10" t="s">
        <v>39</v>
      </c>
      <c r="F437" s="10" t="s">
        <v>40</v>
      </c>
      <c r="G437" s="10" t="s">
        <v>23</v>
      </c>
      <c r="H437" s="13">
        <v>4088327.568</v>
      </c>
      <c r="I437" s="15">
        <f>IF(Table1[[#This Row],[Salary]]&lt;1000000,Table1[[#This Row],[Salary]]*0.05,Table1[[#This Row],[Salary]]*0.1)</f>
        <v>408832.75680000003</v>
      </c>
      <c r="J437" s="15">
        <f>Table1[[#This Row],[Salary]]+Table1[[#This Row],[Bonus]]</f>
        <v>4497160.3247999996</v>
      </c>
      <c r="K437" s="25">
        <f>COUNTA(Table1[Employee_ID])</f>
        <v>1000</v>
      </c>
      <c r="L437" s="1">
        <f>SUM(Table1[Salary])</f>
        <v>3119391523.8580012</v>
      </c>
      <c r="M437" s="15">
        <f>AVERAGE(Table1[Salary])</f>
        <v>3119391.5238580015</v>
      </c>
      <c r="N437" s="29">
        <f>SUM(Table1[Bonus])</f>
        <v>308244983.02069992</v>
      </c>
    </row>
    <row r="438" spans="1:14" ht="12.75" customHeight="1" x14ac:dyDescent="0.25">
      <c r="A438" s="2">
        <v>322</v>
      </c>
      <c r="B438" s="10" t="s">
        <v>524</v>
      </c>
      <c r="C438" s="10" t="s">
        <v>653</v>
      </c>
      <c r="D438" s="10" t="s">
        <v>77</v>
      </c>
      <c r="E438" s="10" t="s">
        <v>39</v>
      </c>
      <c r="F438" s="10" t="s">
        <v>186</v>
      </c>
      <c r="G438" s="10" t="s">
        <v>29</v>
      </c>
      <c r="H438" s="13">
        <v>5750511.8720000004</v>
      </c>
      <c r="I438" s="15">
        <f>IF(Table1[[#This Row],[Salary]]&lt;1000000,Table1[[#This Row],[Salary]]*0.05,Table1[[#This Row],[Salary]]*0.1)</f>
        <v>575051.18720000004</v>
      </c>
      <c r="J438" s="15">
        <f>Table1[[#This Row],[Salary]]+Table1[[#This Row],[Bonus]]</f>
        <v>6325563.0592</v>
      </c>
      <c r="K438" s="25">
        <f>COUNTA(Table1[Employee_ID])</f>
        <v>1000</v>
      </c>
      <c r="L438" s="1">
        <f>SUM(Table1[Salary])</f>
        <v>3119391523.8580012</v>
      </c>
      <c r="M438" s="15">
        <f>AVERAGE(Table1[Salary])</f>
        <v>3119391.5238580015</v>
      </c>
      <c r="N438" s="29">
        <f>SUM(Table1[Bonus])</f>
        <v>308244983.02069992</v>
      </c>
    </row>
    <row r="439" spans="1:14" ht="12.75" customHeight="1" x14ac:dyDescent="0.25">
      <c r="A439" s="2">
        <v>323</v>
      </c>
      <c r="B439" s="10" t="s">
        <v>654</v>
      </c>
      <c r="C439" s="10" t="s">
        <v>655</v>
      </c>
      <c r="D439" s="10" t="s">
        <v>21</v>
      </c>
      <c r="E439" s="10" t="s">
        <v>27</v>
      </c>
      <c r="F439" s="10" t="s">
        <v>85</v>
      </c>
      <c r="G439" s="10" t="s">
        <v>23</v>
      </c>
      <c r="H439" s="13">
        <v>4062991.554</v>
      </c>
      <c r="I439" s="15">
        <f>IF(Table1[[#This Row],[Salary]]&lt;1000000,Table1[[#This Row],[Salary]]*0.05,Table1[[#This Row],[Salary]]*0.1)</f>
        <v>406299.15540000005</v>
      </c>
      <c r="J439" s="15">
        <f>Table1[[#This Row],[Salary]]+Table1[[#This Row],[Bonus]]</f>
        <v>4469290.7094000001</v>
      </c>
      <c r="K439" s="25">
        <f>COUNTA(Table1[Employee_ID])</f>
        <v>1000</v>
      </c>
      <c r="L439" s="1">
        <f>SUM(Table1[Salary])</f>
        <v>3119391523.8580012</v>
      </c>
      <c r="M439" s="15">
        <f>AVERAGE(Table1[Salary])</f>
        <v>3119391.5238580015</v>
      </c>
      <c r="N439" s="29">
        <f>SUM(Table1[Bonus])</f>
        <v>308244983.02069992</v>
      </c>
    </row>
    <row r="440" spans="1:14" ht="12.75" customHeight="1" x14ac:dyDescent="0.25">
      <c r="A440" s="2">
        <v>325</v>
      </c>
      <c r="B440" s="10" t="s">
        <v>658</v>
      </c>
      <c r="C440" s="10" t="s">
        <v>659</v>
      </c>
      <c r="D440" s="10" t="s">
        <v>21</v>
      </c>
      <c r="E440" s="10" t="s">
        <v>39</v>
      </c>
      <c r="F440" s="10" t="s">
        <v>189</v>
      </c>
      <c r="G440" s="10" t="s">
        <v>35</v>
      </c>
      <c r="H440" s="13">
        <v>587653.93000000005</v>
      </c>
      <c r="I440" s="15">
        <f>IF(Table1[[#This Row],[Salary]]&lt;1000000,Table1[[#This Row],[Salary]]*0.05,Table1[[#This Row],[Salary]]*0.1)</f>
        <v>29382.696500000005</v>
      </c>
      <c r="J440" s="15">
        <f>Table1[[#This Row],[Salary]]+Table1[[#This Row],[Bonus]]</f>
        <v>617036.62650000001</v>
      </c>
      <c r="K440" s="25">
        <f>COUNTA(Table1[Employee_ID])</f>
        <v>1000</v>
      </c>
      <c r="L440" s="1">
        <f>SUM(Table1[Salary])</f>
        <v>3119391523.8580012</v>
      </c>
      <c r="M440" s="15">
        <f>AVERAGE(Table1[Salary])</f>
        <v>3119391.5238580015</v>
      </c>
      <c r="N440" s="29">
        <f>SUM(Table1[Bonus])</f>
        <v>308244983.02069992</v>
      </c>
    </row>
    <row r="441" spans="1:14" ht="12.75" customHeight="1" x14ac:dyDescent="0.25">
      <c r="A441" s="2">
        <v>326</v>
      </c>
      <c r="B441" s="10" t="s">
        <v>660</v>
      </c>
      <c r="C441" s="10" t="s">
        <v>360</v>
      </c>
      <c r="D441" s="10" t="s">
        <v>88</v>
      </c>
      <c r="E441" s="10" t="s">
        <v>14</v>
      </c>
      <c r="F441" s="10" t="s">
        <v>234</v>
      </c>
      <c r="G441" s="10" t="s">
        <v>71</v>
      </c>
      <c r="H441" s="13">
        <v>1293392.92</v>
      </c>
      <c r="I441" s="15">
        <f>IF(Table1[[#This Row],[Salary]]&lt;1000000,Table1[[#This Row],[Salary]]*0.05,Table1[[#This Row],[Salary]]*0.1)</f>
        <v>129339.292</v>
      </c>
      <c r="J441" s="15">
        <f>Table1[[#This Row],[Salary]]+Table1[[#This Row],[Bonus]]</f>
        <v>1422732.2119999998</v>
      </c>
      <c r="K441" s="25">
        <f>COUNTA(Table1[Employee_ID])</f>
        <v>1000</v>
      </c>
      <c r="L441" s="1">
        <f>SUM(Table1[Salary])</f>
        <v>3119391523.8580012</v>
      </c>
      <c r="M441" s="15">
        <f>AVERAGE(Table1[Salary])</f>
        <v>3119391.5238580015</v>
      </c>
      <c r="N441" s="29">
        <f>SUM(Table1[Bonus])</f>
        <v>308244983.02069992</v>
      </c>
    </row>
    <row r="442" spans="1:14" ht="12.75" customHeight="1" x14ac:dyDescent="0.25">
      <c r="A442" s="2">
        <v>327</v>
      </c>
      <c r="B442" s="10" t="s">
        <v>661</v>
      </c>
      <c r="C442" s="10" t="s">
        <v>662</v>
      </c>
      <c r="D442" s="10" t="s">
        <v>46</v>
      </c>
      <c r="E442" s="10" t="s">
        <v>14</v>
      </c>
      <c r="F442" s="10" t="s">
        <v>51</v>
      </c>
      <c r="G442" s="10" t="s">
        <v>23</v>
      </c>
      <c r="H442" s="13">
        <v>987638.57</v>
      </c>
      <c r="I442" s="15">
        <f>IF(Table1[[#This Row],[Salary]]&lt;1000000,Table1[[#This Row],[Salary]]*0.05,Table1[[#This Row],[Salary]]*0.1)</f>
        <v>49381.928500000002</v>
      </c>
      <c r="J442" s="15">
        <f>Table1[[#This Row],[Salary]]+Table1[[#This Row],[Bonus]]</f>
        <v>1037020.4985</v>
      </c>
      <c r="K442" s="25">
        <f>COUNTA(Table1[Employee_ID])</f>
        <v>1000</v>
      </c>
      <c r="L442" s="1">
        <f>SUM(Table1[Salary])</f>
        <v>3119391523.8580012</v>
      </c>
      <c r="M442" s="15">
        <f>AVERAGE(Table1[Salary])</f>
        <v>3119391.5238580015</v>
      </c>
      <c r="N442" s="29">
        <f>SUM(Table1[Bonus])</f>
        <v>308244983.02069992</v>
      </c>
    </row>
    <row r="443" spans="1:14" ht="12.75" customHeight="1" x14ac:dyDescent="0.25">
      <c r="A443" s="2">
        <v>328</v>
      </c>
      <c r="B443" s="10" t="s">
        <v>663</v>
      </c>
      <c r="C443" s="10" t="s">
        <v>664</v>
      </c>
      <c r="D443" s="10" t="s">
        <v>54</v>
      </c>
      <c r="E443" s="10" t="s">
        <v>10</v>
      </c>
      <c r="F443" s="10" t="s">
        <v>78</v>
      </c>
      <c r="G443" s="10" t="s">
        <v>29</v>
      </c>
      <c r="H443" s="13">
        <v>5424003.8880000003</v>
      </c>
      <c r="I443" s="15">
        <f>IF(Table1[[#This Row],[Salary]]&lt;1000000,Table1[[#This Row],[Salary]]*0.05,Table1[[#This Row],[Salary]]*0.1)</f>
        <v>542400.38880000007</v>
      </c>
      <c r="J443" s="15">
        <f>Table1[[#This Row],[Salary]]+Table1[[#This Row],[Bonus]]</f>
        <v>5966404.2768000001</v>
      </c>
      <c r="K443" s="25">
        <f>COUNTA(Table1[Employee_ID])</f>
        <v>1000</v>
      </c>
      <c r="L443" s="1">
        <f>SUM(Table1[Salary])</f>
        <v>3119391523.8580012</v>
      </c>
      <c r="M443" s="15">
        <f>AVERAGE(Table1[Salary])</f>
        <v>3119391.5238580015</v>
      </c>
      <c r="N443" s="29">
        <f>SUM(Table1[Bonus])</f>
        <v>308244983.02069992</v>
      </c>
    </row>
    <row r="444" spans="1:14" ht="12.75" customHeight="1" x14ac:dyDescent="0.25">
      <c r="A444" s="2">
        <v>329</v>
      </c>
      <c r="B444" s="10" t="s">
        <v>644</v>
      </c>
      <c r="C444" s="10" t="s">
        <v>665</v>
      </c>
      <c r="D444" s="10" t="s">
        <v>96</v>
      </c>
      <c r="E444" s="10" t="s">
        <v>14</v>
      </c>
      <c r="F444" s="10" t="s">
        <v>222</v>
      </c>
      <c r="G444" s="10" t="s">
        <v>56</v>
      </c>
      <c r="H444" s="13">
        <v>4652469.8499999996</v>
      </c>
      <c r="I444" s="15">
        <f>IF(Table1[[#This Row],[Salary]]&lt;1000000,Table1[[#This Row],[Salary]]*0.05,Table1[[#This Row],[Salary]]*0.1)</f>
        <v>465246.98499999999</v>
      </c>
      <c r="J444" s="15">
        <f>Table1[[#This Row],[Salary]]+Table1[[#This Row],[Bonus]]</f>
        <v>5117716.835</v>
      </c>
      <c r="K444" s="25">
        <f>COUNTA(Table1[Employee_ID])</f>
        <v>1000</v>
      </c>
      <c r="L444" s="1">
        <f>SUM(Table1[Salary])</f>
        <v>3119391523.8580012</v>
      </c>
      <c r="M444" s="15">
        <f>AVERAGE(Table1[Salary])</f>
        <v>3119391.5238580015</v>
      </c>
      <c r="N444" s="29">
        <f>SUM(Table1[Bonus])</f>
        <v>308244983.02069992</v>
      </c>
    </row>
    <row r="445" spans="1:14" ht="12.75" customHeight="1" x14ac:dyDescent="0.25">
      <c r="A445" s="2">
        <v>330</v>
      </c>
      <c r="B445" s="10" t="s">
        <v>666</v>
      </c>
      <c r="C445" s="10" t="s">
        <v>667</v>
      </c>
      <c r="D445" s="10" t="s">
        <v>99</v>
      </c>
      <c r="E445" s="10" t="s">
        <v>2</v>
      </c>
      <c r="F445" s="10" t="s">
        <v>102</v>
      </c>
      <c r="G445" s="10" t="s">
        <v>56</v>
      </c>
      <c r="H445" s="13">
        <v>3274776.72</v>
      </c>
      <c r="I445" s="15">
        <f>IF(Table1[[#This Row],[Salary]]&lt;1000000,Table1[[#This Row],[Salary]]*0.05,Table1[[#This Row],[Salary]]*0.1)</f>
        <v>327477.67200000002</v>
      </c>
      <c r="J445" s="15">
        <f>Table1[[#This Row],[Salary]]+Table1[[#This Row],[Bonus]]</f>
        <v>3602254.392</v>
      </c>
      <c r="K445" s="25">
        <f>COUNTA(Table1[Employee_ID])</f>
        <v>1000</v>
      </c>
      <c r="L445" s="1">
        <f>SUM(Table1[Salary])</f>
        <v>3119391523.8580012</v>
      </c>
      <c r="M445" s="15">
        <f>AVERAGE(Table1[Salary])</f>
        <v>3119391.5238580015</v>
      </c>
      <c r="N445" s="29">
        <f>SUM(Table1[Bonus])</f>
        <v>308244983.02069992</v>
      </c>
    </row>
    <row r="446" spans="1:14" ht="12.75" customHeight="1" x14ac:dyDescent="0.25">
      <c r="A446" s="2">
        <v>334</v>
      </c>
      <c r="B446" s="10" t="s">
        <v>672</v>
      </c>
      <c r="C446" s="10" t="s">
        <v>673</v>
      </c>
      <c r="D446" s="10" t="s">
        <v>112</v>
      </c>
      <c r="E446" s="10" t="s">
        <v>39</v>
      </c>
      <c r="F446" s="10" t="s">
        <v>40</v>
      </c>
      <c r="G446" s="10" t="s">
        <v>23</v>
      </c>
      <c r="H446" s="13">
        <v>2976804.2539999997</v>
      </c>
      <c r="I446" s="15">
        <f>IF(Table1[[#This Row],[Salary]]&lt;1000000,Table1[[#This Row],[Salary]]*0.05,Table1[[#This Row],[Salary]]*0.1)</f>
        <v>297680.42540000001</v>
      </c>
      <c r="J446" s="15">
        <f>Table1[[#This Row],[Salary]]+Table1[[#This Row],[Bonus]]</f>
        <v>3274484.6793999998</v>
      </c>
      <c r="K446" s="25">
        <f>COUNTA(Table1[Employee_ID])</f>
        <v>1000</v>
      </c>
      <c r="L446" s="1">
        <f>SUM(Table1[Salary])</f>
        <v>3119391523.8580012</v>
      </c>
      <c r="M446" s="15">
        <f>AVERAGE(Table1[Salary])</f>
        <v>3119391.5238580015</v>
      </c>
      <c r="N446" s="29">
        <f>SUM(Table1[Bonus])</f>
        <v>308244983.02069992</v>
      </c>
    </row>
    <row r="447" spans="1:14" ht="12.75" customHeight="1" x14ac:dyDescent="0.25">
      <c r="A447" s="2">
        <v>335</v>
      </c>
      <c r="B447" s="10" t="s">
        <v>674</v>
      </c>
      <c r="C447" s="10" t="s">
        <v>675</v>
      </c>
      <c r="D447" s="10" t="s">
        <v>137</v>
      </c>
      <c r="E447" s="10" t="s">
        <v>27</v>
      </c>
      <c r="F447" s="10" t="s">
        <v>106</v>
      </c>
      <c r="G447" s="10" t="s">
        <v>35</v>
      </c>
      <c r="H447" s="13">
        <v>5195316.3080000002</v>
      </c>
      <c r="I447" s="15">
        <f>IF(Table1[[#This Row],[Salary]]&lt;1000000,Table1[[#This Row],[Salary]]*0.05,Table1[[#This Row],[Salary]]*0.1)</f>
        <v>519531.63080000004</v>
      </c>
      <c r="J447" s="15">
        <f>Table1[[#This Row],[Salary]]+Table1[[#This Row],[Bonus]]</f>
        <v>5714847.9388000006</v>
      </c>
      <c r="K447" s="25">
        <f>COUNTA(Table1[Employee_ID])</f>
        <v>1000</v>
      </c>
      <c r="L447" s="1">
        <f>SUM(Table1[Salary])</f>
        <v>3119391523.8580012</v>
      </c>
      <c r="M447" s="15">
        <f>AVERAGE(Table1[Salary])</f>
        <v>3119391.5238580015</v>
      </c>
      <c r="N447" s="29">
        <f>SUM(Table1[Bonus])</f>
        <v>308244983.02069992</v>
      </c>
    </row>
    <row r="448" spans="1:14" ht="12.75" customHeight="1" x14ac:dyDescent="0.25">
      <c r="A448" s="2">
        <v>336</v>
      </c>
      <c r="B448" s="10" t="s">
        <v>449</v>
      </c>
      <c r="C448" s="10" t="s">
        <v>676</v>
      </c>
      <c r="D448" s="10" t="s">
        <v>140</v>
      </c>
      <c r="E448" s="10" t="s">
        <v>33</v>
      </c>
      <c r="F448" s="10" t="s">
        <v>34</v>
      </c>
      <c r="G448" s="10" t="s">
        <v>48</v>
      </c>
      <c r="H448" s="13">
        <v>1907099.53</v>
      </c>
      <c r="I448" s="15">
        <f>IF(Table1[[#This Row],[Salary]]&lt;1000000,Table1[[#This Row],[Salary]]*0.05,Table1[[#This Row],[Salary]]*0.1)</f>
        <v>190709.95300000001</v>
      </c>
      <c r="J448" s="15">
        <f>Table1[[#This Row],[Salary]]+Table1[[#This Row],[Bonus]]</f>
        <v>2097809.483</v>
      </c>
      <c r="K448" s="25">
        <f>COUNTA(Table1[Employee_ID])</f>
        <v>1000</v>
      </c>
      <c r="L448" s="1">
        <f>SUM(Table1[Salary])</f>
        <v>3119391523.8580012</v>
      </c>
      <c r="M448" s="15">
        <f>AVERAGE(Table1[Salary])</f>
        <v>3119391.5238580015</v>
      </c>
      <c r="N448" s="29">
        <f>SUM(Table1[Bonus])</f>
        <v>308244983.02069992</v>
      </c>
    </row>
    <row r="449" spans="1:14" ht="12.75" customHeight="1" x14ac:dyDescent="0.25">
      <c r="A449" s="2">
        <v>337</v>
      </c>
      <c r="B449" s="10" t="s">
        <v>677</v>
      </c>
      <c r="C449" s="10" t="s">
        <v>678</v>
      </c>
      <c r="D449" s="10" t="s">
        <v>143</v>
      </c>
      <c r="E449" s="10" t="s">
        <v>10</v>
      </c>
      <c r="F449" s="10" t="s">
        <v>109</v>
      </c>
      <c r="G449" s="10" t="s">
        <v>56</v>
      </c>
      <c r="H449" s="13">
        <v>2959335.2420000001</v>
      </c>
      <c r="I449" s="15">
        <f>IF(Table1[[#This Row],[Salary]]&lt;1000000,Table1[[#This Row],[Salary]]*0.05,Table1[[#This Row],[Salary]]*0.1)</f>
        <v>295933.52420000004</v>
      </c>
      <c r="J449" s="15">
        <f>Table1[[#This Row],[Salary]]+Table1[[#This Row],[Bonus]]</f>
        <v>3255268.7662</v>
      </c>
      <c r="K449" s="25">
        <f>COUNTA(Table1[Employee_ID])</f>
        <v>1000</v>
      </c>
      <c r="L449" s="1">
        <f>SUM(Table1[Salary])</f>
        <v>3119391523.8580012</v>
      </c>
      <c r="M449" s="15">
        <f>AVERAGE(Table1[Salary])</f>
        <v>3119391.5238580015</v>
      </c>
      <c r="N449" s="29">
        <f>SUM(Table1[Bonus])</f>
        <v>308244983.02069992</v>
      </c>
    </row>
    <row r="450" spans="1:14" ht="12.75" customHeight="1" x14ac:dyDescent="0.25">
      <c r="A450" s="2">
        <v>338</v>
      </c>
      <c r="B450" s="10" t="s">
        <v>390</v>
      </c>
      <c r="C450" s="10" t="s">
        <v>679</v>
      </c>
      <c r="D450" s="10" t="s">
        <v>146</v>
      </c>
      <c r="E450" s="10" t="s">
        <v>27</v>
      </c>
      <c r="F450" s="10" t="s">
        <v>28</v>
      </c>
      <c r="G450" s="10" t="s">
        <v>48</v>
      </c>
      <c r="H450" s="13">
        <v>626523.70600000001</v>
      </c>
      <c r="I450" s="15">
        <f>IF(Table1[[#This Row],[Salary]]&lt;1000000,Table1[[#This Row],[Salary]]*0.05,Table1[[#This Row],[Salary]]*0.1)</f>
        <v>31326.185300000001</v>
      </c>
      <c r="J450" s="15">
        <f>Table1[[#This Row],[Salary]]+Table1[[#This Row],[Bonus]]</f>
        <v>657849.89130000002</v>
      </c>
      <c r="K450" s="25">
        <f>COUNTA(Table1[Employee_ID])</f>
        <v>1000</v>
      </c>
      <c r="L450" s="1">
        <f>SUM(Table1[Salary])</f>
        <v>3119391523.8580012</v>
      </c>
      <c r="M450" s="15">
        <f>AVERAGE(Table1[Salary])</f>
        <v>3119391.5238580015</v>
      </c>
      <c r="N450" s="29">
        <f>SUM(Table1[Bonus])</f>
        <v>308244983.02069992</v>
      </c>
    </row>
    <row r="451" spans="1:14" ht="12.75" customHeight="1" x14ac:dyDescent="0.25">
      <c r="A451" s="2">
        <v>341</v>
      </c>
      <c r="B451" s="10" t="s">
        <v>343</v>
      </c>
      <c r="C451" s="10" t="s">
        <v>683</v>
      </c>
      <c r="D451" s="10" t="s">
        <v>26</v>
      </c>
      <c r="E451" s="10" t="s">
        <v>27</v>
      </c>
      <c r="F451" s="10" t="s">
        <v>85</v>
      </c>
      <c r="G451" s="10" t="s">
        <v>35</v>
      </c>
      <c r="H451" s="13">
        <v>4362279.2680000002</v>
      </c>
      <c r="I451" s="15">
        <f>IF(Table1[[#This Row],[Salary]]&lt;1000000,Table1[[#This Row],[Salary]]*0.05,Table1[[#This Row],[Salary]]*0.1)</f>
        <v>436227.92680000002</v>
      </c>
      <c r="J451" s="15">
        <f>Table1[[#This Row],[Salary]]+Table1[[#This Row],[Bonus]]</f>
        <v>4798507.1948000006</v>
      </c>
      <c r="K451" s="25">
        <f>COUNTA(Table1[Employee_ID])</f>
        <v>1000</v>
      </c>
      <c r="L451" s="1">
        <f>SUM(Table1[Salary])</f>
        <v>3119391523.8580012</v>
      </c>
      <c r="M451" s="15">
        <f>AVERAGE(Table1[Salary])</f>
        <v>3119391.5238580015</v>
      </c>
      <c r="N451" s="29">
        <f>SUM(Table1[Bonus])</f>
        <v>308244983.02069992</v>
      </c>
    </row>
    <row r="452" spans="1:14" ht="12.75" customHeight="1" x14ac:dyDescent="0.25">
      <c r="A452" s="2">
        <v>342</v>
      </c>
      <c r="B452" s="10" t="s">
        <v>684</v>
      </c>
      <c r="C452" s="10" t="s">
        <v>685</v>
      </c>
      <c r="D452" s="10" t="s">
        <v>156</v>
      </c>
      <c r="E452" s="10" t="s">
        <v>63</v>
      </c>
      <c r="F452" s="10" t="s">
        <v>64</v>
      </c>
      <c r="G452" s="10" t="s">
        <v>29</v>
      </c>
      <c r="H452" s="13">
        <v>5522127.4520000005</v>
      </c>
      <c r="I452" s="15">
        <f>IF(Table1[[#This Row],[Salary]]&lt;1000000,Table1[[#This Row],[Salary]]*0.05,Table1[[#This Row],[Salary]]*0.1)</f>
        <v>552212.74520000012</v>
      </c>
      <c r="J452" s="15">
        <f>Table1[[#This Row],[Salary]]+Table1[[#This Row],[Bonus]]</f>
        <v>6074340.1972000003</v>
      </c>
      <c r="K452" s="25">
        <f>COUNTA(Table1[Employee_ID])</f>
        <v>1000</v>
      </c>
      <c r="L452" s="1">
        <f>SUM(Table1[Salary])</f>
        <v>3119391523.8580012</v>
      </c>
      <c r="M452" s="15">
        <f>AVERAGE(Table1[Salary])</f>
        <v>3119391.5238580015</v>
      </c>
      <c r="N452" s="29">
        <f>SUM(Table1[Bonus])</f>
        <v>308244983.02069992</v>
      </c>
    </row>
    <row r="453" spans="1:14" ht="12.75" customHeight="1" x14ac:dyDescent="0.25">
      <c r="A453" s="2">
        <v>343</v>
      </c>
      <c r="B453" s="10" t="s">
        <v>686</v>
      </c>
      <c r="C453" s="10" t="s">
        <v>687</v>
      </c>
      <c r="D453" s="10" t="s">
        <v>159</v>
      </c>
      <c r="E453" s="10" t="s">
        <v>10</v>
      </c>
      <c r="F453" s="10" t="s">
        <v>131</v>
      </c>
      <c r="G453" s="10" t="s">
        <v>23</v>
      </c>
      <c r="H453" s="13">
        <v>3635186.1540000001</v>
      </c>
      <c r="I453" s="15">
        <f>IF(Table1[[#This Row],[Salary]]&lt;1000000,Table1[[#This Row],[Salary]]*0.05,Table1[[#This Row],[Salary]]*0.1)</f>
        <v>363518.61540000001</v>
      </c>
      <c r="J453" s="15">
        <f>Table1[[#This Row],[Salary]]+Table1[[#This Row],[Bonus]]</f>
        <v>3998704.7694000001</v>
      </c>
      <c r="K453" s="25">
        <f>COUNTA(Table1[Employee_ID])</f>
        <v>1000</v>
      </c>
      <c r="L453" s="1">
        <f>SUM(Table1[Salary])</f>
        <v>3119391523.8580012</v>
      </c>
      <c r="M453" s="15">
        <f>AVERAGE(Table1[Salary])</f>
        <v>3119391.5238580015</v>
      </c>
      <c r="N453" s="29">
        <f>SUM(Table1[Bonus])</f>
        <v>308244983.02069992</v>
      </c>
    </row>
    <row r="454" spans="1:14" ht="12.75" customHeight="1" x14ac:dyDescent="0.25">
      <c r="A454" s="2">
        <v>344</v>
      </c>
      <c r="B454" s="10" t="s">
        <v>279</v>
      </c>
      <c r="C454" s="10" t="s">
        <v>688</v>
      </c>
      <c r="D454" s="10" t="s">
        <v>162</v>
      </c>
      <c r="E454" s="10" t="s">
        <v>2</v>
      </c>
      <c r="F454" s="10" t="s">
        <v>60</v>
      </c>
      <c r="G454" s="10" t="s">
        <v>23</v>
      </c>
      <c r="H454" s="13">
        <v>4927376.5040000007</v>
      </c>
      <c r="I454" s="15">
        <f>IF(Table1[[#This Row],[Salary]]&lt;1000000,Table1[[#This Row],[Salary]]*0.05,Table1[[#This Row],[Salary]]*0.1)</f>
        <v>492737.6504000001</v>
      </c>
      <c r="J454" s="15">
        <f>Table1[[#This Row],[Salary]]+Table1[[#This Row],[Bonus]]</f>
        <v>5420114.1544000003</v>
      </c>
      <c r="K454" s="25">
        <f>COUNTA(Table1[Employee_ID])</f>
        <v>1000</v>
      </c>
      <c r="L454" s="1">
        <f>SUM(Table1[Salary])</f>
        <v>3119391523.8580012</v>
      </c>
      <c r="M454" s="15">
        <f>AVERAGE(Table1[Salary])</f>
        <v>3119391.5238580015</v>
      </c>
      <c r="N454" s="29">
        <f>SUM(Table1[Bonus])</f>
        <v>308244983.02069992</v>
      </c>
    </row>
    <row r="455" spans="1:14" ht="12.75" customHeight="1" x14ac:dyDescent="0.25">
      <c r="A455" s="2">
        <v>346</v>
      </c>
      <c r="B455" s="10" t="s">
        <v>347</v>
      </c>
      <c r="C455" s="10" t="s">
        <v>691</v>
      </c>
      <c r="D455" s="10" t="s">
        <v>156</v>
      </c>
      <c r="E455" s="10" t="s">
        <v>33</v>
      </c>
      <c r="F455" s="10" t="s">
        <v>47</v>
      </c>
      <c r="G455" s="10" t="s">
        <v>35</v>
      </c>
      <c r="H455" s="13">
        <v>391304.19400000002</v>
      </c>
      <c r="I455" s="15">
        <f>IF(Table1[[#This Row],[Salary]]&lt;1000000,Table1[[#This Row],[Salary]]*0.05,Table1[[#This Row],[Salary]]*0.1)</f>
        <v>19565.209700000003</v>
      </c>
      <c r="J455" s="15">
        <f>Table1[[#This Row],[Salary]]+Table1[[#This Row],[Bonus]]</f>
        <v>410869.40370000002</v>
      </c>
      <c r="K455" s="25">
        <f>COUNTA(Table1[Employee_ID])</f>
        <v>1000</v>
      </c>
      <c r="L455" s="1">
        <f>SUM(Table1[Salary])</f>
        <v>3119391523.8580012</v>
      </c>
      <c r="M455" s="15">
        <f>AVERAGE(Table1[Salary])</f>
        <v>3119391.5238580015</v>
      </c>
      <c r="N455" s="29">
        <f>SUM(Table1[Bonus])</f>
        <v>308244983.02069992</v>
      </c>
    </row>
    <row r="456" spans="1:14" ht="12.75" customHeight="1" x14ac:dyDescent="0.25">
      <c r="A456" s="2">
        <v>347</v>
      </c>
      <c r="B456" s="10" t="s">
        <v>621</v>
      </c>
      <c r="C456" s="10" t="s">
        <v>692</v>
      </c>
      <c r="D456" s="10" t="s">
        <v>21</v>
      </c>
      <c r="E456" s="10" t="s">
        <v>14</v>
      </c>
      <c r="F456" s="10" t="s">
        <v>234</v>
      </c>
      <c r="G456" s="10" t="s">
        <v>56</v>
      </c>
      <c r="H456" s="13">
        <v>3019186.0220000003</v>
      </c>
      <c r="I456" s="15">
        <f>IF(Table1[[#This Row],[Salary]]&lt;1000000,Table1[[#This Row],[Salary]]*0.05,Table1[[#This Row],[Salary]]*0.1)</f>
        <v>301918.60220000002</v>
      </c>
      <c r="J456" s="15">
        <f>Table1[[#This Row],[Salary]]+Table1[[#This Row],[Bonus]]</f>
        <v>3321104.6242000004</v>
      </c>
      <c r="K456" s="25">
        <f>COUNTA(Table1[Employee_ID])</f>
        <v>1000</v>
      </c>
      <c r="L456" s="1">
        <f>SUM(Table1[Salary])</f>
        <v>3119391523.8580012</v>
      </c>
      <c r="M456" s="15">
        <f>AVERAGE(Table1[Salary])</f>
        <v>3119391.5238580015</v>
      </c>
      <c r="N456" s="29">
        <f>SUM(Table1[Bonus])</f>
        <v>308244983.02069992</v>
      </c>
    </row>
    <row r="457" spans="1:14" ht="12.75" customHeight="1" x14ac:dyDescent="0.25">
      <c r="A457" s="2">
        <v>348</v>
      </c>
      <c r="B457" s="10" t="s">
        <v>693</v>
      </c>
      <c r="C457" s="10" t="s">
        <v>546</v>
      </c>
      <c r="D457" s="10" t="s">
        <v>128</v>
      </c>
      <c r="E457" s="10" t="s">
        <v>10</v>
      </c>
      <c r="F457" s="10" t="s">
        <v>78</v>
      </c>
      <c r="G457" s="10" t="s">
        <v>71</v>
      </c>
      <c r="H457" s="13">
        <v>3471631.3339999998</v>
      </c>
      <c r="I457" s="15">
        <f>IF(Table1[[#This Row],[Salary]]&lt;1000000,Table1[[#This Row],[Salary]]*0.05,Table1[[#This Row],[Salary]]*0.1)</f>
        <v>347163.13339999999</v>
      </c>
      <c r="J457" s="15">
        <f>Table1[[#This Row],[Salary]]+Table1[[#This Row],[Bonus]]</f>
        <v>3818794.4674</v>
      </c>
      <c r="K457" s="25">
        <f>COUNTA(Table1[Employee_ID])</f>
        <v>1000</v>
      </c>
      <c r="L457" s="1">
        <f>SUM(Table1[Salary])</f>
        <v>3119391523.8580012</v>
      </c>
      <c r="M457" s="15">
        <f>AVERAGE(Table1[Salary])</f>
        <v>3119391.5238580015</v>
      </c>
      <c r="N457" s="29">
        <f>SUM(Table1[Bonus])</f>
        <v>308244983.02069992</v>
      </c>
    </row>
    <row r="458" spans="1:14" ht="12.75" customHeight="1" x14ac:dyDescent="0.25">
      <c r="A458" s="2">
        <v>349</v>
      </c>
      <c r="B458" s="10" t="s">
        <v>694</v>
      </c>
      <c r="C458" s="10" t="s">
        <v>695</v>
      </c>
      <c r="D458" s="10" t="s">
        <v>174</v>
      </c>
      <c r="E458" s="10" t="s">
        <v>14</v>
      </c>
      <c r="F458" s="10" t="s">
        <v>51</v>
      </c>
      <c r="G458" s="10" t="s">
        <v>23</v>
      </c>
      <c r="H458" s="13">
        <v>1130604.162</v>
      </c>
      <c r="I458" s="15">
        <f>IF(Table1[[#This Row],[Salary]]&lt;1000000,Table1[[#This Row],[Salary]]*0.05,Table1[[#This Row],[Salary]]*0.1)</f>
        <v>113060.41620000001</v>
      </c>
      <c r="J458" s="15">
        <f>Table1[[#This Row],[Salary]]+Table1[[#This Row],[Bonus]]</f>
        <v>1243664.5782000001</v>
      </c>
      <c r="K458" s="25">
        <f>COUNTA(Table1[Employee_ID])</f>
        <v>1000</v>
      </c>
      <c r="L458" s="1">
        <f>SUM(Table1[Salary])</f>
        <v>3119391523.8580012</v>
      </c>
      <c r="M458" s="15">
        <f>AVERAGE(Table1[Salary])</f>
        <v>3119391.5238580015</v>
      </c>
      <c r="N458" s="29">
        <f>SUM(Table1[Bonus])</f>
        <v>308244983.02069992</v>
      </c>
    </row>
    <row r="459" spans="1:14" ht="12.75" customHeight="1" x14ac:dyDescent="0.25">
      <c r="A459" s="2">
        <v>350</v>
      </c>
      <c r="B459" s="10" t="s">
        <v>696</v>
      </c>
      <c r="C459" s="10" t="s">
        <v>533</v>
      </c>
      <c r="D459" s="10" t="s">
        <v>177</v>
      </c>
      <c r="E459" s="10" t="s">
        <v>10</v>
      </c>
      <c r="F459" s="10" t="s">
        <v>109</v>
      </c>
      <c r="G459" s="10" t="s">
        <v>29</v>
      </c>
      <c r="H459" s="13">
        <v>5317043.21</v>
      </c>
      <c r="I459" s="15">
        <f>IF(Table1[[#This Row],[Salary]]&lt;1000000,Table1[[#This Row],[Salary]]*0.05,Table1[[#This Row],[Salary]]*0.1)</f>
        <v>531704.321</v>
      </c>
      <c r="J459" s="15">
        <f>Table1[[#This Row],[Salary]]+Table1[[#This Row],[Bonus]]</f>
        <v>5848747.5309999995</v>
      </c>
      <c r="K459" s="25">
        <f>COUNTA(Table1[Employee_ID])</f>
        <v>1000</v>
      </c>
      <c r="L459" s="1">
        <f>SUM(Table1[Salary])</f>
        <v>3119391523.8580012</v>
      </c>
      <c r="M459" s="15">
        <f>AVERAGE(Table1[Salary])</f>
        <v>3119391.5238580015</v>
      </c>
      <c r="N459" s="29">
        <f>SUM(Table1[Bonus])</f>
        <v>308244983.02069992</v>
      </c>
    </row>
    <row r="460" spans="1:14" ht="12.75" customHeight="1" x14ac:dyDescent="0.25">
      <c r="A460" s="2">
        <v>351</v>
      </c>
      <c r="B460" s="10" t="s">
        <v>697</v>
      </c>
      <c r="C460" s="10" t="s">
        <v>698</v>
      </c>
      <c r="D460" s="10" t="s">
        <v>180</v>
      </c>
      <c r="E460" s="10" t="s">
        <v>27</v>
      </c>
      <c r="F460" s="10" t="s">
        <v>106</v>
      </c>
      <c r="G460" s="10" t="s">
        <v>48</v>
      </c>
      <c r="H460" s="13">
        <v>1646303.808</v>
      </c>
      <c r="I460" s="15">
        <f>IF(Table1[[#This Row],[Salary]]&lt;1000000,Table1[[#This Row],[Salary]]*0.05,Table1[[#This Row],[Salary]]*0.1)</f>
        <v>164630.38080000001</v>
      </c>
      <c r="J460" s="15">
        <f>Table1[[#This Row],[Salary]]+Table1[[#This Row],[Bonus]]</f>
        <v>1810934.1887999999</v>
      </c>
      <c r="K460" s="25">
        <f>COUNTA(Table1[Employee_ID])</f>
        <v>1000</v>
      </c>
      <c r="L460" s="1">
        <f>SUM(Table1[Salary])</f>
        <v>3119391523.8580012</v>
      </c>
      <c r="M460" s="15">
        <f>AVERAGE(Table1[Salary])</f>
        <v>3119391.5238580015</v>
      </c>
      <c r="N460" s="29">
        <f>SUM(Table1[Bonus])</f>
        <v>308244983.02069992</v>
      </c>
    </row>
    <row r="461" spans="1:14" ht="12.75" customHeight="1" x14ac:dyDescent="0.25">
      <c r="A461" s="2">
        <v>352</v>
      </c>
      <c r="B461" s="10" t="s">
        <v>412</v>
      </c>
      <c r="C461" s="10" t="s">
        <v>699</v>
      </c>
      <c r="D461" s="10" t="s">
        <v>183</v>
      </c>
      <c r="E461" s="10" t="s">
        <v>14</v>
      </c>
      <c r="F461" s="10" t="s">
        <v>222</v>
      </c>
      <c r="G461" s="10" t="s">
        <v>23</v>
      </c>
      <c r="H461" s="13">
        <v>3349783.1679999996</v>
      </c>
      <c r="I461" s="15">
        <f>IF(Table1[[#This Row],[Salary]]&lt;1000000,Table1[[#This Row],[Salary]]*0.05,Table1[[#This Row],[Salary]]*0.1)</f>
        <v>334978.31679999997</v>
      </c>
      <c r="J461" s="15">
        <f>Table1[[#This Row],[Salary]]+Table1[[#This Row],[Bonus]]</f>
        <v>3684761.4847999997</v>
      </c>
      <c r="K461" s="25">
        <f>COUNTA(Table1[Employee_ID])</f>
        <v>1000</v>
      </c>
      <c r="L461" s="1">
        <f>SUM(Table1[Salary])</f>
        <v>3119391523.8580012</v>
      </c>
      <c r="M461" s="15">
        <f>AVERAGE(Table1[Salary])</f>
        <v>3119391.5238580015</v>
      </c>
      <c r="N461" s="29">
        <f>SUM(Table1[Bonus])</f>
        <v>308244983.02069992</v>
      </c>
    </row>
    <row r="462" spans="1:14" ht="12.75" customHeight="1" x14ac:dyDescent="0.25">
      <c r="A462" s="2">
        <v>353</v>
      </c>
      <c r="B462" s="10" t="s">
        <v>700</v>
      </c>
      <c r="C462" s="10" t="s">
        <v>701</v>
      </c>
      <c r="D462" s="10" t="s">
        <v>21</v>
      </c>
      <c r="E462" s="10" t="s">
        <v>39</v>
      </c>
      <c r="F462" s="10" t="s">
        <v>186</v>
      </c>
      <c r="G462" s="10" t="s">
        <v>71</v>
      </c>
      <c r="H462" s="13">
        <v>3082034.588</v>
      </c>
      <c r="I462" s="15">
        <f>IF(Table1[[#This Row],[Salary]]&lt;1000000,Table1[[#This Row],[Salary]]*0.05,Table1[[#This Row],[Salary]]*0.1)</f>
        <v>308203.45880000002</v>
      </c>
      <c r="J462" s="15">
        <f>Table1[[#This Row],[Salary]]+Table1[[#This Row],[Bonus]]</f>
        <v>3390238.0468000001</v>
      </c>
      <c r="K462" s="25">
        <f>COUNTA(Table1[Employee_ID])</f>
        <v>1000</v>
      </c>
      <c r="L462" s="1">
        <f>SUM(Table1[Salary])</f>
        <v>3119391523.8580012</v>
      </c>
      <c r="M462" s="15">
        <f>AVERAGE(Table1[Salary])</f>
        <v>3119391.5238580015</v>
      </c>
      <c r="N462" s="29">
        <f>SUM(Table1[Bonus])</f>
        <v>308244983.02069992</v>
      </c>
    </row>
    <row r="463" spans="1:14" ht="12.75" customHeight="1" x14ac:dyDescent="0.25">
      <c r="A463" s="2">
        <v>354</v>
      </c>
      <c r="B463" s="10" t="s">
        <v>371</v>
      </c>
      <c r="C463" s="10" t="s">
        <v>702</v>
      </c>
      <c r="D463" s="10" t="s">
        <v>99</v>
      </c>
      <c r="E463" s="10" t="s">
        <v>63</v>
      </c>
      <c r="F463" s="10" t="s">
        <v>113</v>
      </c>
      <c r="G463" s="10" t="s">
        <v>71</v>
      </c>
      <c r="H463" s="13">
        <v>2574513.2660000003</v>
      </c>
      <c r="I463" s="15">
        <f>IF(Table1[[#This Row],[Salary]]&lt;1000000,Table1[[#This Row],[Salary]]*0.05,Table1[[#This Row],[Salary]]*0.1)</f>
        <v>257451.32660000003</v>
      </c>
      <c r="J463" s="15">
        <f>Table1[[#This Row],[Salary]]+Table1[[#This Row],[Bonus]]</f>
        <v>2831964.5926000001</v>
      </c>
      <c r="K463" s="25">
        <f>COUNTA(Table1[Employee_ID])</f>
        <v>1000</v>
      </c>
      <c r="L463" s="1">
        <f>SUM(Table1[Salary])</f>
        <v>3119391523.8580012</v>
      </c>
      <c r="M463" s="15">
        <f>AVERAGE(Table1[Salary])</f>
        <v>3119391.5238580015</v>
      </c>
      <c r="N463" s="29">
        <f>SUM(Table1[Bonus])</f>
        <v>308244983.02069992</v>
      </c>
    </row>
    <row r="464" spans="1:14" ht="12.75" customHeight="1" x14ac:dyDescent="0.25">
      <c r="A464" s="2">
        <v>355</v>
      </c>
      <c r="B464" s="10" t="s">
        <v>703</v>
      </c>
      <c r="C464" s="10" t="s">
        <v>704</v>
      </c>
      <c r="D464" s="10" t="s">
        <v>125</v>
      </c>
      <c r="E464" s="10" t="s">
        <v>27</v>
      </c>
      <c r="F464" s="10" t="s">
        <v>28</v>
      </c>
      <c r="G464" s="10" t="s">
        <v>56</v>
      </c>
      <c r="H464" s="13">
        <v>3448555.0279999999</v>
      </c>
      <c r="I464" s="15">
        <f>IF(Table1[[#This Row],[Salary]]&lt;1000000,Table1[[#This Row],[Salary]]*0.05,Table1[[#This Row],[Salary]]*0.1)</f>
        <v>344855.50280000002</v>
      </c>
      <c r="J464" s="15">
        <f>Table1[[#This Row],[Salary]]+Table1[[#This Row],[Bonus]]</f>
        <v>3793410.5307999998</v>
      </c>
      <c r="K464" s="25">
        <f>COUNTA(Table1[Employee_ID])</f>
        <v>1000</v>
      </c>
      <c r="L464" s="1">
        <f>SUM(Table1[Salary])</f>
        <v>3119391523.8580012</v>
      </c>
      <c r="M464" s="15">
        <f>AVERAGE(Table1[Salary])</f>
        <v>3119391.5238580015</v>
      </c>
      <c r="N464" s="29">
        <f>SUM(Table1[Bonus])</f>
        <v>308244983.02069992</v>
      </c>
    </row>
    <row r="465" spans="1:14" ht="12.75" customHeight="1" x14ac:dyDescent="0.25">
      <c r="A465" s="2">
        <v>356</v>
      </c>
      <c r="B465" s="10" t="s">
        <v>705</v>
      </c>
      <c r="C465" s="10" t="s">
        <v>706</v>
      </c>
      <c r="D465" s="10" t="s">
        <v>177</v>
      </c>
      <c r="E465" s="10" t="s">
        <v>2</v>
      </c>
      <c r="F465" s="10" t="s">
        <v>74</v>
      </c>
      <c r="G465" s="10" t="s">
        <v>23</v>
      </c>
      <c r="H465" s="13">
        <v>2659592.7879999997</v>
      </c>
      <c r="I465" s="15">
        <f>IF(Table1[[#This Row],[Salary]]&lt;1000000,Table1[[#This Row],[Salary]]*0.05,Table1[[#This Row],[Salary]]*0.1)</f>
        <v>265959.27879999997</v>
      </c>
      <c r="J465" s="15">
        <f>Table1[[#This Row],[Salary]]+Table1[[#This Row],[Bonus]]</f>
        <v>2925552.0667999997</v>
      </c>
      <c r="K465" s="25">
        <f>COUNTA(Table1[Employee_ID])</f>
        <v>1000</v>
      </c>
      <c r="L465" s="1">
        <f>SUM(Table1[Salary])</f>
        <v>3119391523.8580012</v>
      </c>
      <c r="M465" s="15">
        <f>AVERAGE(Table1[Salary])</f>
        <v>3119391.5238580015</v>
      </c>
      <c r="N465" s="29">
        <f>SUM(Table1[Bonus])</f>
        <v>308244983.02069992</v>
      </c>
    </row>
    <row r="466" spans="1:14" ht="12.75" customHeight="1" x14ac:dyDescent="0.25">
      <c r="A466" s="2">
        <v>357</v>
      </c>
      <c r="B466" s="10" t="s">
        <v>707</v>
      </c>
      <c r="C466" s="10" t="s">
        <v>708</v>
      </c>
      <c r="D466" s="10" t="s">
        <v>313</v>
      </c>
      <c r="E466" s="10" t="s">
        <v>14</v>
      </c>
      <c r="F466" s="10" t="s">
        <v>234</v>
      </c>
      <c r="G466" s="10" t="s">
        <v>35</v>
      </c>
      <c r="H466" s="13">
        <v>5933632.1720000003</v>
      </c>
      <c r="I466" s="15">
        <f>IF(Table1[[#This Row],[Salary]]&lt;1000000,Table1[[#This Row],[Salary]]*0.05,Table1[[#This Row],[Salary]]*0.1)</f>
        <v>593363.21720000007</v>
      </c>
      <c r="J466" s="15">
        <f>Table1[[#This Row],[Salary]]+Table1[[#This Row],[Bonus]]</f>
        <v>6526995.3892000001</v>
      </c>
      <c r="K466" s="25">
        <f>COUNTA(Table1[Employee_ID])</f>
        <v>1000</v>
      </c>
      <c r="L466" s="1">
        <f>SUM(Table1[Salary])</f>
        <v>3119391523.8580012</v>
      </c>
      <c r="M466" s="15">
        <f>AVERAGE(Table1[Salary])</f>
        <v>3119391.5238580015</v>
      </c>
      <c r="N466" s="29">
        <f>SUM(Table1[Bonus])</f>
        <v>308244983.02069992</v>
      </c>
    </row>
    <row r="467" spans="1:14" ht="12.75" customHeight="1" x14ac:dyDescent="0.25">
      <c r="A467" s="2">
        <v>358</v>
      </c>
      <c r="B467" s="10" t="s">
        <v>709</v>
      </c>
      <c r="C467" s="10" t="s">
        <v>710</v>
      </c>
      <c r="D467" s="10" t="s">
        <v>112</v>
      </c>
      <c r="E467" s="10" t="s">
        <v>6</v>
      </c>
      <c r="F467" s="10" t="s">
        <v>74</v>
      </c>
      <c r="G467" s="10" t="s">
        <v>56</v>
      </c>
      <c r="H467" s="13">
        <v>5391987.8600000003</v>
      </c>
      <c r="I467" s="15">
        <f>IF(Table1[[#This Row],[Salary]]&lt;1000000,Table1[[#This Row],[Salary]]*0.05,Table1[[#This Row],[Salary]]*0.1)</f>
        <v>539198.78600000008</v>
      </c>
      <c r="J467" s="15">
        <f>Table1[[#This Row],[Salary]]+Table1[[#This Row],[Bonus]]</f>
        <v>5931186.6460000006</v>
      </c>
      <c r="K467" s="25">
        <f>COUNTA(Table1[Employee_ID])</f>
        <v>1000</v>
      </c>
      <c r="L467" s="1">
        <f>SUM(Table1[Salary])</f>
        <v>3119391523.8580012</v>
      </c>
      <c r="M467" s="15">
        <f>AVERAGE(Table1[Salary])</f>
        <v>3119391.5238580015</v>
      </c>
      <c r="N467" s="29">
        <f>SUM(Table1[Bonus])</f>
        <v>308244983.02069992</v>
      </c>
    </row>
    <row r="468" spans="1:14" ht="12.75" customHeight="1" x14ac:dyDescent="0.25">
      <c r="A468" s="2">
        <v>359</v>
      </c>
      <c r="B468" s="10" t="s">
        <v>539</v>
      </c>
      <c r="C468" s="10" t="s">
        <v>711</v>
      </c>
      <c r="D468" s="10" t="s">
        <v>174</v>
      </c>
      <c r="E468" s="10" t="s">
        <v>27</v>
      </c>
      <c r="F468" s="10" t="s">
        <v>85</v>
      </c>
      <c r="G468" s="10" t="s">
        <v>23</v>
      </c>
      <c r="H468" s="13">
        <v>3237027.47</v>
      </c>
      <c r="I468" s="15">
        <f>IF(Table1[[#This Row],[Salary]]&lt;1000000,Table1[[#This Row],[Salary]]*0.05,Table1[[#This Row],[Salary]]*0.1)</f>
        <v>323702.74700000003</v>
      </c>
      <c r="J468" s="15">
        <f>Table1[[#This Row],[Salary]]+Table1[[#This Row],[Bonus]]</f>
        <v>3560730.2170000002</v>
      </c>
      <c r="K468" s="25">
        <f>COUNTA(Table1[Employee_ID])</f>
        <v>1000</v>
      </c>
      <c r="L468" s="1">
        <f>SUM(Table1[Salary])</f>
        <v>3119391523.8580012</v>
      </c>
      <c r="M468" s="15">
        <f>AVERAGE(Table1[Salary])</f>
        <v>3119391.5238580015</v>
      </c>
      <c r="N468" s="29">
        <f>SUM(Table1[Bonus])</f>
        <v>308244983.02069992</v>
      </c>
    </row>
    <row r="469" spans="1:14" ht="12.75" customHeight="1" x14ac:dyDescent="0.25">
      <c r="A469" s="2">
        <v>360</v>
      </c>
      <c r="B469" s="10" t="s">
        <v>712</v>
      </c>
      <c r="C469" s="10" t="s">
        <v>713</v>
      </c>
      <c r="D469" s="10" t="s">
        <v>183</v>
      </c>
      <c r="E469" s="10" t="s">
        <v>27</v>
      </c>
      <c r="F469" s="10" t="s">
        <v>106</v>
      </c>
      <c r="G469" s="10" t="s">
        <v>71</v>
      </c>
      <c r="H469" s="13">
        <v>2981926.4920000001</v>
      </c>
      <c r="I469" s="15">
        <f>IF(Table1[[#This Row],[Salary]]&lt;1000000,Table1[[#This Row],[Salary]]*0.05,Table1[[#This Row],[Salary]]*0.1)</f>
        <v>298192.64920000004</v>
      </c>
      <c r="J469" s="15">
        <f>Table1[[#This Row],[Salary]]+Table1[[#This Row],[Bonus]]</f>
        <v>3280119.1412</v>
      </c>
      <c r="K469" s="25">
        <f>COUNTA(Table1[Employee_ID])</f>
        <v>1000</v>
      </c>
      <c r="L469" s="1">
        <f>SUM(Table1[Salary])</f>
        <v>3119391523.8580012</v>
      </c>
      <c r="M469" s="15">
        <f>AVERAGE(Table1[Salary])</f>
        <v>3119391.5238580015</v>
      </c>
      <c r="N469" s="29">
        <f>SUM(Table1[Bonus])</f>
        <v>308244983.02069992</v>
      </c>
    </row>
    <row r="470" spans="1:14" ht="12.75" customHeight="1" x14ac:dyDescent="0.25">
      <c r="A470" s="2">
        <v>361</v>
      </c>
      <c r="B470" s="10" t="s">
        <v>714</v>
      </c>
      <c r="C470" s="10" t="s">
        <v>715</v>
      </c>
      <c r="D470" s="10" t="s">
        <v>313</v>
      </c>
      <c r="E470" s="10" t="s">
        <v>10</v>
      </c>
      <c r="F470" s="10" t="s">
        <v>131</v>
      </c>
      <c r="G470" s="10" t="s">
        <v>56</v>
      </c>
      <c r="H470" s="13">
        <v>2152143.7579999999</v>
      </c>
      <c r="I470" s="15">
        <f>IF(Table1[[#This Row],[Salary]]&lt;1000000,Table1[[#This Row],[Salary]]*0.05,Table1[[#This Row],[Salary]]*0.1)</f>
        <v>215214.37580000001</v>
      </c>
      <c r="J470" s="15">
        <f>Table1[[#This Row],[Salary]]+Table1[[#This Row],[Bonus]]</f>
        <v>2367358.1338</v>
      </c>
      <c r="K470" s="25">
        <f>COUNTA(Table1[Employee_ID])</f>
        <v>1000</v>
      </c>
      <c r="L470" s="1">
        <f>SUM(Table1[Salary])</f>
        <v>3119391523.8580012</v>
      </c>
      <c r="M470" s="15">
        <f>AVERAGE(Table1[Salary])</f>
        <v>3119391.5238580015</v>
      </c>
      <c r="N470" s="29">
        <f>SUM(Table1[Bonus])</f>
        <v>308244983.02069992</v>
      </c>
    </row>
    <row r="471" spans="1:14" ht="12.75" customHeight="1" x14ac:dyDescent="0.25">
      <c r="A471" s="2">
        <v>364</v>
      </c>
      <c r="B471" s="10" t="s">
        <v>387</v>
      </c>
      <c r="C471" s="10" t="s">
        <v>720</v>
      </c>
      <c r="D471" s="10" t="s">
        <v>183</v>
      </c>
      <c r="E471" s="10" t="s">
        <v>27</v>
      </c>
      <c r="F471" s="10" t="s">
        <v>28</v>
      </c>
      <c r="G471" s="10" t="s">
        <v>29</v>
      </c>
      <c r="H471" s="13">
        <v>2461881.1639999999</v>
      </c>
      <c r="I471" s="15">
        <f>IF(Table1[[#This Row],[Salary]]&lt;1000000,Table1[[#This Row],[Salary]]*0.05,Table1[[#This Row],[Salary]]*0.1)</f>
        <v>246188.1164</v>
      </c>
      <c r="J471" s="15">
        <f>Table1[[#This Row],[Salary]]+Table1[[#This Row],[Bonus]]</f>
        <v>2708069.2804</v>
      </c>
      <c r="K471" s="25">
        <f>COUNTA(Table1[Employee_ID])</f>
        <v>1000</v>
      </c>
      <c r="L471" s="1">
        <f>SUM(Table1[Salary])</f>
        <v>3119391523.8580012</v>
      </c>
      <c r="M471" s="15">
        <f>AVERAGE(Table1[Salary])</f>
        <v>3119391.5238580015</v>
      </c>
      <c r="N471" s="29">
        <f>SUM(Table1[Bonus])</f>
        <v>308244983.02069992</v>
      </c>
    </row>
    <row r="472" spans="1:14" ht="12.75" customHeight="1" x14ac:dyDescent="0.25">
      <c r="A472" s="2">
        <v>365</v>
      </c>
      <c r="B472" s="10" t="s">
        <v>721</v>
      </c>
      <c r="C472" s="10" t="s">
        <v>722</v>
      </c>
      <c r="D472" s="10" t="s">
        <v>59</v>
      </c>
      <c r="E472" s="10" t="s">
        <v>27</v>
      </c>
      <c r="F472" s="10" t="s">
        <v>85</v>
      </c>
      <c r="G472" s="10" t="s">
        <v>56</v>
      </c>
      <c r="H472" s="13">
        <v>5371385.8059999999</v>
      </c>
      <c r="I472" s="15">
        <f>IF(Table1[[#This Row],[Salary]]&lt;1000000,Table1[[#This Row],[Salary]]*0.05,Table1[[#This Row],[Salary]]*0.1)</f>
        <v>537138.58059999999</v>
      </c>
      <c r="J472" s="15">
        <f>Table1[[#This Row],[Salary]]+Table1[[#This Row],[Bonus]]</f>
        <v>5908524.3865999999</v>
      </c>
      <c r="K472" s="25">
        <f>COUNTA(Table1[Employee_ID])</f>
        <v>1000</v>
      </c>
      <c r="L472" s="1">
        <f>SUM(Table1[Salary])</f>
        <v>3119391523.8580012</v>
      </c>
      <c r="M472" s="15">
        <f>AVERAGE(Table1[Salary])</f>
        <v>3119391.5238580015</v>
      </c>
      <c r="N472" s="29">
        <f>SUM(Table1[Bonus])</f>
        <v>308244983.02069992</v>
      </c>
    </row>
    <row r="473" spans="1:14" ht="12.75" customHeight="1" x14ac:dyDescent="0.25">
      <c r="A473" s="2">
        <v>366</v>
      </c>
      <c r="B473" s="10" t="s">
        <v>723</v>
      </c>
      <c r="C473" s="10" t="s">
        <v>380</v>
      </c>
      <c r="D473" s="10" t="s">
        <v>324</v>
      </c>
      <c r="E473" s="10" t="s">
        <v>13</v>
      </c>
      <c r="F473" s="10" t="s">
        <v>43</v>
      </c>
      <c r="G473" s="10" t="s">
        <v>35</v>
      </c>
      <c r="H473" s="13">
        <v>1430705.7439999999</v>
      </c>
      <c r="I473" s="15">
        <f>IF(Table1[[#This Row],[Salary]]&lt;1000000,Table1[[#This Row],[Salary]]*0.05,Table1[[#This Row],[Salary]]*0.1)</f>
        <v>143070.57440000001</v>
      </c>
      <c r="J473" s="15">
        <f>Table1[[#This Row],[Salary]]+Table1[[#This Row],[Bonus]]</f>
        <v>1573776.3184</v>
      </c>
      <c r="K473" s="25">
        <f>COUNTA(Table1[Employee_ID])</f>
        <v>1000</v>
      </c>
      <c r="L473" s="1">
        <f>SUM(Table1[Salary])</f>
        <v>3119391523.8580012</v>
      </c>
      <c r="M473" s="15">
        <f>AVERAGE(Table1[Salary])</f>
        <v>3119391.5238580015</v>
      </c>
      <c r="N473" s="29">
        <f>SUM(Table1[Bonus])</f>
        <v>308244983.02069992</v>
      </c>
    </row>
    <row r="474" spans="1:14" ht="12.75" customHeight="1" x14ac:dyDescent="0.25">
      <c r="A474" s="2">
        <v>367</v>
      </c>
      <c r="B474" s="10" t="s">
        <v>239</v>
      </c>
      <c r="C474" s="10" t="s">
        <v>724</v>
      </c>
      <c r="D474" s="10" t="s">
        <v>54</v>
      </c>
      <c r="E474" s="10" t="s">
        <v>6</v>
      </c>
      <c r="F474" s="10" t="s">
        <v>123</v>
      </c>
      <c r="G474" s="10" t="s">
        <v>23</v>
      </c>
      <c r="H474" s="13">
        <v>2248294.4500000002</v>
      </c>
      <c r="I474" s="15">
        <f>IF(Table1[[#This Row],[Salary]]&lt;1000000,Table1[[#This Row],[Salary]]*0.05,Table1[[#This Row],[Salary]]*0.1)</f>
        <v>224829.44500000004</v>
      </c>
      <c r="J474" s="15">
        <f>Table1[[#This Row],[Salary]]+Table1[[#This Row],[Bonus]]</f>
        <v>2473123.895</v>
      </c>
      <c r="K474" s="25">
        <f>COUNTA(Table1[Employee_ID])</f>
        <v>1000</v>
      </c>
      <c r="L474" s="1">
        <f>SUM(Table1[Salary])</f>
        <v>3119391523.8580012</v>
      </c>
      <c r="M474" s="15">
        <f>AVERAGE(Table1[Salary])</f>
        <v>3119391.5238580015</v>
      </c>
      <c r="N474" s="29">
        <f>SUM(Table1[Bonus])</f>
        <v>308244983.02069992</v>
      </c>
    </row>
    <row r="475" spans="1:14" ht="12.75" customHeight="1" x14ac:dyDescent="0.25">
      <c r="A475" s="2">
        <v>368</v>
      </c>
      <c r="B475" s="10" t="s">
        <v>725</v>
      </c>
      <c r="C475" s="10" t="s">
        <v>466</v>
      </c>
      <c r="D475" s="10" t="s">
        <v>324</v>
      </c>
      <c r="E475" s="10" t="s">
        <v>13</v>
      </c>
      <c r="F475" s="10" t="s">
        <v>67</v>
      </c>
      <c r="G475" s="10" t="s">
        <v>48</v>
      </c>
      <c r="H475" s="13">
        <v>5830205.6399999997</v>
      </c>
      <c r="I475" s="15">
        <f>IF(Table1[[#This Row],[Salary]]&lt;1000000,Table1[[#This Row],[Salary]]*0.05,Table1[[#This Row],[Salary]]*0.1)</f>
        <v>583020.56400000001</v>
      </c>
      <c r="J475" s="15">
        <f>Table1[[#This Row],[Salary]]+Table1[[#This Row],[Bonus]]</f>
        <v>6413226.2039999999</v>
      </c>
      <c r="K475" s="25">
        <f>COUNTA(Table1[Employee_ID])</f>
        <v>1000</v>
      </c>
      <c r="L475" s="1">
        <f>SUM(Table1[Salary])</f>
        <v>3119391523.8580012</v>
      </c>
      <c r="M475" s="15">
        <f>AVERAGE(Table1[Salary])</f>
        <v>3119391.5238580015</v>
      </c>
      <c r="N475" s="29">
        <f>SUM(Table1[Bonus])</f>
        <v>308244983.02069992</v>
      </c>
    </row>
    <row r="476" spans="1:14" ht="12.75" customHeight="1" x14ac:dyDescent="0.25">
      <c r="A476" s="2">
        <v>369</v>
      </c>
      <c r="B476" s="10" t="s">
        <v>726</v>
      </c>
      <c r="C476" s="10" t="s">
        <v>727</v>
      </c>
      <c r="D476" s="10" t="s">
        <v>488</v>
      </c>
      <c r="E476" s="10" t="s">
        <v>10</v>
      </c>
      <c r="F476" s="10" t="s">
        <v>78</v>
      </c>
      <c r="G476" s="10" t="s">
        <v>29</v>
      </c>
      <c r="H476" s="13">
        <v>1998876.5560000001</v>
      </c>
      <c r="I476" s="15">
        <f>IF(Table1[[#This Row],[Salary]]&lt;1000000,Table1[[#This Row],[Salary]]*0.05,Table1[[#This Row],[Salary]]*0.1)</f>
        <v>199887.65560000003</v>
      </c>
      <c r="J476" s="15">
        <f>Table1[[#This Row],[Salary]]+Table1[[#This Row],[Bonus]]</f>
        <v>2198764.2116</v>
      </c>
      <c r="K476" s="25">
        <f>COUNTA(Table1[Employee_ID])</f>
        <v>1000</v>
      </c>
      <c r="L476" s="1">
        <f>SUM(Table1[Salary])</f>
        <v>3119391523.8580012</v>
      </c>
      <c r="M476" s="15">
        <f>AVERAGE(Table1[Salary])</f>
        <v>3119391.5238580015</v>
      </c>
      <c r="N476" s="29">
        <f>SUM(Table1[Bonus])</f>
        <v>308244983.02069992</v>
      </c>
    </row>
    <row r="477" spans="1:14" ht="12.75" customHeight="1" x14ac:dyDescent="0.25">
      <c r="A477" s="2">
        <v>370</v>
      </c>
      <c r="B477" s="10" t="s">
        <v>728</v>
      </c>
      <c r="C477" s="10" t="s">
        <v>729</v>
      </c>
      <c r="D477" s="10" t="s">
        <v>32</v>
      </c>
      <c r="E477" s="10" t="s">
        <v>13</v>
      </c>
      <c r="F477" s="10" t="s">
        <v>120</v>
      </c>
      <c r="G477" s="10" t="s">
        <v>56</v>
      </c>
      <c r="H477" s="13">
        <v>1263043.1060000001</v>
      </c>
      <c r="I477" s="15">
        <f>IF(Table1[[#This Row],[Salary]]&lt;1000000,Table1[[#This Row],[Salary]]*0.05,Table1[[#This Row],[Salary]]*0.1)</f>
        <v>126304.31060000003</v>
      </c>
      <c r="J477" s="15">
        <f>Table1[[#This Row],[Salary]]+Table1[[#This Row],[Bonus]]</f>
        <v>1389347.4166000001</v>
      </c>
      <c r="K477" s="25">
        <f>COUNTA(Table1[Employee_ID])</f>
        <v>1000</v>
      </c>
      <c r="L477" s="1">
        <f>SUM(Table1[Salary])</f>
        <v>3119391523.8580012</v>
      </c>
      <c r="M477" s="15">
        <f>AVERAGE(Table1[Salary])</f>
        <v>3119391.5238580015</v>
      </c>
      <c r="N477" s="29">
        <f>SUM(Table1[Bonus])</f>
        <v>308244983.02069992</v>
      </c>
    </row>
    <row r="478" spans="1:14" ht="12.75" customHeight="1" x14ac:dyDescent="0.25">
      <c r="A478" s="2">
        <v>371</v>
      </c>
      <c r="B478" s="10" t="s">
        <v>730</v>
      </c>
      <c r="C478" s="10" t="s">
        <v>731</v>
      </c>
      <c r="D478" s="10" t="s">
        <v>59</v>
      </c>
      <c r="E478" s="10" t="s">
        <v>39</v>
      </c>
      <c r="F478" s="10" t="s">
        <v>189</v>
      </c>
      <c r="G478" s="10" t="s">
        <v>29</v>
      </c>
      <c r="H478" s="13">
        <v>1336986.162</v>
      </c>
      <c r="I478" s="15">
        <f>IF(Table1[[#This Row],[Salary]]&lt;1000000,Table1[[#This Row],[Salary]]*0.05,Table1[[#This Row],[Salary]]*0.1)</f>
        <v>133698.61620000002</v>
      </c>
      <c r="J478" s="15">
        <f>Table1[[#This Row],[Salary]]+Table1[[#This Row],[Bonus]]</f>
        <v>1470684.7782000001</v>
      </c>
      <c r="K478" s="25">
        <f>COUNTA(Table1[Employee_ID])</f>
        <v>1000</v>
      </c>
      <c r="L478" s="1">
        <f>SUM(Table1[Salary])</f>
        <v>3119391523.8580012</v>
      </c>
      <c r="M478" s="15">
        <f>AVERAGE(Table1[Salary])</f>
        <v>3119391.5238580015</v>
      </c>
      <c r="N478" s="29">
        <f>SUM(Table1[Bonus])</f>
        <v>308244983.02069992</v>
      </c>
    </row>
    <row r="479" spans="1:14" ht="12.75" customHeight="1" x14ac:dyDescent="0.25">
      <c r="A479" s="2">
        <v>372</v>
      </c>
      <c r="B479" s="10" t="s">
        <v>732</v>
      </c>
      <c r="C479" s="10" t="s">
        <v>733</v>
      </c>
      <c r="D479" s="10" t="s">
        <v>125</v>
      </c>
      <c r="E479" s="10" t="s">
        <v>63</v>
      </c>
      <c r="F479" s="10" t="s">
        <v>131</v>
      </c>
      <c r="G479" s="10" t="s">
        <v>23</v>
      </c>
      <c r="H479" s="13">
        <v>749051.65</v>
      </c>
      <c r="I479" s="15">
        <f>IF(Table1[[#This Row],[Salary]]&lt;1000000,Table1[[#This Row],[Salary]]*0.05,Table1[[#This Row],[Salary]]*0.1)</f>
        <v>37452.582500000004</v>
      </c>
      <c r="J479" s="15">
        <f>Table1[[#This Row],[Salary]]+Table1[[#This Row],[Bonus]]</f>
        <v>786504.23250000004</v>
      </c>
      <c r="K479" s="25">
        <f>COUNTA(Table1[Employee_ID])</f>
        <v>1000</v>
      </c>
      <c r="L479" s="1">
        <f>SUM(Table1[Salary])</f>
        <v>3119391523.8580012</v>
      </c>
      <c r="M479" s="15">
        <f>AVERAGE(Table1[Salary])</f>
        <v>3119391.5238580015</v>
      </c>
      <c r="N479" s="29">
        <f>SUM(Table1[Bonus])</f>
        <v>308244983.02069992</v>
      </c>
    </row>
    <row r="480" spans="1:14" ht="12.75" customHeight="1" x14ac:dyDescent="0.25">
      <c r="A480" s="2">
        <v>373</v>
      </c>
      <c r="B480" s="10" t="s">
        <v>364</v>
      </c>
      <c r="C480" s="10" t="s">
        <v>734</v>
      </c>
      <c r="D480" s="10" t="s">
        <v>77</v>
      </c>
      <c r="E480" s="10" t="s">
        <v>14</v>
      </c>
      <c r="F480" s="10" t="s">
        <v>51</v>
      </c>
      <c r="G480" s="10" t="s">
        <v>48</v>
      </c>
      <c r="H480" s="13">
        <v>5564400.7820000006</v>
      </c>
      <c r="I480" s="15">
        <f>IF(Table1[[#This Row],[Salary]]&lt;1000000,Table1[[#This Row],[Salary]]*0.05,Table1[[#This Row],[Salary]]*0.1)</f>
        <v>556440.07820000011</v>
      </c>
      <c r="J480" s="15">
        <f>Table1[[#This Row],[Salary]]+Table1[[#This Row],[Bonus]]</f>
        <v>6120840.8602000009</v>
      </c>
      <c r="K480" s="25">
        <f>COUNTA(Table1[Employee_ID])</f>
        <v>1000</v>
      </c>
      <c r="L480" s="1">
        <f>SUM(Table1[Salary])</f>
        <v>3119391523.8580012</v>
      </c>
      <c r="M480" s="15">
        <f>AVERAGE(Table1[Salary])</f>
        <v>3119391.5238580015</v>
      </c>
      <c r="N480" s="29">
        <f>SUM(Table1[Bonus])</f>
        <v>308244983.02069992</v>
      </c>
    </row>
    <row r="481" spans="1:14" ht="12.75" customHeight="1" x14ac:dyDescent="0.25">
      <c r="A481" s="2">
        <v>374</v>
      </c>
      <c r="B481" s="10" t="s">
        <v>735</v>
      </c>
      <c r="C481" s="10" t="s">
        <v>736</v>
      </c>
      <c r="D481" s="10" t="s">
        <v>128</v>
      </c>
      <c r="E481" s="10" t="s">
        <v>6</v>
      </c>
      <c r="F481" s="10" t="s">
        <v>144</v>
      </c>
      <c r="G481" s="10" t="s">
        <v>71</v>
      </c>
      <c r="H481" s="13">
        <v>3263400.0579999997</v>
      </c>
      <c r="I481" s="15">
        <f>IF(Table1[[#This Row],[Salary]]&lt;1000000,Table1[[#This Row],[Salary]]*0.05,Table1[[#This Row],[Salary]]*0.1)</f>
        <v>326340.00579999998</v>
      </c>
      <c r="J481" s="15">
        <f>Table1[[#This Row],[Salary]]+Table1[[#This Row],[Bonus]]</f>
        <v>3589740.0637999997</v>
      </c>
      <c r="K481" s="25">
        <f>COUNTA(Table1[Employee_ID])</f>
        <v>1000</v>
      </c>
      <c r="L481" s="1">
        <f>SUM(Table1[Salary])</f>
        <v>3119391523.8580012</v>
      </c>
      <c r="M481" s="15">
        <f>AVERAGE(Table1[Salary])</f>
        <v>3119391.5238580015</v>
      </c>
      <c r="N481" s="29">
        <f>SUM(Table1[Bonus])</f>
        <v>308244983.02069992</v>
      </c>
    </row>
    <row r="482" spans="1:14" ht="12.75" customHeight="1" x14ac:dyDescent="0.25">
      <c r="A482" s="2">
        <v>375</v>
      </c>
      <c r="B482" s="10" t="s">
        <v>737</v>
      </c>
      <c r="C482" s="10" t="s">
        <v>738</v>
      </c>
      <c r="D482" s="10" t="s">
        <v>377</v>
      </c>
      <c r="E482" s="10" t="s">
        <v>2</v>
      </c>
      <c r="F482" s="10" t="s">
        <v>102</v>
      </c>
      <c r="G482" s="10" t="s">
        <v>35</v>
      </c>
      <c r="H482" s="13">
        <v>1371573.22</v>
      </c>
      <c r="I482" s="15">
        <f>IF(Table1[[#This Row],[Salary]]&lt;1000000,Table1[[#This Row],[Salary]]*0.05,Table1[[#This Row],[Salary]]*0.1)</f>
        <v>137157.32200000001</v>
      </c>
      <c r="J482" s="15">
        <f>Table1[[#This Row],[Salary]]+Table1[[#This Row],[Bonus]]</f>
        <v>1508730.5419999999</v>
      </c>
      <c r="K482" s="25">
        <f>COUNTA(Table1[Employee_ID])</f>
        <v>1000</v>
      </c>
      <c r="L482" s="1">
        <f>SUM(Table1[Salary])</f>
        <v>3119391523.8580012</v>
      </c>
      <c r="M482" s="15">
        <f>AVERAGE(Table1[Salary])</f>
        <v>3119391.5238580015</v>
      </c>
      <c r="N482" s="29">
        <f>SUM(Table1[Bonus])</f>
        <v>308244983.02069992</v>
      </c>
    </row>
    <row r="483" spans="1:14" ht="12.75" customHeight="1" x14ac:dyDescent="0.25">
      <c r="A483" s="2">
        <v>376</v>
      </c>
      <c r="B483" s="10" t="s">
        <v>739</v>
      </c>
      <c r="C483" s="10" t="s">
        <v>740</v>
      </c>
      <c r="D483" s="10" t="s">
        <v>140</v>
      </c>
      <c r="E483" s="10" t="s">
        <v>33</v>
      </c>
      <c r="F483" s="10" t="s">
        <v>55</v>
      </c>
      <c r="G483" s="10" t="s">
        <v>48</v>
      </c>
      <c r="H483" s="13">
        <v>2932629.1779999998</v>
      </c>
      <c r="I483" s="15">
        <f>IF(Table1[[#This Row],[Salary]]&lt;1000000,Table1[[#This Row],[Salary]]*0.05,Table1[[#This Row],[Salary]]*0.1)</f>
        <v>293262.9178</v>
      </c>
      <c r="J483" s="15">
        <f>Table1[[#This Row],[Salary]]+Table1[[#This Row],[Bonus]]</f>
        <v>3225892.0957999998</v>
      </c>
      <c r="K483" s="25">
        <f>COUNTA(Table1[Employee_ID])</f>
        <v>1000</v>
      </c>
      <c r="L483" s="1">
        <f>SUM(Table1[Salary])</f>
        <v>3119391523.8580012</v>
      </c>
      <c r="M483" s="15">
        <f>AVERAGE(Table1[Salary])</f>
        <v>3119391.5238580015</v>
      </c>
      <c r="N483" s="29">
        <f>SUM(Table1[Bonus])</f>
        <v>308244983.02069992</v>
      </c>
    </row>
    <row r="484" spans="1:14" ht="12.75" customHeight="1" x14ac:dyDescent="0.25">
      <c r="A484" s="2">
        <v>377</v>
      </c>
      <c r="B484" s="10" t="s">
        <v>741</v>
      </c>
      <c r="C484" s="10" t="s">
        <v>742</v>
      </c>
      <c r="D484" s="10" t="s">
        <v>32</v>
      </c>
      <c r="E484" s="10" t="s">
        <v>13</v>
      </c>
      <c r="F484" s="10" t="s">
        <v>43</v>
      </c>
      <c r="G484" s="10" t="s">
        <v>23</v>
      </c>
      <c r="H484" s="13">
        <v>2045971.2960000001</v>
      </c>
      <c r="I484" s="15">
        <f>IF(Table1[[#This Row],[Salary]]&lt;1000000,Table1[[#This Row],[Salary]]*0.05,Table1[[#This Row],[Salary]]*0.1)</f>
        <v>204597.12960000001</v>
      </c>
      <c r="J484" s="15">
        <f>Table1[[#This Row],[Salary]]+Table1[[#This Row],[Bonus]]</f>
        <v>2250568.4256000002</v>
      </c>
      <c r="K484" s="25">
        <f>COUNTA(Table1[Employee_ID])</f>
        <v>1000</v>
      </c>
      <c r="L484" s="1">
        <f>SUM(Table1[Salary])</f>
        <v>3119391523.8580012</v>
      </c>
      <c r="M484" s="15">
        <f>AVERAGE(Table1[Salary])</f>
        <v>3119391.5238580015</v>
      </c>
      <c r="N484" s="29">
        <f>SUM(Table1[Bonus])</f>
        <v>308244983.02069992</v>
      </c>
    </row>
    <row r="485" spans="1:14" ht="12.75" customHeight="1" x14ac:dyDescent="0.25">
      <c r="A485" s="2">
        <v>378</v>
      </c>
      <c r="B485" s="10" t="s">
        <v>743</v>
      </c>
      <c r="C485" s="10" t="s">
        <v>744</v>
      </c>
      <c r="D485" s="10" t="s">
        <v>316</v>
      </c>
      <c r="E485" s="10" t="s">
        <v>27</v>
      </c>
      <c r="F485" s="10" t="s">
        <v>106</v>
      </c>
      <c r="G485" s="10" t="s">
        <v>23</v>
      </c>
      <c r="H485" s="13">
        <v>5869123.2220000001</v>
      </c>
      <c r="I485" s="15">
        <f>IF(Table1[[#This Row],[Salary]]&lt;1000000,Table1[[#This Row],[Salary]]*0.05,Table1[[#This Row],[Salary]]*0.1)</f>
        <v>586912.32220000005</v>
      </c>
      <c r="J485" s="15">
        <f>Table1[[#This Row],[Salary]]+Table1[[#This Row],[Bonus]]</f>
        <v>6456035.5442000004</v>
      </c>
      <c r="K485" s="25">
        <f>COUNTA(Table1[Employee_ID])</f>
        <v>1000</v>
      </c>
      <c r="L485" s="1">
        <f>SUM(Table1[Salary])</f>
        <v>3119391523.8580012</v>
      </c>
      <c r="M485" s="15">
        <f>AVERAGE(Table1[Salary])</f>
        <v>3119391.5238580015</v>
      </c>
      <c r="N485" s="29">
        <f>SUM(Table1[Bonus])</f>
        <v>308244983.02069992</v>
      </c>
    </row>
    <row r="486" spans="1:14" ht="12.75" customHeight="1" x14ac:dyDescent="0.25">
      <c r="A486" s="2">
        <v>379</v>
      </c>
      <c r="B486" s="10" t="s">
        <v>745</v>
      </c>
      <c r="C486" s="10" t="s">
        <v>746</v>
      </c>
      <c r="D486" s="10" t="s">
        <v>174</v>
      </c>
      <c r="E486" s="10" t="s">
        <v>63</v>
      </c>
      <c r="F486" s="10" t="s">
        <v>64</v>
      </c>
      <c r="G486" s="10" t="s">
        <v>56</v>
      </c>
      <c r="H486" s="13">
        <v>3178277.3939999999</v>
      </c>
      <c r="I486" s="15">
        <f>IF(Table1[[#This Row],[Salary]]&lt;1000000,Table1[[#This Row],[Salary]]*0.05,Table1[[#This Row],[Salary]]*0.1)</f>
        <v>317827.73940000002</v>
      </c>
      <c r="J486" s="15">
        <f>Table1[[#This Row],[Salary]]+Table1[[#This Row],[Bonus]]</f>
        <v>3496105.1333999997</v>
      </c>
      <c r="K486" s="25">
        <f>COUNTA(Table1[Employee_ID])</f>
        <v>1000</v>
      </c>
      <c r="L486" s="1">
        <f>SUM(Table1[Salary])</f>
        <v>3119391523.8580012</v>
      </c>
      <c r="M486" s="15">
        <f>AVERAGE(Table1[Salary])</f>
        <v>3119391.5238580015</v>
      </c>
      <c r="N486" s="29">
        <f>SUM(Table1[Bonus])</f>
        <v>308244983.02069992</v>
      </c>
    </row>
    <row r="487" spans="1:14" ht="12.75" customHeight="1" x14ac:dyDescent="0.25">
      <c r="A487" s="2">
        <v>380</v>
      </c>
      <c r="B487" s="10" t="s">
        <v>747</v>
      </c>
      <c r="C487" s="10" t="s">
        <v>183</v>
      </c>
      <c r="D487" s="10" t="s">
        <v>183</v>
      </c>
      <c r="E487" s="10" t="s">
        <v>33</v>
      </c>
      <c r="F487" s="10" t="s">
        <v>34</v>
      </c>
      <c r="G487" s="10" t="s">
        <v>56</v>
      </c>
      <c r="H487" s="13">
        <v>4623972.8099999996</v>
      </c>
      <c r="I487" s="15">
        <f>IF(Table1[[#This Row],[Salary]]&lt;1000000,Table1[[#This Row],[Salary]]*0.05,Table1[[#This Row],[Salary]]*0.1)</f>
        <v>462397.28099999996</v>
      </c>
      <c r="J487" s="15">
        <f>Table1[[#This Row],[Salary]]+Table1[[#This Row],[Bonus]]</f>
        <v>5086370.091</v>
      </c>
      <c r="K487" s="25">
        <f>COUNTA(Table1[Employee_ID])</f>
        <v>1000</v>
      </c>
      <c r="L487" s="1">
        <f>SUM(Table1[Salary])</f>
        <v>3119391523.8580012</v>
      </c>
      <c r="M487" s="15">
        <f>AVERAGE(Table1[Salary])</f>
        <v>3119391.5238580015</v>
      </c>
      <c r="N487" s="29">
        <f>SUM(Table1[Bonus])</f>
        <v>308244983.02069992</v>
      </c>
    </row>
    <row r="488" spans="1:14" ht="12.75" customHeight="1" x14ac:dyDescent="0.25">
      <c r="A488" s="2">
        <v>381</v>
      </c>
      <c r="B488" s="10" t="s">
        <v>272</v>
      </c>
      <c r="C488" s="10" t="s">
        <v>748</v>
      </c>
      <c r="D488" s="10" t="s">
        <v>118</v>
      </c>
      <c r="E488" s="10" t="s">
        <v>33</v>
      </c>
      <c r="F488" s="10" t="s">
        <v>47</v>
      </c>
      <c r="G488" s="10" t="s">
        <v>23</v>
      </c>
      <c r="H488" s="13">
        <v>1338451.8239999998</v>
      </c>
      <c r="I488" s="15">
        <f>IF(Table1[[#This Row],[Salary]]&lt;1000000,Table1[[#This Row],[Salary]]*0.05,Table1[[#This Row],[Salary]]*0.1)</f>
        <v>133845.18239999999</v>
      </c>
      <c r="J488" s="15">
        <f>Table1[[#This Row],[Salary]]+Table1[[#This Row],[Bonus]]</f>
        <v>1472297.0063999998</v>
      </c>
      <c r="K488" s="25">
        <f>COUNTA(Table1[Employee_ID])</f>
        <v>1000</v>
      </c>
      <c r="L488" s="1">
        <f>SUM(Table1[Salary])</f>
        <v>3119391523.8580012</v>
      </c>
      <c r="M488" s="15">
        <f>AVERAGE(Table1[Salary])</f>
        <v>3119391.5238580015</v>
      </c>
      <c r="N488" s="29">
        <f>SUM(Table1[Bonus])</f>
        <v>308244983.02069992</v>
      </c>
    </row>
    <row r="489" spans="1:14" ht="12.75" customHeight="1" x14ac:dyDescent="0.25">
      <c r="A489" s="2">
        <v>382</v>
      </c>
      <c r="B489" s="10" t="s">
        <v>457</v>
      </c>
      <c r="C489" s="10" t="s">
        <v>749</v>
      </c>
      <c r="D489" s="10" t="s">
        <v>46</v>
      </c>
      <c r="E489" s="10" t="s">
        <v>27</v>
      </c>
      <c r="F489" s="10" t="s">
        <v>28</v>
      </c>
      <c r="G489" s="10" t="s">
        <v>71</v>
      </c>
      <c r="H489" s="13">
        <v>4268621.4840000002</v>
      </c>
      <c r="I489" s="15">
        <f>IF(Table1[[#This Row],[Salary]]&lt;1000000,Table1[[#This Row],[Salary]]*0.05,Table1[[#This Row],[Salary]]*0.1)</f>
        <v>426862.14840000006</v>
      </c>
      <c r="J489" s="15">
        <f>Table1[[#This Row],[Salary]]+Table1[[#This Row],[Bonus]]</f>
        <v>4695483.6324000005</v>
      </c>
      <c r="K489" s="25">
        <f>COUNTA(Table1[Employee_ID])</f>
        <v>1000</v>
      </c>
      <c r="L489" s="1">
        <f>SUM(Table1[Salary])</f>
        <v>3119391523.8580012</v>
      </c>
      <c r="M489" s="15">
        <f>AVERAGE(Table1[Salary])</f>
        <v>3119391.5238580015</v>
      </c>
      <c r="N489" s="29">
        <f>SUM(Table1[Bonus])</f>
        <v>308244983.02069992</v>
      </c>
    </row>
    <row r="490" spans="1:14" ht="12.75" customHeight="1" x14ac:dyDescent="0.25">
      <c r="A490" s="2">
        <v>383</v>
      </c>
      <c r="B490" s="10" t="s">
        <v>387</v>
      </c>
      <c r="C490" s="10" t="s">
        <v>744</v>
      </c>
      <c r="D490" s="10" t="s">
        <v>488</v>
      </c>
      <c r="E490" s="10" t="s">
        <v>27</v>
      </c>
      <c r="F490" s="10" t="s">
        <v>85</v>
      </c>
      <c r="G490" s="10" t="s">
        <v>29</v>
      </c>
      <c r="H490" s="13">
        <v>4419027.3220000006</v>
      </c>
      <c r="I490" s="15">
        <f>IF(Table1[[#This Row],[Salary]]&lt;1000000,Table1[[#This Row],[Salary]]*0.05,Table1[[#This Row],[Salary]]*0.1)</f>
        <v>441902.73220000009</v>
      </c>
      <c r="J490" s="15">
        <f>Table1[[#This Row],[Salary]]+Table1[[#This Row],[Bonus]]</f>
        <v>4860930.0542000011</v>
      </c>
      <c r="K490" s="25">
        <f>COUNTA(Table1[Employee_ID])</f>
        <v>1000</v>
      </c>
      <c r="L490" s="1">
        <f>SUM(Table1[Salary])</f>
        <v>3119391523.8580012</v>
      </c>
      <c r="M490" s="15">
        <f>AVERAGE(Table1[Salary])</f>
        <v>3119391.5238580015</v>
      </c>
      <c r="N490" s="29">
        <f>SUM(Table1[Bonus])</f>
        <v>308244983.02069992</v>
      </c>
    </row>
    <row r="491" spans="1:14" ht="12.75" customHeight="1" x14ac:dyDescent="0.25">
      <c r="A491" s="2">
        <v>384</v>
      </c>
      <c r="B491" s="10" t="s">
        <v>750</v>
      </c>
      <c r="C491" s="10" t="s">
        <v>751</v>
      </c>
      <c r="D491" s="10" t="s">
        <v>377</v>
      </c>
      <c r="E491" s="10" t="s">
        <v>33</v>
      </c>
      <c r="F491" s="10" t="s">
        <v>55</v>
      </c>
      <c r="G491" s="10" t="s">
        <v>71</v>
      </c>
      <c r="H491" s="13">
        <v>3329469.1159999999</v>
      </c>
      <c r="I491" s="15">
        <f>IF(Table1[[#This Row],[Salary]]&lt;1000000,Table1[[#This Row],[Salary]]*0.05,Table1[[#This Row],[Salary]]*0.1)</f>
        <v>332946.91159999999</v>
      </c>
      <c r="J491" s="15">
        <f>Table1[[#This Row],[Salary]]+Table1[[#This Row],[Bonus]]</f>
        <v>3662416.0275999997</v>
      </c>
      <c r="K491" s="25">
        <f>COUNTA(Table1[Employee_ID])</f>
        <v>1000</v>
      </c>
      <c r="L491" s="1">
        <f>SUM(Table1[Salary])</f>
        <v>3119391523.8580012</v>
      </c>
      <c r="M491" s="15">
        <f>AVERAGE(Table1[Salary])</f>
        <v>3119391.5238580015</v>
      </c>
      <c r="N491" s="29">
        <f>SUM(Table1[Bonus])</f>
        <v>308244983.02069992</v>
      </c>
    </row>
    <row r="492" spans="1:14" ht="12.75" customHeight="1" x14ac:dyDescent="0.25">
      <c r="A492" s="2">
        <v>385</v>
      </c>
      <c r="B492" s="10" t="s">
        <v>752</v>
      </c>
      <c r="C492" s="10" t="s">
        <v>753</v>
      </c>
      <c r="D492" s="10" t="s">
        <v>159</v>
      </c>
      <c r="E492" s="10" t="s">
        <v>33</v>
      </c>
      <c r="F492" s="10" t="s">
        <v>34</v>
      </c>
      <c r="G492" s="10" t="s">
        <v>29</v>
      </c>
      <c r="H492" s="13">
        <v>3096287.7720000003</v>
      </c>
      <c r="I492" s="15">
        <f>IF(Table1[[#This Row],[Salary]]&lt;1000000,Table1[[#This Row],[Salary]]*0.05,Table1[[#This Row],[Salary]]*0.1)</f>
        <v>309628.77720000007</v>
      </c>
      <c r="J492" s="15">
        <f>Table1[[#This Row],[Salary]]+Table1[[#This Row],[Bonus]]</f>
        <v>3405916.5492000002</v>
      </c>
      <c r="K492" s="25">
        <f>COUNTA(Table1[Employee_ID])</f>
        <v>1000</v>
      </c>
      <c r="L492" s="1">
        <f>SUM(Table1[Salary])</f>
        <v>3119391523.8580012</v>
      </c>
      <c r="M492" s="15">
        <f>AVERAGE(Table1[Salary])</f>
        <v>3119391.5238580015</v>
      </c>
      <c r="N492" s="29">
        <f>SUM(Table1[Bonus])</f>
        <v>308244983.02069992</v>
      </c>
    </row>
    <row r="493" spans="1:14" ht="12.75" customHeight="1" x14ac:dyDescent="0.25">
      <c r="A493" s="2">
        <v>386</v>
      </c>
      <c r="B493" s="10" t="s">
        <v>754</v>
      </c>
      <c r="C493" s="10" t="s">
        <v>755</v>
      </c>
      <c r="D493" s="10" t="s">
        <v>377</v>
      </c>
      <c r="E493" s="10" t="s">
        <v>27</v>
      </c>
      <c r="F493" s="10" t="s">
        <v>106</v>
      </c>
      <c r="G493" s="10" t="s">
        <v>56</v>
      </c>
      <c r="H493" s="13">
        <v>3287383.5120000001</v>
      </c>
      <c r="I493" s="15">
        <f>IF(Table1[[#This Row],[Salary]]&lt;1000000,Table1[[#This Row],[Salary]]*0.05,Table1[[#This Row],[Salary]]*0.1)</f>
        <v>328738.35120000003</v>
      </c>
      <c r="J493" s="15">
        <f>Table1[[#This Row],[Salary]]+Table1[[#This Row],[Bonus]]</f>
        <v>3616121.8632</v>
      </c>
      <c r="K493" s="25">
        <f>COUNTA(Table1[Employee_ID])</f>
        <v>1000</v>
      </c>
      <c r="L493" s="1">
        <f>SUM(Table1[Salary])</f>
        <v>3119391523.8580012</v>
      </c>
      <c r="M493" s="15">
        <f>AVERAGE(Table1[Salary])</f>
        <v>3119391.5238580015</v>
      </c>
      <c r="N493" s="29">
        <f>SUM(Table1[Bonus])</f>
        <v>308244983.02069992</v>
      </c>
    </row>
    <row r="494" spans="1:14" ht="12.75" customHeight="1" x14ac:dyDescent="0.25">
      <c r="A494" s="2">
        <v>387</v>
      </c>
      <c r="B494" s="10" t="s">
        <v>417</v>
      </c>
      <c r="C494" s="10" t="s">
        <v>756</v>
      </c>
      <c r="D494" s="10" t="s">
        <v>156</v>
      </c>
      <c r="E494" s="10" t="s">
        <v>13</v>
      </c>
      <c r="F494" s="10" t="s">
        <v>67</v>
      </c>
      <c r="G494" s="10" t="s">
        <v>71</v>
      </c>
      <c r="H494" s="13">
        <v>1116394.1200000001</v>
      </c>
      <c r="I494" s="15">
        <f>IF(Table1[[#This Row],[Salary]]&lt;1000000,Table1[[#This Row],[Salary]]*0.05,Table1[[#This Row],[Salary]]*0.1)</f>
        <v>111639.41200000001</v>
      </c>
      <c r="J494" s="15">
        <f>Table1[[#This Row],[Salary]]+Table1[[#This Row],[Bonus]]</f>
        <v>1228033.5320000001</v>
      </c>
      <c r="K494" s="25">
        <f>COUNTA(Table1[Employee_ID])</f>
        <v>1000</v>
      </c>
      <c r="L494" s="1">
        <f>SUM(Table1[Salary])</f>
        <v>3119391523.8580012</v>
      </c>
      <c r="M494" s="15">
        <f>AVERAGE(Table1[Salary])</f>
        <v>3119391.5238580015</v>
      </c>
      <c r="N494" s="29">
        <f>SUM(Table1[Bonus])</f>
        <v>308244983.02069992</v>
      </c>
    </row>
    <row r="495" spans="1:14" ht="12.75" customHeight="1" x14ac:dyDescent="0.25">
      <c r="A495" s="2">
        <v>388</v>
      </c>
      <c r="B495" s="10" t="s">
        <v>427</v>
      </c>
      <c r="C495" s="10" t="s">
        <v>757</v>
      </c>
      <c r="D495" s="10" t="s">
        <v>174</v>
      </c>
      <c r="E495" s="10" t="s">
        <v>14</v>
      </c>
      <c r="F495" s="10" t="s">
        <v>222</v>
      </c>
      <c r="G495" s="10" t="s">
        <v>35</v>
      </c>
      <c r="H495" s="13">
        <v>3580348.0079999999</v>
      </c>
      <c r="I495" s="15">
        <f>IF(Table1[[#This Row],[Salary]]&lt;1000000,Table1[[#This Row],[Salary]]*0.05,Table1[[#This Row],[Salary]]*0.1)</f>
        <v>358034.80080000003</v>
      </c>
      <c r="J495" s="15">
        <f>Table1[[#This Row],[Salary]]+Table1[[#This Row],[Bonus]]</f>
        <v>3938382.8087999998</v>
      </c>
      <c r="K495" s="25">
        <f>COUNTA(Table1[Employee_ID])</f>
        <v>1000</v>
      </c>
      <c r="L495" s="1">
        <f>SUM(Table1[Salary])</f>
        <v>3119391523.8580012</v>
      </c>
      <c r="M495" s="15">
        <f>AVERAGE(Table1[Salary])</f>
        <v>3119391.5238580015</v>
      </c>
      <c r="N495" s="29">
        <f>SUM(Table1[Bonus])</f>
        <v>308244983.02069992</v>
      </c>
    </row>
    <row r="496" spans="1:14" ht="12.75" customHeight="1" x14ac:dyDescent="0.25">
      <c r="A496" s="2">
        <v>389</v>
      </c>
      <c r="B496" s="10" t="s">
        <v>758</v>
      </c>
      <c r="C496" s="10" t="s">
        <v>759</v>
      </c>
      <c r="D496" s="10" t="s">
        <v>174</v>
      </c>
      <c r="E496" s="10" t="s">
        <v>27</v>
      </c>
      <c r="F496" s="10" t="s">
        <v>28</v>
      </c>
      <c r="G496" s="10" t="s">
        <v>29</v>
      </c>
      <c r="H496" s="13">
        <v>5924224.8840000005</v>
      </c>
      <c r="I496" s="15">
        <f>IF(Table1[[#This Row],[Salary]]&lt;1000000,Table1[[#This Row],[Salary]]*0.05,Table1[[#This Row],[Salary]]*0.1)</f>
        <v>592422.48840000003</v>
      </c>
      <c r="J496" s="15">
        <f>Table1[[#This Row],[Salary]]+Table1[[#This Row],[Bonus]]</f>
        <v>6516647.3724000007</v>
      </c>
      <c r="K496" s="25">
        <f>COUNTA(Table1[Employee_ID])</f>
        <v>1000</v>
      </c>
      <c r="L496" s="1">
        <f>SUM(Table1[Salary])</f>
        <v>3119391523.8580012</v>
      </c>
      <c r="M496" s="15">
        <f>AVERAGE(Table1[Salary])</f>
        <v>3119391.5238580015</v>
      </c>
      <c r="N496" s="29">
        <f>SUM(Table1[Bonus])</f>
        <v>308244983.02069992</v>
      </c>
    </row>
    <row r="497" spans="1:14" ht="12.75" customHeight="1" x14ac:dyDescent="0.25">
      <c r="A497" s="2">
        <v>390</v>
      </c>
      <c r="B497" s="10" t="s">
        <v>760</v>
      </c>
      <c r="C497" s="10" t="s">
        <v>761</v>
      </c>
      <c r="D497" s="10" t="s">
        <v>59</v>
      </c>
      <c r="E497" s="10" t="s">
        <v>6</v>
      </c>
      <c r="F497" s="10" t="s">
        <v>74</v>
      </c>
      <c r="G497" s="10" t="s">
        <v>29</v>
      </c>
      <c r="H497" s="13">
        <v>4166372.6120000002</v>
      </c>
      <c r="I497" s="15">
        <f>IF(Table1[[#This Row],[Salary]]&lt;1000000,Table1[[#This Row],[Salary]]*0.05,Table1[[#This Row],[Salary]]*0.1)</f>
        <v>416637.26120000007</v>
      </c>
      <c r="J497" s="15">
        <f>Table1[[#This Row],[Salary]]+Table1[[#This Row],[Bonus]]</f>
        <v>4583009.8732000003</v>
      </c>
      <c r="K497" s="25">
        <f>COUNTA(Table1[Employee_ID])</f>
        <v>1000</v>
      </c>
      <c r="L497" s="1">
        <f>SUM(Table1[Salary])</f>
        <v>3119391523.8580012</v>
      </c>
      <c r="M497" s="15">
        <f>AVERAGE(Table1[Salary])</f>
        <v>3119391.5238580015</v>
      </c>
      <c r="N497" s="29">
        <f>SUM(Table1[Bonus])</f>
        <v>308244983.02069992</v>
      </c>
    </row>
    <row r="498" spans="1:14" ht="12.75" customHeight="1" x14ac:dyDescent="0.25">
      <c r="A498" s="2">
        <v>391</v>
      </c>
      <c r="B498" s="10" t="s">
        <v>750</v>
      </c>
      <c r="C498" s="10" t="s">
        <v>762</v>
      </c>
      <c r="D498" s="10" t="s">
        <v>324</v>
      </c>
      <c r="E498" s="10" t="s">
        <v>2</v>
      </c>
      <c r="F498" s="10" t="s">
        <v>60</v>
      </c>
      <c r="G498" s="10" t="s">
        <v>48</v>
      </c>
      <c r="H498" s="13">
        <v>4176212.486</v>
      </c>
      <c r="I498" s="15">
        <f>IF(Table1[[#This Row],[Salary]]&lt;1000000,Table1[[#This Row],[Salary]]*0.05,Table1[[#This Row],[Salary]]*0.1)</f>
        <v>417621.24860000005</v>
      </c>
      <c r="J498" s="15">
        <f>Table1[[#This Row],[Salary]]+Table1[[#This Row],[Bonus]]</f>
        <v>4593833.7346000001</v>
      </c>
      <c r="K498" s="25">
        <f>COUNTA(Table1[Employee_ID])</f>
        <v>1000</v>
      </c>
      <c r="L498" s="1">
        <f>SUM(Table1[Salary])</f>
        <v>3119391523.8580012</v>
      </c>
      <c r="M498" s="15">
        <f>AVERAGE(Table1[Salary])</f>
        <v>3119391.5238580015</v>
      </c>
      <c r="N498" s="29">
        <f>SUM(Table1[Bonus])</f>
        <v>308244983.02069992</v>
      </c>
    </row>
    <row r="499" spans="1:14" ht="12.75" customHeight="1" x14ac:dyDescent="0.25">
      <c r="A499" s="2">
        <v>392</v>
      </c>
      <c r="B499" s="10" t="s">
        <v>371</v>
      </c>
      <c r="C499" s="10" t="s">
        <v>763</v>
      </c>
      <c r="D499" s="10" t="s">
        <v>177</v>
      </c>
      <c r="E499" s="10" t="s">
        <v>27</v>
      </c>
      <c r="F499" s="10" t="s">
        <v>85</v>
      </c>
      <c r="G499" s="10" t="s">
        <v>23</v>
      </c>
      <c r="H499" s="13">
        <v>5927425.5540000005</v>
      </c>
      <c r="I499" s="15">
        <f>IF(Table1[[#This Row],[Salary]]&lt;1000000,Table1[[#This Row],[Salary]]*0.05,Table1[[#This Row],[Salary]]*0.1)</f>
        <v>592742.55540000007</v>
      </c>
      <c r="J499" s="15">
        <f>Table1[[#This Row],[Salary]]+Table1[[#This Row],[Bonus]]</f>
        <v>6520168.1094000004</v>
      </c>
      <c r="K499" s="25">
        <f>COUNTA(Table1[Employee_ID])</f>
        <v>1000</v>
      </c>
      <c r="L499" s="1">
        <f>SUM(Table1[Salary])</f>
        <v>3119391523.8580012</v>
      </c>
      <c r="M499" s="15">
        <f>AVERAGE(Table1[Salary])</f>
        <v>3119391.5238580015</v>
      </c>
      <c r="N499" s="29">
        <f>SUM(Table1[Bonus])</f>
        <v>308244983.02069992</v>
      </c>
    </row>
    <row r="500" spans="1:14" ht="12.75" customHeight="1" x14ac:dyDescent="0.25">
      <c r="A500" s="2">
        <v>393</v>
      </c>
      <c r="B500" s="10" t="s">
        <v>764</v>
      </c>
      <c r="C500" s="10" t="s">
        <v>765</v>
      </c>
      <c r="D500" s="10" t="s">
        <v>324</v>
      </c>
      <c r="E500" s="10" t="s">
        <v>10</v>
      </c>
      <c r="F500" s="10" t="s">
        <v>109</v>
      </c>
      <c r="G500" s="10" t="s">
        <v>23</v>
      </c>
      <c r="H500" s="13">
        <v>2558565.8840000001</v>
      </c>
      <c r="I500" s="15">
        <f>IF(Table1[[#This Row],[Salary]]&lt;1000000,Table1[[#This Row],[Salary]]*0.05,Table1[[#This Row],[Salary]]*0.1)</f>
        <v>255856.58840000001</v>
      </c>
      <c r="J500" s="15">
        <f>Table1[[#This Row],[Salary]]+Table1[[#This Row],[Bonus]]</f>
        <v>2814422.4724000003</v>
      </c>
      <c r="K500" s="25">
        <f>COUNTA(Table1[Employee_ID])</f>
        <v>1000</v>
      </c>
      <c r="L500" s="1">
        <f>SUM(Table1[Salary])</f>
        <v>3119391523.8580012</v>
      </c>
      <c r="M500" s="15">
        <f>AVERAGE(Table1[Salary])</f>
        <v>3119391.5238580015</v>
      </c>
      <c r="N500" s="29">
        <f>SUM(Table1[Bonus])</f>
        <v>308244983.02069992</v>
      </c>
    </row>
    <row r="501" spans="1:14" ht="12.75" customHeight="1" x14ac:dyDescent="0.25">
      <c r="A501" s="2">
        <v>394</v>
      </c>
      <c r="B501" s="10" t="s">
        <v>766</v>
      </c>
      <c r="C501" s="10" t="s">
        <v>767</v>
      </c>
      <c r="D501" s="10" t="s">
        <v>32</v>
      </c>
      <c r="E501" s="10" t="s">
        <v>13</v>
      </c>
      <c r="F501" s="10" t="s">
        <v>120</v>
      </c>
      <c r="G501" s="10" t="s">
        <v>29</v>
      </c>
      <c r="H501" s="13">
        <v>3498863.264</v>
      </c>
      <c r="I501" s="15">
        <f>IF(Table1[[#This Row],[Salary]]&lt;1000000,Table1[[#This Row],[Salary]]*0.05,Table1[[#This Row],[Salary]]*0.1)</f>
        <v>349886.32640000002</v>
      </c>
      <c r="J501" s="15">
        <f>Table1[[#This Row],[Salary]]+Table1[[#This Row],[Bonus]]</f>
        <v>3848749.5904000001</v>
      </c>
      <c r="K501" s="25">
        <f>COUNTA(Table1[Employee_ID])</f>
        <v>1000</v>
      </c>
      <c r="L501" s="1">
        <f>SUM(Table1[Salary])</f>
        <v>3119391523.8580012</v>
      </c>
      <c r="M501" s="15">
        <f>AVERAGE(Table1[Salary])</f>
        <v>3119391.5238580015</v>
      </c>
      <c r="N501" s="29">
        <f>SUM(Table1[Bonus])</f>
        <v>308244983.02069992</v>
      </c>
    </row>
    <row r="502" spans="1:14" ht="12.75" customHeight="1" x14ac:dyDescent="0.25">
      <c r="A502" s="2">
        <v>395</v>
      </c>
      <c r="B502" s="10" t="s">
        <v>768</v>
      </c>
      <c r="C502" s="10" t="s">
        <v>769</v>
      </c>
      <c r="D502" s="10" t="s">
        <v>183</v>
      </c>
      <c r="E502" s="10" t="s">
        <v>27</v>
      </c>
      <c r="F502" s="10" t="s">
        <v>106</v>
      </c>
      <c r="G502" s="10" t="s">
        <v>29</v>
      </c>
      <c r="H502" s="13">
        <v>2563565.6920000003</v>
      </c>
      <c r="I502" s="15">
        <f>IF(Table1[[#This Row],[Salary]]&lt;1000000,Table1[[#This Row],[Salary]]*0.05,Table1[[#This Row],[Salary]]*0.1)</f>
        <v>256356.56920000003</v>
      </c>
      <c r="J502" s="15">
        <f>Table1[[#This Row],[Salary]]+Table1[[#This Row],[Bonus]]</f>
        <v>2819922.2612000005</v>
      </c>
      <c r="K502" s="25">
        <f>COUNTA(Table1[Employee_ID])</f>
        <v>1000</v>
      </c>
      <c r="L502" s="1">
        <f>SUM(Table1[Salary])</f>
        <v>3119391523.8580012</v>
      </c>
      <c r="M502" s="15">
        <f>AVERAGE(Table1[Salary])</f>
        <v>3119391.5238580015</v>
      </c>
      <c r="N502" s="29">
        <f>SUM(Table1[Bonus])</f>
        <v>308244983.02069992</v>
      </c>
    </row>
    <row r="503" spans="1:14" ht="12.75" customHeight="1" x14ac:dyDescent="0.25">
      <c r="A503" s="2">
        <v>396</v>
      </c>
      <c r="B503" s="10" t="s">
        <v>548</v>
      </c>
      <c r="C503" s="10" t="s">
        <v>770</v>
      </c>
      <c r="D503" s="10" t="s">
        <v>96</v>
      </c>
      <c r="E503" s="10" t="s">
        <v>39</v>
      </c>
      <c r="F503" s="10" t="s">
        <v>40</v>
      </c>
      <c r="G503" s="10" t="s">
        <v>71</v>
      </c>
      <c r="H503" s="13">
        <v>1054269.6399999999</v>
      </c>
      <c r="I503" s="15">
        <f>IF(Table1[[#This Row],[Salary]]&lt;1000000,Table1[[#This Row],[Salary]]*0.05,Table1[[#This Row],[Salary]]*0.1)</f>
        <v>105426.96399999999</v>
      </c>
      <c r="J503" s="15">
        <f>Table1[[#This Row],[Salary]]+Table1[[#This Row],[Bonus]]</f>
        <v>1159696.6039999998</v>
      </c>
      <c r="K503" s="25">
        <f>COUNTA(Table1[Employee_ID])</f>
        <v>1000</v>
      </c>
      <c r="L503" s="1">
        <f>SUM(Table1[Salary])</f>
        <v>3119391523.8580012</v>
      </c>
      <c r="M503" s="15">
        <f>AVERAGE(Table1[Salary])</f>
        <v>3119391.5238580015</v>
      </c>
      <c r="N503" s="29">
        <f>SUM(Table1[Bonus])</f>
        <v>308244983.02069992</v>
      </c>
    </row>
    <row r="504" spans="1:14" ht="12.75" customHeight="1" x14ac:dyDescent="0.25">
      <c r="A504" s="2">
        <v>397</v>
      </c>
      <c r="B504" s="10" t="s">
        <v>771</v>
      </c>
      <c r="C504" s="10" t="s">
        <v>772</v>
      </c>
      <c r="D504" s="10" t="s">
        <v>77</v>
      </c>
      <c r="E504" s="10" t="s">
        <v>27</v>
      </c>
      <c r="F504" s="10" t="s">
        <v>28</v>
      </c>
      <c r="G504" s="10" t="s">
        <v>35</v>
      </c>
      <c r="H504" s="13">
        <v>5788108.3759999992</v>
      </c>
      <c r="I504" s="15">
        <f>IF(Table1[[#This Row],[Salary]]&lt;1000000,Table1[[#This Row],[Salary]]*0.05,Table1[[#This Row],[Salary]]*0.1)</f>
        <v>578810.83759999997</v>
      </c>
      <c r="J504" s="15">
        <f>Table1[[#This Row],[Salary]]+Table1[[#This Row],[Bonus]]</f>
        <v>6366919.2135999994</v>
      </c>
      <c r="K504" s="25">
        <f>COUNTA(Table1[Employee_ID])</f>
        <v>1000</v>
      </c>
      <c r="L504" s="1">
        <f>SUM(Table1[Salary])</f>
        <v>3119391523.8580012</v>
      </c>
      <c r="M504" s="15">
        <f>AVERAGE(Table1[Salary])</f>
        <v>3119391.5238580015</v>
      </c>
      <c r="N504" s="29">
        <f>SUM(Table1[Bonus])</f>
        <v>308244983.02069992</v>
      </c>
    </row>
    <row r="505" spans="1:14" ht="12.75" customHeight="1" x14ac:dyDescent="0.25">
      <c r="A505" s="2">
        <v>398</v>
      </c>
      <c r="B505" s="10" t="s">
        <v>773</v>
      </c>
      <c r="C505" s="10" t="s">
        <v>774</v>
      </c>
      <c r="D505" s="10" t="s">
        <v>88</v>
      </c>
      <c r="E505" s="10" t="s">
        <v>2</v>
      </c>
      <c r="F505" s="10" t="s">
        <v>74</v>
      </c>
      <c r="G505" s="10" t="s">
        <v>35</v>
      </c>
      <c r="H505" s="13">
        <v>5878120.0779999997</v>
      </c>
      <c r="I505" s="15">
        <f>IF(Table1[[#This Row],[Salary]]&lt;1000000,Table1[[#This Row],[Salary]]*0.05,Table1[[#This Row],[Salary]]*0.1)</f>
        <v>587812.00780000002</v>
      </c>
      <c r="J505" s="15">
        <f>Table1[[#This Row],[Salary]]+Table1[[#This Row],[Bonus]]</f>
        <v>6465932.0857999995</v>
      </c>
      <c r="K505" s="25">
        <f>COUNTA(Table1[Employee_ID])</f>
        <v>1000</v>
      </c>
      <c r="L505" s="1">
        <f>SUM(Table1[Salary])</f>
        <v>3119391523.8580012</v>
      </c>
      <c r="M505" s="15">
        <f>AVERAGE(Table1[Salary])</f>
        <v>3119391.5238580015</v>
      </c>
      <c r="N505" s="29">
        <f>SUM(Table1[Bonus])</f>
        <v>308244983.02069992</v>
      </c>
    </row>
    <row r="506" spans="1:14" ht="12.75" customHeight="1" x14ac:dyDescent="0.25">
      <c r="A506" s="2">
        <v>399</v>
      </c>
      <c r="B506" s="10" t="s">
        <v>205</v>
      </c>
      <c r="C506" s="10" t="s">
        <v>775</v>
      </c>
      <c r="D506" s="10" t="s">
        <v>96</v>
      </c>
      <c r="E506" s="10" t="s">
        <v>33</v>
      </c>
      <c r="F506" s="10" t="s">
        <v>47</v>
      </c>
      <c r="G506" s="10" t="s">
        <v>56</v>
      </c>
      <c r="H506" s="13">
        <v>1371307.372</v>
      </c>
      <c r="I506" s="15">
        <f>IF(Table1[[#This Row],[Salary]]&lt;1000000,Table1[[#This Row],[Salary]]*0.05,Table1[[#This Row],[Salary]]*0.1)</f>
        <v>137130.7372</v>
      </c>
      <c r="J506" s="15">
        <f>Table1[[#This Row],[Salary]]+Table1[[#This Row],[Bonus]]</f>
        <v>1508438.1092000001</v>
      </c>
      <c r="K506" s="25">
        <f>COUNTA(Table1[Employee_ID])</f>
        <v>1000</v>
      </c>
      <c r="L506" s="1">
        <f>SUM(Table1[Salary])</f>
        <v>3119391523.8580012</v>
      </c>
      <c r="M506" s="15">
        <f>AVERAGE(Table1[Salary])</f>
        <v>3119391.5238580015</v>
      </c>
      <c r="N506" s="29">
        <f>SUM(Table1[Bonus])</f>
        <v>308244983.02069992</v>
      </c>
    </row>
    <row r="507" spans="1:14" ht="12.75" customHeight="1" x14ac:dyDescent="0.25">
      <c r="A507" s="2">
        <v>400</v>
      </c>
      <c r="B507" s="10" t="s">
        <v>776</v>
      </c>
      <c r="C507" s="10" t="s">
        <v>769</v>
      </c>
      <c r="D507" s="10" t="s">
        <v>137</v>
      </c>
      <c r="E507" s="10" t="s">
        <v>10</v>
      </c>
      <c r="F507" s="10" t="s">
        <v>131</v>
      </c>
      <c r="G507" s="10" t="s">
        <v>29</v>
      </c>
      <c r="H507" s="13">
        <v>2976021.8679999998</v>
      </c>
      <c r="I507" s="15">
        <f>IF(Table1[[#This Row],[Salary]]&lt;1000000,Table1[[#This Row],[Salary]]*0.05,Table1[[#This Row],[Salary]]*0.1)</f>
        <v>297602.18679999997</v>
      </c>
      <c r="J507" s="15">
        <f>Table1[[#This Row],[Salary]]+Table1[[#This Row],[Bonus]]</f>
        <v>3273624.0547999996</v>
      </c>
      <c r="K507" s="25">
        <f>COUNTA(Table1[Employee_ID])</f>
        <v>1000</v>
      </c>
      <c r="L507" s="1">
        <f>SUM(Table1[Salary])</f>
        <v>3119391523.8580012</v>
      </c>
      <c r="M507" s="15">
        <f>AVERAGE(Table1[Salary])</f>
        <v>3119391.5238580015</v>
      </c>
      <c r="N507" s="29">
        <f>SUM(Table1[Bonus])</f>
        <v>308244983.02069992</v>
      </c>
    </row>
    <row r="508" spans="1:14" ht="12.75" customHeight="1" x14ac:dyDescent="0.25">
      <c r="A508" s="2">
        <v>401</v>
      </c>
      <c r="B508" s="10" t="s">
        <v>777</v>
      </c>
      <c r="C508" s="10" t="s">
        <v>778</v>
      </c>
      <c r="D508" s="10" t="s">
        <v>316</v>
      </c>
      <c r="E508" s="10" t="s">
        <v>2</v>
      </c>
      <c r="F508" s="10" t="s">
        <v>102</v>
      </c>
      <c r="G508" s="10" t="s">
        <v>48</v>
      </c>
      <c r="H508" s="13">
        <v>5608434.7719999999</v>
      </c>
      <c r="I508" s="15">
        <f>IF(Table1[[#This Row],[Salary]]&lt;1000000,Table1[[#This Row],[Salary]]*0.05,Table1[[#This Row],[Salary]]*0.1)</f>
        <v>560843.47719999996</v>
      </c>
      <c r="J508" s="15">
        <f>Table1[[#This Row],[Salary]]+Table1[[#This Row],[Bonus]]</f>
        <v>6169278.2491999995</v>
      </c>
      <c r="K508" s="25">
        <f>COUNTA(Table1[Employee_ID])</f>
        <v>1000</v>
      </c>
      <c r="L508" s="1">
        <f>SUM(Table1[Salary])</f>
        <v>3119391523.8580012</v>
      </c>
      <c r="M508" s="15">
        <f>AVERAGE(Table1[Salary])</f>
        <v>3119391.5238580015</v>
      </c>
      <c r="N508" s="29">
        <f>SUM(Table1[Bonus])</f>
        <v>308244983.02069992</v>
      </c>
    </row>
    <row r="509" spans="1:14" ht="12.75" customHeight="1" x14ac:dyDescent="0.25">
      <c r="A509" s="2">
        <v>402</v>
      </c>
      <c r="B509" s="10" t="s">
        <v>779</v>
      </c>
      <c r="C509" s="10" t="s">
        <v>466</v>
      </c>
      <c r="D509" s="10" t="s">
        <v>21</v>
      </c>
      <c r="E509" s="10" t="s">
        <v>6</v>
      </c>
      <c r="F509" s="10" t="s">
        <v>123</v>
      </c>
      <c r="G509" s="10" t="s">
        <v>56</v>
      </c>
      <c r="H509" s="13">
        <v>3275661.7139999997</v>
      </c>
      <c r="I509" s="15">
        <f>IF(Table1[[#This Row],[Salary]]&lt;1000000,Table1[[#This Row],[Salary]]*0.05,Table1[[#This Row],[Salary]]*0.1)</f>
        <v>327566.17139999999</v>
      </c>
      <c r="J509" s="15">
        <f>Table1[[#This Row],[Salary]]+Table1[[#This Row],[Bonus]]</f>
        <v>3603227.8853999996</v>
      </c>
      <c r="K509" s="25">
        <f>COUNTA(Table1[Employee_ID])</f>
        <v>1000</v>
      </c>
      <c r="L509" s="1">
        <f>SUM(Table1[Salary])</f>
        <v>3119391523.8580012</v>
      </c>
      <c r="M509" s="15">
        <f>AVERAGE(Table1[Salary])</f>
        <v>3119391.5238580015</v>
      </c>
      <c r="N509" s="29">
        <f>SUM(Table1[Bonus])</f>
        <v>308244983.02069992</v>
      </c>
    </row>
    <row r="510" spans="1:14" ht="12.75" customHeight="1" x14ac:dyDescent="0.25">
      <c r="A510" s="2">
        <v>403</v>
      </c>
      <c r="B510" s="10" t="s">
        <v>780</v>
      </c>
      <c r="C510" s="10" t="s">
        <v>781</v>
      </c>
      <c r="D510" s="10" t="s">
        <v>26</v>
      </c>
      <c r="E510" s="10" t="s">
        <v>14</v>
      </c>
      <c r="F510" s="10" t="s">
        <v>234</v>
      </c>
      <c r="G510" s="10" t="s">
        <v>48</v>
      </c>
      <c r="H510" s="13">
        <v>949628.13599999994</v>
      </c>
      <c r="I510" s="15">
        <f>IF(Table1[[#This Row],[Salary]]&lt;1000000,Table1[[#This Row],[Salary]]*0.05,Table1[[#This Row],[Salary]]*0.1)</f>
        <v>47481.406799999997</v>
      </c>
      <c r="J510" s="15">
        <f>Table1[[#This Row],[Salary]]+Table1[[#This Row],[Bonus]]</f>
        <v>997109.54279999994</v>
      </c>
      <c r="K510" s="25">
        <f>COUNTA(Table1[Employee_ID])</f>
        <v>1000</v>
      </c>
      <c r="L510" s="1">
        <f>SUM(Table1[Salary])</f>
        <v>3119391523.8580012</v>
      </c>
      <c r="M510" s="15">
        <f>AVERAGE(Table1[Salary])</f>
        <v>3119391.5238580015</v>
      </c>
      <c r="N510" s="29">
        <f>SUM(Table1[Bonus])</f>
        <v>308244983.02069992</v>
      </c>
    </row>
    <row r="511" spans="1:14" ht="12.75" customHeight="1" x14ac:dyDescent="0.25">
      <c r="A511" s="2">
        <v>404</v>
      </c>
      <c r="B511" s="10" t="s">
        <v>782</v>
      </c>
      <c r="C511" s="10" t="s">
        <v>783</v>
      </c>
      <c r="D511" s="10" t="s">
        <v>32</v>
      </c>
      <c r="E511" s="10" t="s">
        <v>27</v>
      </c>
      <c r="F511" s="10" t="s">
        <v>85</v>
      </c>
      <c r="G511" s="10" t="s">
        <v>23</v>
      </c>
      <c r="H511" s="13">
        <v>3937810.96</v>
      </c>
      <c r="I511" s="15">
        <f>IF(Table1[[#This Row],[Salary]]&lt;1000000,Table1[[#This Row],[Salary]]*0.05,Table1[[#This Row],[Salary]]*0.1)</f>
        <v>393781.09600000002</v>
      </c>
      <c r="J511" s="15">
        <f>Table1[[#This Row],[Salary]]+Table1[[#This Row],[Bonus]]</f>
        <v>4331592.0559999999</v>
      </c>
      <c r="K511" s="25">
        <f>COUNTA(Table1[Employee_ID])</f>
        <v>1000</v>
      </c>
      <c r="L511" s="1">
        <f>SUM(Table1[Salary])</f>
        <v>3119391523.8580012</v>
      </c>
      <c r="M511" s="15">
        <f>AVERAGE(Table1[Salary])</f>
        <v>3119391.5238580015</v>
      </c>
      <c r="N511" s="29">
        <f>SUM(Table1[Bonus])</f>
        <v>308244983.02069992</v>
      </c>
    </row>
    <row r="512" spans="1:14" ht="12.75" customHeight="1" x14ac:dyDescent="0.25">
      <c r="A512" s="2">
        <v>405</v>
      </c>
      <c r="B512" s="10" t="s">
        <v>784</v>
      </c>
      <c r="C512" s="10" t="s">
        <v>785</v>
      </c>
      <c r="D512" s="10" t="s">
        <v>38</v>
      </c>
      <c r="E512" s="10" t="s">
        <v>13</v>
      </c>
      <c r="F512" s="10" t="s">
        <v>43</v>
      </c>
      <c r="G512" s="10" t="s">
        <v>56</v>
      </c>
      <c r="H512" s="13">
        <v>3888745.68</v>
      </c>
      <c r="I512" s="15">
        <f>IF(Table1[[#This Row],[Salary]]&lt;1000000,Table1[[#This Row],[Salary]]*0.05,Table1[[#This Row],[Salary]]*0.1)</f>
        <v>388874.56800000003</v>
      </c>
      <c r="J512" s="15">
        <f>Table1[[#This Row],[Salary]]+Table1[[#This Row],[Bonus]]</f>
        <v>4277620.2480000006</v>
      </c>
      <c r="K512" s="25">
        <f>COUNTA(Table1[Employee_ID])</f>
        <v>1000</v>
      </c>
      <c r="L512" s="1">
        <f>SUM(Table1[Salary])</f>
        <v>3119391523.8580012</v>
      </c>
      <c r="M512" s="15">
        <f>AVERAGE(Table1[Salary])</f>
        <v>3119391.5238580015</v>
      </c>
      <c r="N512" s="29">
        <f>SUM(Table1[Bonus])</f>
        <v>308244983.02069992</v>
      </c>
    </row>
    <row r="513" spans="1:14" ht="12.75" customHeight="1" x14ac:dyDescent="0.25">
      <c r="A513" s="2">
        <v>406</v>
      </c>
      <c r="B513" s="10" t="s">
        <v>786</v>
      </c>
      <c r="C513" s="10" t="s">
        <v>787</v>
      </c>
      <c r="D513" s="10" t="s">
        <v>32</v>
      </c>
      <c r="E513" s="10" t="s">
        <v>39</v>
      </c>
      <c r="F513" s="10" t="s">
        <v>186</v>
      </c>
      <c r="G513" s="10" t="s">
        <v>23</v>
      </c>
      <c r="H513" s="13">
        <v>4722945.2220000001</v>
      </c>
      <c r="I513" s="15">
        <f>IF(Table1[[#This Row],[Salary]]&lt;1000000,Table1[[#This Row],[Salary]]*0.05,Table1[[#This Row],[Salary]]*0.1)</f>
        <v>472294.52220000001</v>
      </c>
      <c r="J513" s="15">
        <f>Table1[[#This Row],[Salary]]+Table1[[#This Row],[Bonus]]</f>
        <v>5195239.7442000005</v>
      </c>
      <c r="K513" s="25">
        <f>COUNTA(Table1[Employee_ID])</f>
        <v>1000</v>
      </c>
      <c r="L513" s="1">
        <f>SUM(Table1[Salary])</f>
        <v>3119391523.8580012</v>
      </c>
      <c r="M513" s="15">
        <f>AVERAGE(Table1[Salary])</f>
        <v>3119391.5238580015</v>
      </c>
      <c r="N513" s="29">
        <f>SUM(Table1[Bonus])</f>
        <v>308244983.02069992</v>
      </c>
    </row>
    <row r="514" spans="1:14" ht="12.75" customHeight="1" x14ac:dyDescent="0.25">
      <c r="A514" s="2">
        <v>408</v>
      </c>
      <c r="B514" s="10" t="s">
        <v>548</v>
      </c>
      <c r="C514" s="10" t="s">
        <v>790</v>
      </c>
      <c r="D514" s="10" t="s">
        <v>46</v>
      </c>
      <c r="E514" s="10" t="s">
        <v>33</v>
      </c>
      <c r="F514" s="10" t="s">
        <v>55</v>
      </c>
      <c r="G514" s="10" t="s">
        <v>23</v>
      </c>
      <c r="H514" s="13">
        <v>3224027.736</v>
      </c>
      <c r="I514" s="15">
        <f>IF(Table1[[#This Row],[Salary]]&lt;1000000,Table1[[#This Row],[Salary]]*0.05,Table1[[#This Row],[Salary]]*0.1)</f>
        <v>322402.77360000001</v>
      </c>
      <c r="J514" s="15">
        <f>Table1[[#This Row],[Salary]]+Table1[[#This Row],[Bonus]]</f>
        <v>3546430.5096</v>
      </c>
      <c r="K514" s="25">
        <f>COUNTA(Table1[Employee_ID])</f>
        <v>1000</v>
      </c>
      <c r="L514" s="1">
        <f>SUM(Table1[Salary])</f>
        <v>3119391523.8580012</v>
      </c>
      <c r="M514" s="15">
        <f>AVERAGE(Table1[Salary])</f>
        <v>3119391.5238580015</v>
      </c>
      <c r="N514" s="29">
        <f>SUM(Table1[Bonus])</f>
        <v>308244983.02069992</v>
      </c>
    </row>
    <row r="515" spans="1:14" ht="12.75" customHeight="1" x14ac:dyDescent="0.25">
      <c r="A515" s="2">
        <v>409</v>
      </c>
      <c r="B515" s="10" t="s">
        <v>543</v>
      </c>
      <c r="C515" s="10" t="s">
        <v>791</v>
      </c>
      <c r="D515" s="10" t="s">
        <v>21</v>
      </c>
      <c r="E515" s="10" t="s">
        <v>63</v>
      </c>
      <c r="F515" s="10" t="s">
        <v>113</v>
      </c>
      <c r="G515" s="10" t="s">
        <v>56</v>
      </c>
      <c r="H515" s="13">
        <v>4563080.7920000004</v>
      </c>
      <c r="I515" s="15">
        <f>IF(Table1[[#This Row],[Salary]]&lt;1000000,Table1[[#This Row],[Salary]]*0.05,Table1[[#This Row],[Salary]]*0.1)</f>
        <v>456308.07920000004</v>
      </c>
      <c r="J515" s="15">
        <f>Table1[[#This Row],[Salary]]+Table1[[#This Row],[Bonus]]</f>
        <v>5019388.8712000009</v>
      </c>
      <c r="K515" s="25">
        <f>COUNTA(Table1[Employee_ID])</f>
        <v>1000</v>
      </c>
      <c r="L515" s="1">
        <f>SUM(Table1[Salary])</f>
        <v>3119391523.8580012</v>
      </c>
      <c r="M515" s="15">
        <f>AVERAGE(Table1[Salary])</f>
        <v>3119391.5238580015</v>
      </c>
      <c r="N515" s="29">
        <f>SUM(Table1[Bonus])</f>
        <v>308244983.02069992</v>
      </c>
    </row>
    <row r="516" spans="1:14" ht="12.75" customHeight="1" x14ac:dyDescent="0.25">
      <c r="A516" s="2">
        <v>410</v>
      </c>
      <c r="B516" s="10" t="s">
        <v>792</v>
      </c>
      <c r="C516" s="10" t="s">
        <v>793</v>
      </c>
      <c r="D516" s="10" t="s">
        <v>54</v>
      </c>
      <c r="E516" s="10" t="s">
        <v>13</v>
      </c>
      <c r="F516" s="10" t="s">
        <v>67</v>
      </c>
      <c r="G516" s="10" t="s">
        <v>23</v>
      </c>
      <c r="H516" s="13">
        <v>1970233.7660000001</v>
      </c>
      <c r="I516" s="15">
        <f>IF(Table1[[#This Row],[Salary]]&lt;1000000,Table1[[#This Row],[Salary]]*0.05,Table1[[#This Row],[Salary]]*0.1)</f>
        <v>197023.37660000002</v>
      </c>
      <c r="J516" s="15">
        <f>Table1[[#This Row],[Salary]]+Table1[[#This Row],[Bonus]]</f>
        <v>2167257.1425999999</v>
      </c>
      <c r="K516" s="25">
        <f>COUNTA(Table1[Employee_ID])</f>
        <v>1000</v>
      </c>
      <c r="L516" s="1">
        <f>SUM(Table1[Salary])</f>
        <v>3119391523.8580012</v>
      </c>
      <c r="M516" s="15">
        <f>AVERAGE(Table1[Salary])</f>
        <v>3119391.5238580015</v>
      </c>
      <c r="N516" s="29">
        <f>SUM(Table1[Bonus])</f>
        <v>308244983.02069992</v>
      </c>
    </row>
    <row r="517" spans="1:14" ht="12.75" customHeight="1" x14ac:dyDescent="0.25">
      <c r="A517" s="2">
        <v>411</v>
      </c>
      <c r="B517" s="10" t="s">
        <v>794</v>
      </c>
      <c r="C517" s="10" t="s">
        <v>360</v>
      </c>
      <c r="D517" s="10" t="s">
        <v>59</v>
      </c>
      <c r="E517" s="10" t="s">
        <v>63</v>
      </c>
      <c r="F517" s="10" t="s">
        <v>131</v>
      </c>
      <c r="G517" s="10" t="s">
        <v>23</v>
      </c>
      <c r="H517" s="13">
        <v>493379.33199999999</v>
      </c>
      <c r="I517" s="15">
        <f>IF(Table1[[#This Row],[Salary]]&lt;1000000,Table1[[#This Row],[Salary]]*0.05,Table1[[#This Row],[Salary]]*0.1)</f>
        <v>24668.9666</v>
      </c>
      <c r="J517" s="15">
        <f>Table1[[#This Row],[Salary]]+Table1[[#This Row],[Bonus]]</f>
        <v>518048.29859999998</v>
      </c>
      <c r="K517" s="25">
        <f>COUNTA(Table1[Employee_ID])</f>
        <v>1000</v>
      </c>
      <c r="L517" s="1">
        <f>SUM(Table1[Salary])</f>
        <v>3119391523.8580012</v>
      </c>
      <c r="M517" s="15">
        <f>AVERAGE(Table1[Salary])</f>
        <v>3119391.5238580015</v>
      </c>
      <c r="N517" s="29">
        <f>SUM(Table1[Bonus])</f>
        <v>308244983.02069992</v>
      </c>
    </row>
    <row r="518" spans="1:14" ht="12.75" customHeight="1" x14ac:dyDescent="0.25">
      <c r="A518" s="2">
        <v>413</v>
      </c>
      <c r="B518" s="10" t="s">
        <v>325</v>
      </c>
      <c r="C518" s="10" t="s">
        <v>797</v>
      </c>
      <c r="D518" s="10" t="s">
        <v>46</v>
      </c>
      <c r="E518" s="10" t="s">
        <v>27</v>
      </c>
      <c r="F518" s="10" t="s">
        <v>106</v>
      </c>
      <c r="G518" s="10" t="s">
        <v>71</v>
      </c>
      <c r="H518" s="13">
        <v>2291508.7420000001</v>
      </c>
      <c r="I518" s="15">
        <f>IF(Table1[[#This Row],[Salary]]&lt;1000000,Table1[[#This Row],[Salary]]*0.05,Table1[[#This Row],[Salary]]*0.1)</f>
        <v>229150.87420000002</v>
      </c>
      <c r="J518" s="15">
        <f>Table1[[#This Row],[Salary]]+Table1[[#This Row],[Bonus]]</f>
        <v>2520659.6162</v>
      </c>
      <c r="K518" s="25">
        <f>COUNTA(Table1[Employee_ID])</f>
        <v>1000</v>
      </c>
      <c r="L518" s="1">
        <f>SUM(Table1[Salary])</f>
        <v>3119391523.8580012</v>
      </c>
      <c r="M518" s="15">
        <f>AVERAGE(Table1[Salary])</f>
        <v>3119391.5238580015</v>
      </c>
      <c r="N518" s="29">
        <f>SUM(Table1[Bonus])</f>
        <v>308244983.02069992</v>
      </c>
    </row>
    <row r="519" spans="1:14" ht="12.75" customHeight="1" x14ac:dyDescent="0.25">
      <c r="A519" s="2">
        <v>414</v>
      </c>
      <c r="B519" s="10" t="s">
        <v>739</v>
      </c>
      <c r="C519" s="10" t="s">
        <v>798</v>
      </c>
      <c r="D519" s="10" t="s">
        <v>59</v>
      </c>
      <c r="E519" s="10" t="s">
        <v>6</v>
      </c>
      <c r="F519" s="10" t="s">
        <v>144</v>
      </c>
      <c r="G519" s="10" t="s">
        <v>23</v>
      </c>
      <c r="H519" s="13">
        <v>2337002.5639999998</v>
      </c>
      <c r="I519" s="15">
        <f>IF(Table1[[#This Row],[Salary]]&lt;1000000,Table1[[#This Row],[Salary]]*0.05,Table1[[#This Row],[Salary]]*0.1)</f>
        <v>233700.25639999998</v>
      </c>
      <c r="J519" s="15">
        <f>Table1[[#This Row],[Salary]]+Table1[[#This Row],[Bonus]]</f>
        <v>2570702.8203999996</v>
      </c>
      <c r="K519" s="25">
        <f>COUNTA(Table1[Employee_ID])</f>
        <v>1000</v>
      </c>
      <c r="L519" s="1">
        <f>SUM(Table1[Salary])</f>
        <v>3119391523.8580012</v>
      </c>
      <c r="M519" s="15">
        <f>AVERAGE(Table1[Salary])</f>
        <v>3119391.5238580015</v>
      </c>
      <c r="N519" s="29">
        <f>SUM(Table1[Bonus])</f>
        <v>308244983.02069992</v>
      </c>
    </row>
    <row r="520" spans="1:14" ht="12.75" customHeight="1" x14ac:dyDescent="0.25">
      <c r="A520" s="2">
        <v>415</v>
      </c>
      <c r="B520" s="10" t="s">
        <v>726</v>
      </c>
      <c r="C520" s="10" t="s">
        <v>799</v>
      </c>
      <c r="D520" s="10" t="s">
        <v>46</v>
      </c>
      <c r="E520" s="10" t="s">
        <v>10</v>
      </c>
      <c r="F520" s="10" t="s">
        <v>78</v>
      </c>
      <c r="G520" s="10" t="s">
        <v>35</v>
      </c>
      <c r="H520" s="13">
        <v>2657600.094</v>
      </c>
      <c r="I520" s="15">
        <f>IF(Table1[[#This Row],[Salary]]&lt;1000000,Table1[[#This Row],[Salary]]*0.05,Table1[[#This Row],[Salary]]*0.1)</f>
        <v>265760.00940000004</v>
      </c>
      <c r="J520" s="15">
        <f>Table1[[#This Row],[Salary]]+Table1[[#This Row],[Bonus]]</f>
        <v>2923360.1033999999</v>
      </c>
      <c r="K520" s="25">
        <f>COUNTA(Table1[Employee_ID])</f>
        <v>1000</v>
      </c>
      <c r="L520" s="1">
        <f>SUM(Table1[Salary])</f>
        <v>3119391523.8580012</v>
      </c>
      <c r="M520" s="15">
        <f>AVERAGE(Table1[Salary])</f>
        <v>3119391.5238580015</v>
      </c>
      <c r="N520" s="29">
        <f>SUM(Table1[Bonus])</f>
        <v>308244983.02069992</v>
      </c>
    </row>
    <row r="521" spans="1:14" ht="12.75" customHeight="1" x14ac:dyDescent="0.25">
      <c r="A521" s="2">
        <v>416</v>
      </c>
      <c r="B521" s="10" t="s">
        <v>181</v>
      </c>
      <c r="C521" s="10" t="s">
        <v>615</v>
      </c>
      <c r="D521" s="10" t="s">
        <v>77</v>
      </c>
      <c r="E521" s="10" t="s">
        <v>27</v>
      </c>
      <c r="F521" s="10" t="s">
        <v>28</v>
      </c>
      <c r="G521" s="10" t="s">
        <v>29</v>
      </c>
      <c r="H521" s="13">
        <v>5876202.0079999994</v>
      </c>
      <c r="I521" s="15">
        <f>IF(Table1[[#This Row],[Salary]]&lt;1000000,Table1[[#This Row],[Salary]]*0.05,Table1[[#This Row],[Salary]]*0.1)</f>
        <v>587620.20079999999</v>
      </c>
      <c r="J521" s="15">
        <f>Table1[[#This Row],[Salary]]+Table1[[#This Row],[Bonus]]</f>
        <v>6463822.2087999992</v>
      </c>
      <c r="K521" s="25">
        <f>COUNTA(Table1[Employee_ID])</f>
        <v>1000</v>
      </c>
      <c r="L521" s="1">
        <f>SUM(Table1[Salary])</f>
        <v>3119391523.8580012</v>
      </c>
      <c r="M521" s="15">
        <f>AVERAGE(Table1[Salary])</f>
        <v>3119391.5238580015</v>
      </c>
      <c r="N521" s="29">
        <f>SUM(Table1[Bonus])</f>
        <v>308244983.02069992</v>
      </c>
    </row>
    <row r="522" spans="1:14" ht="12.75" customHeight="1" x14ac:dyDescent="0.25">
      <c r="A522" s="2">
        <v>417</v>
      </c>
      <c r="B522" s="10" t="s">
        <v>800</v>
      </c>
      <c r="C522" s="10" t="s">
        <v>801</v>
      </c>
      <c r="D522" s="10" t="s">
        <v>21</v>
      </c>
      <c r="E522" s="10" t="s">
        <v>2</v>
      </c>
      <c r="F522" s="10" t="s">
        <v>60</v>
      </c>
      <c r="G522" s="10" t="s">
        <v>56</v>
      </c>
      <c r="H522" s="13">
        <v>3491883.588</v>
      </c>
      <c r="I522" s="15">
        <f>IF(Table1[[#This Row],[Salary]]&lt;1000000,Table1[[#This Row],[Salary]]*0.05,Table1[[#This Row],[Salary]]*0.1)</f>
        <v>349188.35880000005</v>
      </c>
      <c r="J522" s="15">
        <f>Table1[[#This Row],[Salary]]+Table1[[#This Row],[Bonus]]</f>
        <v>3841071.9468</v>
      </c>
      <c r="K522" s="25">
        <f>COUNTA(Table1[Employee_ID])</f>
        <v>1000</v>
      </c>
      <c r="L522" s="1">
        <f>SUM(Table1[Salary])</f>
        <v>3119391523.8580012</v>
      </c>
      <c r="M522" s="15">
        <f>AVERAGE(Table1[Salary])</f>
        <v>3119391.5238580015</v>
      </c>
      <c r="N522" s="29">
        <f>SUM(Table1[Bonus])</f>
        <v>308244983.02069992</v>
      </c>
    </row>
    <row r="523" spans="1:14" ht="12.75" customHeight="1" x14ac:dyDescent="0.25">
      <c r="A523" s="2">
        <v>418</v>
      </c>
      <c r="B523" s="10" t="s">
        <v>802</v>
      </c>
      <c r="C523" s="10" t="s">
        <v>803</v>
      </c>
      <c r="D523" s="10" t="s">
        <v>59</v>
      </c>
      <c r="E523" s="10" t="s">
        <v>63</v>
      </c>
      <c r="F523" s="10" t="s">
        <v>64</v>
      </c>
      <c r="G523" s="10" t="s">
        <v>23</v>
      </c>
      <c r="H523" s="13">
        <v>3098633.764</v>
      </c>
      <c r="I523" s="15">
        <f>IF(Table1[[#This Row],[Salary]]&lt;1000000,Table1[[#This Row],[Salary]]*0.05,Table1[[#This Row],[Salary]]*0.1)</f>
        <v>309863.37640000001</v>
      </c>
      <c r="J523" s="15">
        <f>Table1[[#This Row],[Salary]]+Table1[[#This Row],[Bonus]]</f>
        <v>3408497.1403999999</v>
      </c>
      <c r="K523" s="25">
        <f>COUNTA(Table1[Employee_ID])</f>
        <v>1000</v>
      </c>
      <c r="L523" s="1">
        <f>SUM(Table1[Salary])</f>
        <v>3119391523.8580012</v>
      </c>
      <c r="M523" s="15">
        <f>AVERAGE(Table1[Salary])</f>
        <v>3119391.5238580015</v>
      </c>
      <c r="N523" s="29">
        <f>SUM(Table1[Bonus])</f>
        <v>308244983.02069992</v>
      </c>
    </row>
    <row r="524" spans="1:14" ht="12.75" customHeight="1" x14ac:dyDescent="0.25">
      <c r="A524" s="2">
        <v>419</v>
      </c>
      <c r="B524" s="10" t="s">
        <v>804</v>
      </c>
      <c r="C524" s="10" t="s">
        <v>805</v>
      </c>
      <c r="D524" s="10" t="s">
        <v>21</v>
      </c>
      <c r="E524" s="10" t="s">
        <v>27</v>
      </c>
      <c r="F524" s="10" t="s">
        <v>85</v>
      </c>
      <c r="G524" s="10" t="s">
        <v>71</v>
      </c>
      <c r="H524" s="13">
        <v>5306571.3640000001</v>
      </c>
      <c r="I524" s="15">
        <f>IF(Table1[[#This Row],[Salary]]&lt;1000000,Table1[[#This Row],[Salary]]*0.05,Table1[[#This Row],[Salary]]*0.1)</f>
        <v>530657.13640000008</v>
      </c>
      <c r="J524" s="15">
        <f>Table1[[#This Row],[Salary]]+Table1[[#This Row],[Bonus]]</f>
        <v>5837228.5004000003</v>
      </c>
      <c r="K524" s="25">
        <f>COUNTA(Table1[Employee_ID])</f>
        <v>1000</v>
      </c>
      <c r="L524" s="1">
        <f>SUM(Table1[Salary])</f>
        <v>3119391523.8580012</v>
      </c>
      <c r="M524" s="15">
        <f>AVERAGE(Table1[Salary])</f>
        <v>3119391.5238580015</v>
      </c>
      <c r="N524" s="29">
        <f>SUM(Table1[Bonus])</f>
        <v>308244983.02069992</v>
      </c>
    </row>
    <row r="525" spans="1:14" ht="12.75" customHeight="1" x14ac:dyDescent="0.25">
      <c r="A525" s="2">
        <v>420</v>
      </c>
      <c r="B525" s="10" t="s">
        <v>806</v>
      </c>
      <c r="C525" s="10" t="s">
        <v>116</v>
      </c>
      <c r="D525" s="10" t="s">
        <v>88</v>
      </c>
      <c r="E525" s="10" t="s">
        <v>63</v>
      </c>
      <c r="F525" s="10" t="s">
        <v>113</v>
      </c>
      <c r="G525" s="10" t="s">
        <v>35</v>
      </c>
      <c r="H525" s="13">
        <v>3508899.0260000001</v>
      </c>
      <c r="I525" s="15">
        <f>IF(Table1[[#This Row],[Salary]]&lt;1000000,Table1[[#This Row],[Salary]]*0.05,Table1[[#This Row],[Salary]]*0.1)</f>
        <v>350889.90260000003</v>
      </c>
      <c r="J525" s="15">
        <f>Table1[[#This Row],[Salary]]+Table1[[#This Row],[Bonus]]</f>
        <v>3859788.9286000002</v>
      </c>
      <c r="K525" s="25">
        <f>COUNTA(Table1[Employee_ID])</f>
        <v>1000</v>
      </c>
      <c r="L525" s="1">
        <f>SUM(Table1[Salary])</f>
        <v>3119391523.8580012</v>
      </c>
      <c r="M525" s="15">
        <f>AVERAGE(Table1[Salary])</f>
        <v>3119391.5238580015</v>
      </c>
      <c r="N525" s="29">
        <f>SUM(Table1[Bonus])</f>
        <v>308244983.02069992</v>
      </c>
    </row>
    <row r="526" spans="1:14" ht="12.75" customHeight="1" x14ac:dyDescent="0.25">
      <c r="A526" s="2">
        <v>422</v>
      </c>
      <c r="B526" s="10" t="s">
        <v>808</v>
      </c>
      <c r="C526" s="10" t="s">
        <v>809</v>
      </c>
      <c r="D526" s="10" t="s">
        <v>54</v>
      </c>
      <c r="E526" s="10" t="s">
        <v>13</v>
      </c>
      <c r="F526" s="10" t="s">
        <v>120</v>
      </c>
      <c r="G526" s="10" t="s">
        <v>71</v>
      </c>
      <c r="H526" s="13">
        <v>674805.43400000001</v>
      </c>
      <c r="I526" s="15">
        <f>IF(Table1[[#This Row],[Salary]]&lt;1000000,Table1[[#This Row],[Salary]]*0.05,Table1[[#This Row],[Salary]]*0.1)</f>
        <v>33740.271700000005</v>
      </c>
      <c r="J526" s="15">
        <f>Table1[[#This Row],[Salary]]+Table1[[#This Row],[Bonus]]</f>
        <v>708545.70570000005</v>
      </c>
      <c r="K526" s="25">
        <f>COUNTA(Table1[Employee_ID])</f>
        <v>1000</v>
      </c>
      <c r="L526" s="1">
        <f>SUM(Table1[Salary])</f>
        <v>3119391523.8580012</v>
      </c>
      <c r="M526" s="15">
        <f>AVERAGE(Table1[Salary])</f>
        <v>3119391.5238580015</v>
      </c>
      <c r="N526" s="29">
        <f>SUM(Table1[Bonus])</f>
        <v>308244983.02069992</v>
      </c>
    </row>
    <row r="527" spans="1:14" ht="12.75" customHeight="1" x14ac:dyDescent="0.25">
      <c r="A527" s="2">
        <v>425</v>
      </c>
      <c r="B527" s="10" t="s">
        <v>442</v>
      </c>
      <c r="C527" s="10" t="s">
        <v>762</v>
      </c>
      <c r="D527" s="10" t="s">
        <v>96</v>
      </c>
      <c r="E527" s="10" t="s">
        <v>27</v>
      </c>
      <c r="F527" s="10" t="s">
        <v>106</v>
      </c>
      <c r="G527" s="10" t="s">
        <v>23</v>
      </c>
      <c r="H527" s="13">
        <v>5061134.1940000001</v>
      </c>
      <c r="I527" s="15">
        <f>IF(Table1[[#This Row],[Salary]]&lt;1000000,Table1[[#This Row],[Salary]]*0.05,Table1[[#This Row],[Salary]]*0.1)</f>
        <v>506113.41940000001</v>
      </c>
      <c r="J527" s="15">
        <f>Table1[[#This Row],[Salary]]+Table1[[#This Row],[Bonus]]</f>
        <v>5567247.6134000001</v>
      </c>
      <c r="K527" s="25">
        <f>COUNTA(Table1[Employee_ID])</f>
        <v>1000</v>
      </c>
      <c r="L527" s="1">
        <f>SUM(Table1[Salary])</f>
        <v>3119391523.8580012</v>
      </c>
      <c r="M527" s="15">
        <f>AVERAGE(Table1[Salary])</f>
        <v>3119391.5238580015</v>
      </c>
      <c r="N527" s="29">
        <f>SUM(Table1[Bonus])</f>
        <v>308244983.02069992</v>
      </c>
    </row>
    <row r="528" spans="1:14" ht="12.75" customHeight="1" x14ac:dyDescent="0.25">
      <c r="A528" s="2">
        <v>426</v>
      </c>
      <c r="B528" s="10" t="s">
        <v>813</v>
      </c>
      <c r="C528" s="10" t="s">
        <v>814</v>
      </c>
      <c r="D528" s="10" t="s">
        <v>105</v>
      </c>
      <c r="E528" s="10" t="s">
        <v>27</v>
      </c>
      <c r="F528" s="10" t="s">
        <v>28</v>
      </c>
      <c r="G528" s="10" t="s">
        <v>56</v>
      </c>
      <c r="H528" s="13">
        <v>1729929.328</v>
      </c>
      <c r="I528" s="15">
        <f>IF(Table1[[#This Row],[Salary]]&lt;1000000,Table1[[#This Row],[Salary]]*0.05,Table1[[#This Row],[Salary]]*0.1)</f>
        <v>172992.93280000001</v>
      </c>
      <c r="J528" s="15">
        <f>Table1[[#This Row],[Salary]]+Table1[[#This Row],[Bonus]]</f>
        <v>1902922.2608</v>
      </c>
      <c r="K528" s="25">
        <f>COUNTA(Table1[Employee_ID])</f>
        <v>1000</v>
      </c>
      <c r="L528" s="1">
        <f>SUM(Table1[Salary])</f>
        <v>3119391523.8580012</v>
      </c>
      <c r="M528" s="15">
        <f>AVERAGE(Table1[Salary])</f>
        <v>3119391.5238580015</v>
      </c>
      <c r="N528" s="29">
        <f>SUM(Table1[Bonus])</f>
        <v>308244983.02069992</v>
      </c>
    </row>
    <row r="529" spans="1:14" ht="12.75" customHeight="1" x14ac:dyDescent="0.25">
      <c r="A529" s="2">
        <v>427</v>
      </c>
      <c r="B529" s="10" t="s">
        <v>815</v>
      </c>
      <c r="C529" s="10" t="s">
        <v>816</v>
      </c>
      <c r="D529" s="10" t="s">
        <v>54</v>
      </c>
      <c r="E529" s="10" t="s">
        <v>6</v>
      </c>
      <c r="F529" s="10" t="s">
        <v>74</v>
      </c>
      <c r="G529" s="10" t="s">
        <v>71</v>
      </c>
      <c r="H529" s="13">
        <v>5582726.8040000005</v>
      </c>
      <c r="I529" s="15">
        <f>IF(Table1[[#This Row],[Salary]]&lt;1000000,Table1[[#This Row],[Salary]]*0.05,Table1[[#This Row],[Salary]]*0.1)</f>
        <v>558272.68040000007</v>
      </c>
      <c r="J529" s="15">
        <f>Table1[[#This Row],[Salary]]+Table1[[#This Row],[Bonus]]</f>
        <v>6140999.4844000004</v>
      </c>
      <c r="K529" s="25">
        <f>COUNTA(Table1[Employee_ID])</f>
        <v>1000</v>
      </c>
      <c r="L529" s="1">
        <f>SUM(Table1[Salary])</f>
        <v>3119391523.8580012</v>
      </c>
      <c r="M529" s="15">
        <f>AVERAGE(Table1[Salary])</f>
        <v>3119391.5238580015</v>
      </c>
      <c r="N529" s="29">
        <f>SUM(Table1[Bonus])</f>
        <v>308244983.02069992</v>
      </c>
    </row>
    <row r="530" spans="1:14" ht="12.75" customHeight="1" x14ac:dyDescent="0.25">
      <c r="A530" s="2">
        <v>428</v>
      </c>
      <c r="B530" s="10" t="s">
        <v>817</v>
      </c>
      <c r="C530" s="10" t="s">
        <v>818</v>
      </c>
      <c r="D530" s="10" t="s">
        <v>112</v>
      </c>
      <c r="E530" s="10" t="s">
        <v>10</v>
      </c>
      <c r="F530" s="10" t="s">
        <v>109</v>
      </c>
      <c r="G530" s="10" t="s">
        <v>23</v>
      </c>
      <c r="H530" s="13">
        <v>665362</v>
      </c>
      <c r="I530" s="15">
        <f>IF(Table1[[#This Row],[Salary]]&lt;1000000,Table1[[#This Row],[Salary]]*0.05,Table1[[#This Row],[Salary]]*0.1)</f>
        <v>33268.1</v>
      </c>
      <c r="J530" s="15">
        <f>Table1[[#This Row],[Salary]]+Table1[[#This Row],[Bonus]]</f>
        <v>698630.1</v>
      </c>
      <c r="K530" s="25">
        <f>COUNTA(Table1[Employee_ID])</f>
        <v>1000</v>
      </c>
      <c r="L530" s="1">
        <f>SUM(Table1[Salary])</f>
        <v>3119391523.8580012</v>
      </c>
      <c r="M530" s="15">
        <f>AVERAGE(Table1[Salary])</f>
        <v>3119391.5238580015</v>
      </c>
      <c r="N530" s="29">
        <f>SUM(Table1[Bonus])</f>
        <v>308244983.02069992</v>
      </c>
    </row>
    <row r="531" spans="1:14" ht="12.75" customHeight="1" x14ac:dyDescent="0.25">
      <c r="A531" s="2">
        <v>432</v>
      </c>
      <c r="B531" s="10" t="s">
        <v>135</v>
      </c>
      <c r="C531" s="10" t="s">
        <v>824</v>
      </c>
      <c r="D531" s="10" t="s">
        <v>146</v>
      </c>
      <c r="E531" s="10" t="s">
        <v>33</v>
      </c>
      <c r="F531" s="10" t="s">
        <v>34</v>
      </c>
      <c r="G531" s="10" t="s">
        <v>71</v>
      </c>
      <c r="H531" s="13">
        <v>5793884.7400000002</v>
      </c>
      <c r="I531" s="15">
        <f>IF(Table1[[#This Row],[Salary]]&lt;1000000,Table1[[#This Row],[Salary]]*0.05,Table1[[#This Row],[Salary]]*0.1)</f>
        <v>579388.47400000005</v>
      </c>
      <c r="J531" s="15">
        <f>Table1[[#This Row],[Salary]]+Table1[[#This Row],[Bonus]]</f>
        <v>6373273.2140000006</v>
      </c>
      <c r="K531" s="25">
        <f>COUNTA(Table1[Employee_ID])</f>
        <v>1000</v>
      </c>
      <c r="L531" s="1">
        <f>SUM(Table1[Salary])</f>
        <v>3119391523.8580012</v>
      </c>
      <c r="M531" s="15">
        <f>AVERAGE(Table1[Salary])</f>
        <v>3119391.5238580015</v>
      </c>
      <c r="N531" s="29">
        <f>SUM(Table1[Bonus])</f>
        <v>308244983.02069992</v>
      </c>
    </row>
    <row r="532" spans="1:14" ht="12.75" customHeight="1" x14ac:dyDescent="0.25">
      <c r="A532" s="2">
        <v>433</v>
      </c>
      <c r="B532" s="10" t="s">
        <v>825</v>
      </c>
      <c r="C532" s="10" t="s">
        <v>826</v>
      </c>
      <c r="D532" s="10" t="s">
        <v>149</v>
      </c>
      <c r="E532" s="10" t="s">
        <v>2</v>
      </c>
      <c r="F532" s="10" t="s">
        <v>74</v>
      </c>
      <c r="G532" s="10" t="s">
        <v>23</v>
      </c>
      <c r="H532" s="13">
        <v>1285121.3160000001</v>
      </c>
      <c r="I532" s="15">
        <f>IF(Table1[[#This Row],[Salary]]&lt;1000000,Table1[[#This Row],[Salary]]*0.05,Table1[[#This Row],[Salary]]*0.1)</f>
        <v>128512.13160000002</v>
      </c>
      <c r="J532" s="15">
        <f>Table1[[#This Row],[Salary]]+Table1[[#This Row],[Bonus]]</f>
        <v>1413633.4476000001</v>
      </c>
      <c r="K532" s="25">
        <f>COUNTA(Table1[Employee_ID])</f>
        <v>1000</v>
      </c>
      <c r="L532" s="1">
        <f>SUM(Table1[Salary])</f>
        <v>3119391523.8580012</v>
      </c>
      <c r="M532" s="15">
        <f>AVERAGE(Table1[Salary])</f>
        <v>3119391.5238580015</v>
      </c>
      <c r="N532" s="29">
        <f>SUM(Table1[Bonus])</f>
        <v>308244983.02069992</v>
      </c>
    </row>
    <row r="533" spans="1:14" ht="12.75" customHeight="1" x14ac:dyDescent="0.25">
      <c r="A533" s="2">
        <v>434</v>
      </c>
      <c r="B533" s="10" t="s">
        <v>827</v>
      </c>
      <c r="C533" s="10" t="s">
        <v>828</v>
      </c>
      <c r="D533" s="10" t="s">
        <v>88</v>
      </c>
      <c r="E533" s="10" t="s">
        <v>39</v>
      </c>
      <c r="F533" s="10" t="s">
        <v>189</v>
      </c>
      <c r="G533" s="10" t="s">
        <v>56</v>
      </c>
      <c r="H533" s="13">
        <v>2576456.9879999999</v>
      </c>
      <c r="I533" s="15">
        <f>IF(Table1[[#This Row],[Salary]]&lt;1000000,Table1[[#This Row],[Salary]]*0.05,Table1[[#This Row],[Salary]]*0.1)</f>
        <v>257645.69880000001</v>
      </c>
      <c r="J533" s="15">
        <f>Table1[[#This Row],[Salary]]+Table1[[#This Row],[Bonus]]</f>
        <v>2834102.6867999998</v>
      </c>
      <c r="K533" s="25">
        <f>COUNTA(Table1[Employee_ID])</f>
        <v>1000</v>
      </c>
      <c r="L533" s="1">
        <f>SUM(Table1[Salary])</f>
        <v>3119391523.8580012</v>
      </c>
      <c r="M533" s="15">
        <f>AVERAGE(Table1[Salary])</f>
        <v>3119391.5238580015</v>
      </c>
      <c r="N533" s="29">
        <f>SUM(Table1[Bonus])</f>
        <v>308244983.02069992</v>
      </c>
    </row>
    <row r="534" spans="1:14" ht="12.75" customHeight="1" x14ac:dyDescent="0.25">
      <c r="A534" s="2">
        <v>435</v>
      </c>
      <c r="B534" s="10" t="s">
        <v>375</v>
      </c>
      <c r="C534" s="10" t="s">
        <v>127</v>
      </c>
      <c r="D534" s="10" t="s">
        <v>26</v>
      </c>
      <c r="E534" s="10" t="s">
        <v>33</v>
      </c>
      <c r="F534" s="10" t="s">
        <v>47</v>
      </c>
      <c r="G534" s="10" t="s">
        <v>29</v>
      </c>
      <c r="H534" s="13">
        <v>4380672.9179999996</v>
      </c>
      <c r="I534" s="15">
        <f>IF(Table1[[#This Row],[Salary]]&lt;1000000,Table1[[#This Row],[Salary]]*0.05,Table1[[#This Row],[Salary]]*0.1)</f>
        <v>438067.29180000001</v>
      </c>
      <c r="J534" s="15">
        <f>Table1[[#This Row],[Salary]]+Table1[[#This Row],[Bonus]]</f>
        <v>4818740.2097999994</v>
      </c>
      <c r="K534" s="25">
        <f>COUNTA(Table1[Employee_ID])</f>
        <v>1000</v>
      </c>
      <c r="L534" s="1">
        <f>SUM(Table1[Salary])</f>
        <v>3119391523.8580012</v>
      </c>
      <c r="M534" s="15">
        <f>AVERAGE(Table1[Salary])</f>
        <v>3119391.5238580015</v>
      </c>
      <c r="N534" s="29">
        <f>SUM(Table1[Bonus])</f>
        <v>308244983.02069992</v>
      </c>
    </row>
    <row r="535" spans="1:14" ht="12.75" customHeight="1" x14ac:dyDescent="0.25">
      <c r="A535" s="2">
        <v>438</v>
      </c>
      <c r="B535" s="10" t="s">
        <v>833</v>
      </c>
      <c r="C535" s="10" t="s">
        <v>178</v>
      </c>
      <c r="D535" s="10" t="s">
        <v>162</v>
      </c>
      <c r="E535" s="10" t="s">
        <v>27</v>
      </c>
      <c r="F535" s="10" t="s">
        <v>85</v>
      </c>
      <c r="G535" s="10" t="s">
        <v>56</v>
      </c>
      <c r="H535" s="13">
        <v>5690974.7459999993</v>
      </c>
      <c r="I535" s="15">
        <f>IF(Table1[[#This Row],[Salary]]&lt;1000000,Table1[[#This Row],[Salary]]*0.05,Table1[[#This Row],[Salary]]*0.1)</f>
        <v>569097.47459999996</v>
      </c>
      <c r="J535" s="15">
        <f>Table1[[#This Row],[Salary]]+Table1[[#This Row],[Bonus]]</f>
        <v>6260072.2205999997</v>
      </c>
      <c r="K535" s="25">
        <f>COUNTA(Table1[Employee_ID])</f>
        <v>1000</v>
      </c>
      <c r="L535" s="1">
        <f>SUM(Table1[Salary])</f>
        <v>3119391523.8580012</v>
      </c>
      <c r="M535" s="15">
        <f>AVERAGE(Table1[Salary])</f>
        <v>3119391.5238580015</v>
      </c>
      <c r="N535" s="29">
        <f>SUM(Table1[Bonus])</f>
        <v>308244983.02069992</v>
      </c>
    </row>
    <row r="536" spans="1:14" ht="12.75" customHeight="1" x14ac:dyDescent="0.25">
      <c r="A536" s="2">
        <v>439</v>
      </c>
      <c r="B536" s="10" t="s">
        <v>834</v>
      </c>
      <c r="C536" s="10" t="s">
        <v>835</v>
      </c>
      <c r="D536" s="10" t="s">
        <v>165</v>
      </c>
      <c r="E536" s="10" t="s">
        <v>27</v>
      </c>
      <c r="F536" s="10" t="s">
        <v>106</v>
      </c>
      <c r="G536" s="10" t="s">
        <v>23</v>
      </c>
      <c r="H536" s="13">
        <v>5554844.2459999993</v>
      </c>
      <c r="I536" s="15">
        <f>IF(Table1[[#This Row],[Salary]]&lt;1000000,Table1[[#This Row],[Salary]]*0.05,Table1[[#This Row],[Salary]]*0.1)</f>
        <v>555484.42459999991</v>
      </c>
      <c r="J536" s="15">
        <f>Table1[[#This Row],[Salary]]+Table1[[#This Row],[Bonus]]</f>
        <v>6110328.6705999989</v>
      </c>
      <c r="K536" s="25">
        <f>COUNTA(Table1[Employee_ID])</f>
        <v>1000</v>
      </c>
      <c r="L536" s="1">
        <f>SUM(Table1[Salary])</f>
        <v>3119391523.8580012</v>
      </c>
      <c r="M536" s="15">
        <f>AVERAGE(Table1[Salary])</f>
        <v>3119391.5238580015</v>
      </c>
      <c r="N536" s="29">
        <f>SUM(Table1[Bonus])</f>
        <v>308244983.02069992</v>
      </c>
    </row>
    <row r="537" spans="1:14" ht="12.75" customHeight="1" x14ac:dyDescent="0.25">
      <c r="A537" s="2">
        <v>440</v>
      </c>
      <c r="B537" s="10" t="s">
        <v>836</v>
      </c>
      <c r="C537" s="10" t="s">
        <v>837</v>
      </c>
      <c r="D537" s="10" t="s">
        <v>156</v>
      </c>
      <c r="E537" s="10" t="s">
        <v>6</v>
      </c>
      <c r="F537" s="10" t="s">
        <v>123</v>
      </c>
      <c r="G537" s="10" t="s">
        <v>29</v>
      </c>
      <c r="H537" s="13">
        <v>4653936.6779999994</v>
      </c>
      <c r="I537" s="15">
        <f>IF(Table1[[#This Row],[Salary]]&lt;1000000,Table1[[#This Row],[Salary]]*0.05,Table1[[#This Row],[Salary]]*0.1)</f>
        <v>465393.66779999994</v>
      </c>
      <c r="J537" s="15">
        <f>Table1[[#This Row],[Salary]]+Table1[[#This Row],[Bonus]]</f>
        <v>5119330.3457999993</v>
      </c>
      <c r="K537" s="25">
        <f>COUNTA(Table1[Employee_ID])</f>
        <v>1000</v>
      </c>
      <c r="L537" s="1">
        <f>SUM(Table1[Salary])</f>
        <v>3119391523.8580012</v>
      </c>
      <c r="M537" s="15">
        <f>AVERAGE(Table1[Salary])</f>
        <v>3119391.5238580015</v>
      </c>
      <c r="N537" s="29">
        <f>SUM(Table1[Bonus])</f>
        <v>308244983.02069992</v>
      </c>
    </row>
    <row r="538" spans="1:14" ht="12.75" customHeight="1" x14ac:dyDescent="0.25">
      <c r="A538" s="2">
        <v>441</v>
      </c>
      <c r="B538" s="10" t="s">
        <v>175</v>
      </c>
      <c r="C538" s="10" t="s">
        <v>838</v>
      </c>
      <c r="D538" s="10" t="s">
        <v>21</v>
      </c>
      <c r="E538" s="10" t="s">
        <v>2</v>
      </c>
      <c r="F538" s="10" t="s">
        <v>102</v>
      </c>
      <c r="G538" s="10" t="s">
        <v>71</v>
      </c>
      <c r="H538" s="13">
        <v>2861672.2479999997</v>
      </c>
      <c r="I538" s="15">
        <f>IF(Table1[[#This Row],[Salary]]&lt;1000000,Table1[[#This Row],[Salary]]*0.05,Table1[[#This Row],[Salary]]*0.1)</f>
        <v>286167.22479999997</v>
      </c>
      <c r="J538" s="15">
        <f>Table1[[#This Row],[Salary]]+Table1[[#This Row],[Bonus]]</f>
        <v>3147839.4727999996</v>
      </c>
      <c r="K538" s="25">
        <f>COUNTA(Table1[Employee_ID])</f>
        <v>1000</v>
      </c>
      <c r="L538" s="1">
        <f>SUM(Table1[Salary])</f>
        <v>3119391523.8580012</v>
      </c>
      <c r="M538" s="15">
        <f>AVERAGE(Table1[Salary])</f>
        <v>3119391.5238580015</v>
      </c>
      <c r="N538" s="29">
        <f>SUM(Table1[Bonus])</f>
        <v>308244983.02069992</v>
      </c>
    </row>
    <row r="539" spans="1:14" ht="12.75" customHeight="1" x14ac:dyDescent="0.25">
      <c r="A539" s="2">
        <v>442</v>
      </c>
      <c r="B539" s="10" t="s">
        <v>239</v>
      </c>
      <c r="C539" s="10" t="s">
        <v>839</v>
      </c>
      <c r="D539" s="10" t="s">
        <v>128</v>
      </c>
      <c r="E539" s="10" t="s">
        <v>39</v>
      </c>
      <c r="F539" s="10" t="s">
        <v>40</v>
      </c>
      <c r="G539" s="10" t="s">
        <v>56</v>
      </c>
      <c r="H539" s="13">
        <v>1935851.9239999999</v>
      </c>
      <c r="I539" s="15">
        <f>IF(Table1[[#This Row],[Salary]]&lt;1000000,Table1[[#This Row],[Salary]]*0.05,Table1[[#This Row],[Salary]]*0.1)</f>
        <v>193585.1924</v>
      </c>
      <c r="J539" s="15">
        <f>Table1[[#This Row],[Salary]]+Table1[[#This Row],[Bonus]]</f>
        <v>2129437.1163999997</v>
      </c>
      <c r="K539" s="25">
        <f>COUNTA(Table1[Employee_ID])</f>
        <v>1000</v>
      </c>
      <c r="L539" s="1">
        <f>SUM(Table1[Salary])</f>
        <v>3119391523.8580012</v>
      </c>
      <c r="M539" s="15">
        <f>AVERAGE(Table1[Salary])</f>
        <v>3119391.5238580015</v>
      </c>
      <c r="N539" s="29">
        <f>SUM(Table1[Bonus])</f>
        <v>308244983.02069992</v>
      </c>
    </row>
    <row r="540" spans="1:14" ht="12.75" customHeight="1" x14ac:dyDescent="0.25">
      <c r="A540" s="2">
        <v>443</v>
      </c>
      <c r="B540" s="10" t="s">
        <v>582</v>
      </c>
      <c r="C540" s="10" t="s">
        <v>369</v>
      </c>
      <c r="D540" s="10" t="s">
        <v>174</v>
      </c>
      <c r="E540" s="10" t="s">
        <v>63</v>
      </c>
      <c r="F540" s="10" t="s">
        <v>131</v>
      </c>
      <c r="G540" s="10" t="s">
        <v>48</v>
      </c>
      <c r="H540" s="13">
        <v>2032020.1060000001</v>
      </c>
      <c r="I540" s="15">
        <f>IF(Table1[[#This Row],[Salary]]&lt;1000000,Table1[[#This Row],[Salary]]*0.05,Table1[[#This Row],[Salary]]*0.1)</f>
        <v>203202.01060000004</v>
      </c>
      <c r="J540" s="15">
        <f>Table1[[#This Row],[Salary]]+Table1[[#This Row],[Bonus]]</f>
        <v>2235222.1166000003</v>
      </c>
      <c r="K540" s="25">
        <f>COUNTA(Table1[Employee_ID])</f>
        <v>1000</v>
      </c>
      <c r="L540" s="1">
        <f>SUM(Table1[Salary])</f>
        <v>3119391523.8580012</v>
      </c>
      <c r="M540" s="15">
        <f>AVERAGE(Table1[Salary])</f>
        <v>3119391.5238580015</v>
      </c>
      <c r="N540" s="29">
        <f>SUM(Table1[Bonus])</f>
        <v>308244983.02069992</v>
      </c>
    </row>
    <row r="541" spans="1:14" ht="12.75" customHeight="1" x14ac:dyDescent="0.25">
      <c r="A541" s="2">
        <v>445</v>
      </c>
      <c r="B541" s="10" t="s">
        <v>838</v>
      </c>
      <c r="C541" s="10" t="s">
        <v>409</v>
      </c>
      <c r="D541" s="10" t="s">
        <v>180</v>
      </c>
      <c r="E541" s="10" t="s">
        <v>10</v>
      </c>
      <c r="F541" s="10" t="s">
        <v>131</v>
      </c>
      <c r="G541" s="10" t="s">
        <v>71</v>
      </c>
      <c r="H541" s="13">
        <v>3425142.9139999999</v>
      </c>
      <c r="I541" s="15">
        <f>IF(Table1[[#This Row],[Salary]]&lt;1000000,Table1[[#This Row],[Salary]]*0.05,Table1[[#This Row],[Salary]]*0.1)</f>
        <v>342514.29139999999</v>
      </c>
      <c r="J541" s="15">
        <f>Table1[[#This Row],[Salary]]+Table1[[#This Row],[Bonus]]</f>
        <v>3767657.2053999999</v>
      </c>
      <c r="K541" s="25">
        <f>COUNTA(Table1[Employee_ID])</f>
        <v>1000</v>
      </c>
      <c r="L541" s="1">
        <f>SUM(Table1[Salary])</f>
        <v>3119391523.8580012</v>
      </c>
      <c r="M541" s="15">
        <f>AVERAGE(Table1[Salary])</f>
        <v>3119391.5238580015</v>
      </c>
      <c r="N541" s="29">
        <f>SUM(Table1[Bonus])</f>
        <v>308244983.02069992</v>
      </c>
    </row>
    <row r="542" spans="1:14" ht="12.75" customHeight="1" x14ac:dyDescent="0.25">
      <c r="A542" s="2">
        <v>446</v>
      </c>
      <c r="B542" s="10" t="s">
        <v>841</v>
      </c>
      <c r="C542" s="10" t="s">
        <v>842</v>
      </c>
      <c r="D542" s="10" t="s">
        <v>183</v>
      </c>
      <c r="E542" s="10" t="s">
        <v>33</v>
      </c>
      <c r="F542" s="10" t="s">
        <v>55</v>
      </c>
      <c r="G542" s="10" t="s">
        <v>56</v>
      </c>
      <c r="H542" s="13">
        <v>841212.29</v>
      </c>
      <c r="I542" s="15">
        <f>IF(Table1[[#This Row],[Salary]]&lt;1000000,Table1[[#This Row],[Salary]]*0.05,Table1[[#This Row],[Salary]]*0.1)</f>
        <v>42060.614500000003</v>
      </c>
      <c r="J542" s="15">
        <f>Table1[[#This Row],[Salary]]+Table1[[#This Row],[Bonus]]</f>
        <v>883272.90450000006</v>
      </c>
      <c r="K542" s="25">
        <f>COUNTA(Table1[Employee_ID])</f>
        <v>1000</v>
      </c>
      <c r="L542" s="1">
        <f>SUM(Table1[Salary])</f>
        <v>3119391523.8580012</v>
      </c>
      <c r="M542" s="15">
        <f>AVERAGE(Table1[Salary])</f>
        <v>3119391.5238580015</v>
      </c>
      <c r="N542" s="29">
        <f>SUM(Table1[Bonus])</f>
        <v>308244983.02069992</v>
      </c>
    </row>
    <row r="543" spans="1:14" ht="12.75" customHeight="1" x14ac:dyDescent="0.25">
      <c r="A543" s="2">
        <v>448</v>
      </c>
      <c r="B543" s="10" t="s">
        <v>843</v>
      </c>
      <c r="C543" s="10" t="s">
        <v>844</v>
      </c>
      <c r="D543" s="10" t="s">
        <v>99</v>
      </c>
      <c r="E543" s="10" t="s">
        <v>33</v>
      </c>
      <c r="F543" s="10" t="s">
        <v>34</v>
      </c>
      <c r="G543" s="10" t="s">
        <v>29</v>
      </c>
      <c r="H543" s="13">
        <v>5605480.1279999996</v>
      </c>
      <c r="I543" s="15">
        <f>IF(Table1[[#This Row],[Salary]]&lt;1000000,Table1[[#This Row],[Salary]]*0.05,Table1[[#This Row],[Salary]]*0.1)</f>
        <v>560548.01280000003</v>
      </c>
      <c r="J543" s="15">
        <f>Table1[[#This Row],[Salary]]+Table1[[#This Row],[Bonus]]</f>
        <v>6166028.1407999992</v>
      </c>
      <c r="K543" s="25">
        <f>COUNTA(Table1[Employee_ID])</f>
        <v>1000</v>
      </c>
      <c r="L543" s="1">
        <f>SUM(Table1[Salary])</f>
        <v>3119391523.8580012</v>
      </c>
      <c r="M543" s="15">
        <f>AVERAGE(Table1[Salary])</f>
        <v>3119391.5238580015</v>
      </c>
      <c r="N543" s="29">
        <f>SUM(Table1[Bonus])</f>
        <v>308244983.02069992</v>
      </c>
    </row>
    <row r="544" spans="1:14" ht="12.75" customHeight="1" x14ac:dyDescent="0.25">
      <c r="A544" s="2">
        <v>450</v>
      </c>
      <c r="B544" s="10" t="s">
        <v>846</v>
      </c>
      <c r="C544" s="10" t="s">
        <v>847</v>
      </c>
      <c r="D544" s="10" t="s">
        <v>149</v>
      </c>
      <c r="E544" s="10" t="s">
        <v>27</v>
      </c>
      <c r="F544" s="10" t="s">
        <v>28</v>
      </c>
      <c r="G544" s="10" t="s">
        <v>23</v>
      </c>
      <c r="H544" s="13">
        <v>3183522.0620000004</v>
      </c>
      <c r="I544" s="15">
        <f>IF(Table1[[#This Row],[Salary]]&lt;1000000,Table1[[#This Row],[Salary]]*0.05,Table1[[#This Row],[Salary]]*0.1)</f>
        <v>318352.20620000007</v>
      </c>
      <c r="J544" s="15">
        <f>Table1[[#This Row],[Salary]]+Table1[[#This Row],[Bonus]]</f>
        <v>3501874.2682000003</v>
      </c>
      <c r="K544" s="25">
        <f>COUNTA(Table1[Employee_ID])</f>
        <v>1000</v>
      </c>
      <c r="L544" s="1">
        <f>SUM(Table1[Salary])</f>
        <v>3119391523.8580012</v>
      </c>
      <c r="M544" s="15">
        <f>AVERAGE(Table1[Salary])</f>
        <v>3119391.5238580015</v>
      </c>
      <c r="N544" s="29">
        <f>SUM(Table1[Bonus])</f>
        <v>308244983.02069992</v>
      </c>
    </row>
    <row r="545" spans="1:14" ht="12.75" customHeight="1" x14ac:dyDescent="0.25">
      <c r="A545" s="2">
        <v>451</v>
      </c>
      <c r="B545" s="10" t="s">
        <v>848</v>
      </c>
      <c r="C545" s="10" t="s">
        <v>735</v>
      </c>
      <c r="D545" s="10" t="s">
        <v>88</v>
      </c>
      <c r="E545" s="10" t="s">
        <v>27</v>
      </c>
      <c r="F545" s="10" t="s">
        <v>85</v>
      </c>
      <c r="G545" s="10" t="s">
        <v>35</v>
      </c>
      <c r="H545" s="13">
        <v>5158882.3059999999</v>
      </c>
      <c r="I545" s="15">
        <f>IF(Table1[[#This Row],[Salary]]&lt;1000000,Table1[[#This Row],[Salary]]*0.05,Table1[[#This Row],[Salary]]*0.1)</f>
        <v>515888.23060000001</v>
      </c>
      <c r="J545" s="15">
        <f>Table1[[#This Row],[Salary]]+Table1[[#This Row],[Bonus]]</f>
        <v>5674770.5366000002</v>
      </c>
      <c r="K545" s="25">
        <f>COUNTA(Table1[Employee_ID])</f>
        <v>1000</v>
      </c>
      <c r="L545" s="1">
        <f>SUM(Table1[Salary])</f>
        <v>3119391523.8580012</v>
      </c>
      <c r="M545" s="15">
        <f>AVERAGE(Table1[Salary])</f>
        <v>3119391.5238580015</v>
      </c>
      <c r="N545" s="29">
        <f>SUM(Table1[Bonus])</f>
        <v>308244983.02069992</v>
      </c>
    </row>
    <row r="546" spans="1:14" ht="12.75" customHeight="1" x14ac:dyDescent="0.25">
      <c r="A546" s="2">
        <v>452</v>
      </c>
      <c r="B546" s="10" t="s">
        <v>849</v>
      </c>
      <c r="C546" s="10" t="s">
        <v>850</v>
      </c>
      <c r="D546" s="10" t="s">
        <v>26</v>
      </c>
      <c r="E546" s="10" t="s">
        <v>33</v>
      </c>
      <c r="F546" s="10" t="s">
        <v>47</v>
      </c>
      <c r="G546" s="10" t="s">
        <v>23</v>
      </c>
      <c r="H546" s="13">
        <v>4730541.7120000003</v>
      </c>
      <c r="I546" s="15">
        <f>IF(Table1[[#This Row],[Salary]]&lt;1000000,Table1[[#This Row],[Salary]]*0.05,Table1[[#This Row],[Salary]]*0.1)</f>
        <v>473054.17120000004</v>
      </c>
      <c r="J546" s="15">
        <f>Table1[[#This Row],[Salary]]+Table1[[#This Row],[Bonus]]</f>
        <v>5203595.8832</v>
      </c>
      <c r="K546" s="25">
        <f>COUNTA(Table1[Employee_ID])</f>
        <v>1000</v>
      </c>
      <c r="L546" s="1">
        <f>SUM(Table1[Salary])</f>
        <v>3119391523.8580012</v>
      </c>
      <c r="M546" s="15">
        <f>AVERAGE(Table1[Salary])</f>
        <v>3119391.5238580015</v>
      </c>
      <c r="N546" s="29">
        <f>SUM(Table1[Bonus])</f>
        <v>308244983.02069992</v>
      </c>
    </row>
    <row r="547" spans="1:14" ht="12.75" customHeight="1" x14ac:dyDescent="0.25">
      <c r="A547" s="2">
        <v>453</v>
      </c>
      <c r="B547" s="10" t="s">
        <v>371</v>
      </c>
      <c r="C547" s="10" t="s">
        <v>851</v>
      </c>
      <c r="D547" s="10" t="s">
        <v>156</v>
      </c>
      <c r="E547" s="10" t="s">
        <v>27</v>
      </c>
      <c r="F547" s="10" t="s">
        <v>106</v>
      </c>
      <c r="G547" s="10" t="s">
        <v>48</v>
      </c>
      <c r="H547" s="13">
        <v>4041618.7739999997</v>
      </c>
      <c r="I547" s="15">
        <f>IF(Table1[[#This Row],[Salary]]&lt;1000000,Table1[[#This Row],[Salary]]*0.05,Table1[[#This Row],[Salary]]*0.1)</f>
        <v>404161.8774</v>
      </c>
      <c r="J547" s="15">
        <f>Table1[[#This Row],[Salary]]+Table1[[#This Row],[Bonus]]</f>
        <v>4445780.6513999999</v>
      </c>
      <c r="K547" s="25">
        <f>COUNTA(Table1[Employee_ID])</f>
        <v>1000</v>
      </c>
      <c r="L547" s="1">
        <f>SUM(Table1[Salary])</f>
        <v>3119391523.8580012</v>
      </c>
      <c r="M547" s="15">
        <f>AVERAGE(Table1[Salary])</f>
        <v>3119391.5238580015</v>
      </c>
      <c r="N547" s="29">
        <f>SUM(Table1[Bonus])</f>
        <v>308244983.02069992</v>
      </c>
    </row>
    <row r="548" spans="1:14" ht="12.75" customHeight="1" x14ac:dyDescent="0.25">
      <c r="A548" s="2">
        <v>454</v>
      </c>
      <c r="B548" s="10" t="s">
        <v>239</v>
      </c>
      <c r="C548" s="10" t="s">
        <v>852</v>
      </c>
      <c r="D548" s="10" t="s">
        <v>159</v>
      </c>
      <c r="E548" s="10" t="s">
        <v>14</v>
      </c>
      <c r="F548" s="10" t="s">
        <v>51</v>
      </c>
      <c r="G548" s="10" t="s">
        <v>56</v>
      </c>
      <c r="H548" s="13">
        <v>2570998.9420000003</v>
      </c>
      <c r="I548" s="15">
        <f>IF(Table1[[#This Row],[Salary]]&lt;1000000,Table1[[#This Row],[Salary]]*0.05,Table1[[#This Row],[Salary]]*0.1)</f>
        <v>257099.89420000004</v>
      </c>
      <c r="J548" s="15">
        <f>Table1[[#This Row],[Salary]]+Table1[[#This Row],[Bonus]]</f>
        <v>2828098.8362000003</v>
      </c>
      <c r="K548" s="25">
        <f>COUNTA(Table1[Employee_ID])</f>
        <v>1000</v>
      </c>
      <c r="L548" s="1">
        <f>SUM(Table1[Salary])</f>
        <v>3119391523.8580012</v>
      </c>
      <c r="M548" s="15">
        <f>AVERAGE(Table1[Salary])</f>
        <v>3119391.5238580015</v>
      </c>
      <c r="N548" s="29">
        <f>SUM(Table1[Bonus])</f>
        <v>308244983.02069992</v>
      </c>
    </row>
    <row r="549" spans="1:14" ht="12.75" customHeight="1" x14ac:dyDescent="0.25">
      <c r="A549" s="2">
        <v>456</v>
      </c>
      <c r="B549" s="10" t="s">
        <v>853</v>
      </c>
      <c r="C549" s="10" t="s">
        <v>854</v>
      </c>
      <c r="D549" s="10" t="s">
        <v>165</v>
      </c>
      <c r="E549" s="10" t="s">
        <v>27</v>
      </c>
      <c r="F549" s="10" t="s">
        <v>28</v>
      </c>
      <c r="G549" s="10" t="s">
        <v>35</v>
      </c>
      <c r="H549" s="13">
        <v>2999611.2139999997</v>
      </c>
      <c r="I549" s="15">
        <f>IF(Table1[[#This Row],[Salary]]&lt;1000000,Table1[[#This Row],[Salary]]*0.05,Table1[[#This Row],[Salary]]*0.1)</f>
        <v>299961.1214</v>
      </c>
      <c r="J549" s="15">
        <f>Table1[[#This Row],[Salary]]+Table1[[#This Row],[Bonus]]</f>
        <v>3299572.3353999997</v>
      </c>
      <c r="K549" s="25">
        <f>COUNTA(Table1[Employee_ID])</f>
        <v>1000</v>
      </c>
      <c r="L549" s="1">
        <f>SUM(Table1[Salary])</f>
        <v>3119391523.8580012</v>
      </c>
      <c r="M549" s="15">
        <f>AVERAGE(Table1[Salary])</f>
        <v>3119391.5238580015</v>
      </c>
      <c r="N549" s="29">
        <f>SUM(Table1[Bonus])</f>
        <v>308244983.02069992</v>
      </c>
    </row>
    <row r="550" spans="1:14" ht="12.75" customHeight="1" x14ac:dyDescent="0.25">
      <c r="A550" s="2">
        <v>457</v>
      </c>
      <c r="B550" s="10" t="s">
        <v>855</v>
      </c>
      <c r="C550" s="10" t="s">
        <v>856</v>
      </c>
      <c r="D550" s="10" t="s">
        <v>156</v>
      </c>
      <c r="E550" s="10" t="s">
        <v>6</v>
      </c>
      <c r="F550" s="10" t="s">
        <v>144</v>
      </c>
      <c r="G550" s="10" t="s">
        <v>56</v>
      </c>
      <c r="H550" s="13">
        <v>811583.06400000001</v>
      </c>
      <c r="I550" s="15">
        <f>IF(Table1[[#This Row],[Salary]]&lt;1000000,Table1[[#This Row],[Salary]]*0.05,Table1[[#This Row],[Salary]]*0.1)</f>
        <v>40579.153200000001</v>
      </c>
      <c r="J550" s="15">
        <f>Table1[[#This Row],[Salary]]+Table1[[#This Row],[Bonus]]</f>
        <v>852162.21720000007</v>
      </c>
      <c r="K550" s="25">
        <f>COUNTA(Table1[Employee_ID])</f>
        <v>1000</v>
      </c>
      <c r="L550" s="1">
        <f>SUM(Table1[Salary])</f>
        <v>3119391523.8580012</v>
      </c>
      <c r="M550" s="15">
        <f>AVERAGE(Table1[Salary])</f>
        <v>3119391.5238580015</v>
      </c>
      <c r="N550" s="29">
        <f>SUM(Table1[Bonus])</f>
        <v>308244983.02069992</v>
      </c>
    </row>
    <row r="551" spans="1:14" ht="12.75" customHeight="1" x14ac:dyDescent="0.25">
      <c r="A551" s="2">
        <v>458</v>
      </c>
      <c r="B551" s="10" t="s">
        <v>857</v>
      </c>
      <c r="C551" s="10" t="s">
        <v>842</v>
      </c>
      <c r="D551" s="10" t="s">
        <v>21</v>
      </c>
      <c r="E551" s="10" t="s">
        <v>2</v>
      </c>
      <c r="F551" s="10" t="s">
        <v>60</v>
      </c>
      <c r="G551" s="10" t="s">
        <v>29</v>
      </c>
      <c r="H551" s="13">
        <v>5649146.8279999997</v>
      </c>
      <c r="I551" s="15">
        <f>IF(Table1[[#This Row],[Salary]]&lt;1000000,Table1[[#This Row],[Salary]]*0.05,Table1[[#This Row],[Salary]]*0.1)</f>
        <v>564914.68279999995</v>
      </c>
      <c r="J551" s="15">
        <f>Table1[[#This Row],[Salary]]+Table1[[#This Row],[Bonus]]</f>
        <v>6214061.5107999993</v>
      </c>
      <c r="K551" s="25">
        <f>COUNTA(Table1[Employee_ID])</f>
        <v>1000</v>
      </c>
      <c r="L551" s="1">
        <f>SUM(Table1[Salary])</f>
        <v>3119391523.8580012</v>
      </c>
      <c r="M551" s="15">
        <f>AVERAGE(Table1[Salary])</f>
        <v>3119391.5238580015</v>
      </c>
      <c r="N551" s="29">
        <f>SUM(Table1[Bonus])</f>
        <v>308244983.02069992</v>
      </c>
    </row>
    <row r="552" spans="1:14" ht="12.75" customHeight="1" x14ac:dyDescent="0.25">
      <c r="A552" s="2">
        <v>459</v>
      </c>
      <c r="B552" s="10" t="s">
        <v>858</v>
      </c>
      <c r="C552" s="10" t="s">
        <v>830</v>
      </c>
      <c r="D552" s="10" t="s">
        <v>128</v>
      </c>
      <c r="E552" s="10" t="s">
        <v>2</v>
      </c>
      <c r="F552" s="10" t="s">
        <v>74</v>
      </c>
      <c r="G552" s="10" t="s">
        <v>56</v>
      </c>
      <c r="H552" s="13">
        <v>2226110.1340000001</v>
      </c>
      <c r="I552" s="15">
        <f>IF(Table1[[#This Row],[Salary]]&lt;1000000,Table1[[#This Row],[Salary]]*0.05,Table1[[#This Row],[Salary]]*0.1)</f>
        <v>222611.01340000003</v>
      </c>
      <c r="J552" s="15">
        <f>Table1[[#This Row],[Salary]]+Table1[[#This Row],[Bonus]]</f>
        <v>2448721.1474000001</v>
      </c>
      <c r="K552" s="25">
        <f>COUNTA(Table1[Employee_ID])</f>
        <v>1000</v>
      </c>
      <c r="L552" s="1">
        <f>SUM(Table1[Salary])</f>
        <v>3119391523.8580012</v>
      </c>
      <c r="M552" s="15">
        <f>AVERAGE(Table1[Salary])</f>
        <v>3119391.5238580015</v>
      </c>
      <c r="N552" s="29">
        <f>SUM(Table1[Bonus])</f>
        <v>308244983.02069992</v>
      </c>
    </row>
    <row r="553" spans="1:14" ht="12.75" customHeight="1" x14ac:dyDescent="0.25">
      <c r="A553" s="2">
        <v>460</v>
      </c>
      <c r="B553" s="10" t="s">
        <v>859</v>
      </c>
      <c r="C553" s="10" t="s">
        <v>860</v>
      </c>
      <c r="D553" s="10" t="s">
        <v>174</v>
      </c>
      <c r="E553" s="10" t="s">
        <v>39</v>
      </c>
      <c r="F553" s="10" t="s">
        <v>186</v>
      </c>
      <c r="G553" s="10" t="s">
        <v>23</v>
      </c>
      <c r="H553" s="13">
        <v>3808282.352</v>
      </c>
      <c r="I553" s="15">
        <f>IF(Table1[[#This Row],[Salary]]&lt;1000000,Table1[[#This Row],[Salary]]*0.05,Table1[[#This Row],[Salary]]*0.1)</f>
        <v>380828.2352</v>
      </c>
      <c r="J553" s="15">
        <f>Table1[[#This Row],[Salary]]+Table1[[#This Row],[Bonus]]</f>
        <v>4189110.5872</v>
      </c>
      <c r="K553" s="25">
        <f>COUNTA(Table1[Employee_ID])</f>
        <v>1000</v>
      </c>
      <c r="L553" s="1">
        <f>SUM(Table1[Salary])</f>
        <v>3119391523.8580012</v>
      </c>
      <c r="M553" s="15">
        <f>AVERAGE(Table1[Salary])</f>
        <v>3119391.5238580015</v>
      </c>
      <c r="N553" s="29">
        <f>SUM(Table1[Bonus])</f>
        <v>308244983.02069992</v>
      </c>
    </row>
    <row r="554" spans="1:14" ht="12.75" customHeight="1" x14ac:dyDescent="0.25">
      <c r="A554" s="2">
        <v>461</v>
      </c>
      <c r="B554" s="10" t="s">
        <v>745</v>
      </c>
      <c r="C554" s="10" t="s">
        <v>656</v>
      </c>
      <c r="D554" s="10" t="s">
        <v>177</v>
      </c>
      <c r="E554" s="10" t="s">
        <v>27</v>
      </c>
      <c r="F554" s="10" t="s">
        <v>85</v>
      </c>
      <c r="G554" s="10" t="s">
        <v>48</v>
      </c>
      <c r="H554" s="13">
        <v>3108390.852</v>
      </c>
      <c r="I554" s="15">
        <f>IF(Table1[[#This Row],[Salary]]&lt;1000000,Table1[[#This Row],[Salary]]*0.05,Table1[[#This Row],[Salary]]*0.1)</f>
        <v>310839.08520000003</v>
      </c>
      <c r="J554" s="15">
        <f>Table1[[#This Row],[Salary]]+Table1[[#This Row],[Bonus]]</f>
        <v>3419229.9372</v>
      </c>
      <c r="K554" s="25">
        <f>COUNTA(Table1[Employee_ID])</f>
        <v>1000</v>
      </c>
      <c r="L554" s="1">
        <f>SUM(Table1[Salary])</f>
        <v>3119391523.8580012</v>
      </c>
      <c r="M554" s="15">
        <f>AVERAGE(Table1[Salary])</f>
        <v>3119391.5238580015</v>
      </c>
      <c r="N554" s="29">
        <f>SUM(Table1[Bonus])</f>
        <v>308244983.02069992</v>
      </c>
    </row>
    <row r="555" spans="1:14" ht="12.75" customHeight="1" x14ac:dyDescent="0.25">
      <c r="A555" s="2">
        <v>462</v>
      </c>
      <c r="B555" s="10" t="s">
        <v>861</v>
      </c>
      <c r="C555" s="10" t="s">
        <v>862</v>
      </c>
      <c r="D555" s="10" t="s">
        <v>180</v>
      </c>
      <c r="E555" s="10" t="s">
        <v>10</v>
      </c>
      <c r="F555" s="10" t="s">
        <v>78</v>
      </c>
      <c r="G555" s="10" t="s">
        <v>29</v>
      </c>
      <c r="H555" s="13">
        <v>3178856.8960000002</v>
      </c>
      <c r="I555" s="15">
        <f>IF(Table1[[#This Row],[Salary]]&lt;1000000,Table1[[#This Row],[Salary]]*0.05,Table1[[#This Row],[Salary]]*0.1)</f>
        <v>317885.68960000004</v>
      </c>
      <c r="J555" s="15">
        <f>Table1[[#This Row],[Salary]]+Table1[[#This Row],[Bonus]]</f>
        <v>3496742.5856000003</v>
      </c>
      <c r="K555" s="25">
        <f>COUNTA(Table1[Employee_ID])</f>
        <v>1000</v>
      </c>
      <c r="L555" s="1">
        <f>SUM(Table1[Salary])</f>
        <v>3119391523.8580012</v>
      </c>
      <c r="M555" s="15">
        <f>AVERAGE(Table1[Salary])</f>
        <v>3119391.5238580015</v>
      </c>
      <c r="N555" s="29">
        <f>SUM(Table1[Bonus])</f>
        <v>308244983.02069992</v>
      </c>
    </row>
    <row r="556" spans="1:14" ht="12.75" customHeight="1" x14ac:dyDescent="0.25">
      <c r="A556" s="2">
        <v>465</v>
      </c>
      <c r="B556" s="10" t="s">
        <v>865</v>
      </c>
      <c r="C556" s="10" t="s">
        <v>866</v>
      </c>
      <c r="D556" s="10" t="s">
        <v>99</v>
      </c>
      <c r="E556" s="10" t="s">
        <v>33</v>
      </c>
      <c r="F556" s="10" t="s">
        <v>55</v>
      </c>
      <c r="G556" s="10" t="s">
        <v>29</v>
      </c>
      <c r="H556" s="13">
        <v>5518460.3820000002</v>
      </c>
      <c r="I556" s="15">
        <f>IF(Table1[[#This Row],[Salary]]&lt;1000000,Table1[[#This Row],[Salary]]*0.05,Table1[[#This Row],[Salary]]*0.1)</f>
        <v>551846.03820000007</v>
      </c>
      <c r="J556" s="15">
        <f>Table1[[#This Row],[Salary]]+Table1[[#This Row],[Bonus]]</f>
        <v>6070306.4202000005</v>
      </c>
      <c r="K556" s="25">
        <f>COUNTA(Table1[Employee_ID])</f>
        <v>1000</v>
      </c>
      <c r="L556" s="1">
        <f>SUM(Table1[Salary])</f>
        <v>3119391523.8580012</v>
      </c>
      <c r="M556" s="15">
        <f>AVERAGE(Table1[Salary])</f>
        <v>3119391.5238580015</v>
      </c>
      <c r="N556" s="29">
        <f>SUM(Table1[Bonus])</f>
        <v>308244983.02069992</v>
      </c>
    </row>
    <row r="557" spans="1:14" ht="12.75" customHeight="1" x14ac:dyDescent="0.25">
      <c r="A557" s="2">
        <v>468</v>
      </c>
      <c r="B557" s="10" t="s">
        <v>869</v>
      </c>
      <c r="C557" s="10" t="s">
        <v>847</v>
      </c>
      <c r="D557" s="10" t="s">
        <v>313</v>
      </c>
      <c r="E557" s="10" t="s">
        <v>2</v>
      </c>
      <c r="F557" s="10" t="s">
        <v>102</v>
      </c>
      <c r="G557" s="10" t="s">
        <v>23</v>
      </c>
      <c r="H557" s="13">
        <v>5308343.6840000004</v>
      </c>
      <c r="I557" s="15">
        <f>IF(Table1[[#This Row],[Salary]]&lt;1000000,Table1[[#This Row],[Salary]]*0.05,Table1[[#This Row],[Salary]]*0.1)</f>
        <v>530834.36840000004</v>
      </c>
      <c r="J557" s="15">
        <f>Table1[[#This Row],[Salary]]+Table1[[#This Row],[Bonus]]</f>
        <v>5839178.0524000004</v>
      </c>
      <c r="K557" s="25">
        <f>COUNTA(Table1[Employee_ID])</f>
        <v>1000</v>
      </c>
      <c r="L557" s="1">
        <f>SUM(Table1[Salary])</f>
        <v>3119391523.8580012</v>
      </c>
      <c r="M557" s="15">
        <f>AVERAGE(Table1[Salary])</f>
        <v>3119391.5238580015</v>
      </c>
      <c r="N557" s="29">
        <f>SUM(Table1[Bonus])</f>
        <v>308244983.02069992</v>
      </c>
    </row>
    <row r="558" spans="1:14" ht="12.75" customHeight="1" x14ac:dyDescent="0.25">
      <c r="A558" s="2">
        <v>469</v>
      </c>
      <c r="B558" s="10" t="s">
        <v>175</v>
      </c>
      <c r="C558" s="10" t="s">
        <v>870</v>
      </c>
      <c r="D558" s="10" t="s">
        <v>112</v>
      </c>
      <c r="E558" s="10" t="s">
        <v>14</v>
      </c>
      <c r="F558" s="10" t="s">
        <v>222</v>
      </c>
      <c r="G558" s="10" t="s">
        <v>23</v>
      </c>
      <c r="H558" s="13">
        <v>1128234.8500000001</v>
      </c>
      <c r="I558" s="15">
        <f>IF(Table1[[#This Row],[Salary]]&lt;1000000,Table1[[#This Row],[Salary]]*0.05,Table1[[#This Row],[Salary]]*0.1)</f>
        <v>112823.48500000002</v>
      </c>
      <c r="J558" s="15">
        <f>Table1[[#This Row],[Salary]]+Table1[[#This Row],[Bonus]]</f>
        <v>1241058.3350000002</v>
      </c>
      <c r="K558" s="25">
        <f>COUNTA(Table1[Employee_ID])</f>
        <v>1000</v>
      </c>
      <c r="L558" s="1">
        <f>SUM(Table1[Salary])</f>
        <v>3119391523.8580012</v>
      </c>
      <c r="M558" s="15">
        <f>AVERAGE(Table1[Salary])</f>
        <v>3119391.5238580015</v>
      </c>
      <c r="N558" s="29">
        <f>SUM(Table1[Bonus])</f>
        <v>308244983.02069992</v>
      </c>
    </row>
    <row r="559" spans="1:14" ht="12.75" customHeight="1" x14ac:dyDescent="0.25">
      <c r="A559" s="2">
        <v>470</v>
      </c>
      <c r="B559" s="10" t="s">
        <v>843</v>
      </c>
      <c r="C559" s="10" t="s">
        <v>831</v>
      </c>
      <c r="D559" s="10" t="s">
        <v>174</v>
      </c>
      <c r="E559" s="10" t="s">
        <v>33</v>
      </c>
      <c r="F559" s="10" t="s">
        <v>34</v>
      </c>
      <c r="G559" s="10" t="s">
        <v>35</v>
      </c>
      <c r="H559" s="13">
        <v>1888230.152</v>
      </c>
      <c r="I559" s="15">
        <f>IF(Table1[[#This Row],[Salary]]&lt;1000000,Table1[[#This Row],[Salary]]*0.05,Table1[[#This Row],[Salary]]*0.1)</f>
        <v>188823.01520000002</v>
      </c>
      <c r="J559" s="15">
        <f>Table1[[#This Row],[Salary]]+Table1[[#This Row],[Bonus]]</f>
        <v>2077053.1672</v>
      </c>
      <c r="K559" s="25">
        <f>COUNTA(Table1[Employee_ID])</f>
        <v>1000</v>
      </c>
      <c r="L559" s="1">
        <f>SUM(Table1[Salary])</f>
        <v>3119391523.8580012</v>
      </c>
      <c r="M559" s="15">
        <f>AVERAGE(Table1[Salary])</f>
        <v>3119391.5238580015</v>
      </c>
      <c r="N559" s="29">
        <f>SUM(Table1[Bonus])</f>
        <v>308244983.02069992</v>
      </c>
    </row>
    <row r="560" spans="1:14" ht="12.75" customHeight="1" x14ac:dyDescent="0.25">
      <c r="A560" s="2">
        <v>471</v>
      </c>
      <c r="B560" s="10" t="s">
        <v>656</v>
      </c>
      <c r="C560" s="10" t="s">
        <v>871</v>
      </c>
      <c r="D560" s="10" t="s">
        <v>183</v>
      </c>
      <c r="E560" s="10" t="s">
        <v>2</v>
      </c>
      <c r="F560" s="10" t="s">
        <v>60</v>
      </c>
      <c r="G560" s="10" t="s">
        <v>71</v>
      </c>
      <c r="H560" s="13">
        <v>3037292.8360000001</v>
      </c>
      <c r="I560" s="15">
        <f>IF(Table1[[#This Row],[Salary]]&lt;1000000,Table1[[#This Row],[Salary]]*0.05,Table1[[#This Row],[Salary]]*0.1)</f>
        <v>303729.28360000002</v>
      </c>
      <c r="J560" s="15">
        <f>Table1[[#This Row],[Salary]]+Table1[[#This Row],[Bonus]]</f>
        <v>3341022.1196000003</v>
      </c>
      <c r="K560" s="25">
        <f>COUNTA(Table1[Employee_ID])</f>
        <v>1000</v>
      </c>
      <c r="L560" s="1">
        <f>SUM(Table1[Salary])</f>
        <v>3119391523.8580012</v>
      </c>
      <c r="M560" s="15">
        <f>AVERAGE(Table1[Salary])</f>
        <v>3119391.5238580015</v>
      </c>
      <c r="N560" s="29">
        <f>SUM(Table1[Bonus])</f>
        <v>308244983.02069992</v>
      </c>
    </row>
    <row r="561" spans="1:14" ht="12.75" customHeight="1" x14ac:dyDescent="0.25">
      <c r="A561" s="2">
        <v>472</v>
      </c>
      <c r="B561" s="10" t="s">
        <v>838</v>
      </c>
      <c r="C561" s="10" t="s">
        <v>872</v>
      </c>
      <c r="D561" s="10" t="s">
        <v>313</v>
      </c>
      <c r="E561" s="10" t="s">
        <v>14</v>
      </c>
      <c r="F561" s="10" t="s">
        <v>234</v>
      </c>
      <c r="G561" s="10" t="s">
        <v>71</v>
      </c>
      <c r="H561" s="13">
        <v>4775543.4819999998</v>
      </c>
      <c r="I561" s="15">
        <f>IF(Table1[[#This Row],[Salary]]&lt;1000000,Table1[[#This Row],[Salary]]*0.05,Table1[[#This Row],[Salary]]*0.1)</f>
        <v>477554.34820000001</v>
      </c>
      <c r="J561" s="15">
        <f>Table1[[#This Row],[Salary]]+Table1[[#This Row],[Bonus]]</f>
        <v>5253097.8301999997</v>
      </c>
      <c r="K561" s="25">
        <f>COUNTA(Table1[Employee_ID])</f>
        <v>1000</v>
      </c>
      <c r="L561" s="1">
        <f>SUM(Table1[Salary])</f>
        <v>3119391523.8580012</v>
      </c>
      <c r="M561" s="15">
        <f>AVERAGE(Table1[Salary])</f>
        <v>3119391.5238580015</v>
      </c>
      <c r="N561" s="29">
        <f>SUM(Table1[Bonus])</f>
        <v>308244983.02069992</v>
      </c>
    </row>
    <row r="562" spans="1:14" ht="12.75" customHeight="1" x14ac:dyDescent="0.25">
      <c r="A562" s="2">
        <v>473</v>
      </c>
      <c r="B562" s="10" t="s">
        <v>873</v>
      </c>
      <c r="C562" s="10" t="s">
        <v>409</v>
      </c>
      <c r="D562" s="10" t="s">
        <v>112</v>
      </c>
      <c r="E562" s="10" t="s">
        <v>13</v>
      </c>
      <c r="F562" s="10" t="s">
        <v>43</v>
      </c>
      <c r="G562" s="10" t="s">
        <v>29</v>
      </c>
      <c r="H562" s="13">
        <v>5172402.0759999994</v>
      </c>
      <c r="I562" s="15">
        <f>IF(Table1[[#This Row],[Salary]]&lt;1000000,Table1[[#This Row],[Salary]]*0.05,Table1[[#This Row],[Salary]]*0.1)</f>
        <v>517240.20759999997</v>
      </c>
      <c r="J562" s="15">
        <f>Table1[[#This Row],[Salary]]+Table1[[#This Row],[Bonus]]</f>
        <v>5689642.2835999997</v>
      </c>
      <c r="K562" s="25">
        <f>COUNTA(Table1[Employee_ID])</f>
        <v>1000</v>
      </c>
      <c r="L562" s="1">
        <f>SUM(Table1[Salary])</f>
        <v>3119391523.8580012</v>
      </c>
      <c r="M562" s="15">
        <f>AVERAGE(Table1[Salary])</f>
        <v>3119391.5238580015</v>
      </c>
      <c r="N562" s="29">
        <f>SUM(Table1[Bonus])</f>
        <v>308244983.02069992</v>
      </c>
    </row>
    <row r="563" spans="1:14" ht="12.75" customHeight="1" x14ac:dyDescent="0.25">
      <c r="A563" s="2">
        <v>475</v>
      </c>
      <c r="B563" s="10" t="s">
        <v>875</v>
      </c>
      <c r="C563" s="10" t="s">
        <v>855</v>
      </c>
      <c r="D563" s="10" t="s">
        <v>183</v>
      </c>
      <c r="E563" s="10" t="s">
        <v>27</v>
      </c>
      <c r="F563" s="10" t="s">
        <v>106</v>
      </c>
      <c r="G563" s="10" t="s">
        <v>56</v>
      </c>
      <c r="H563" s="13">
        <v>1477744.5160000001</v>
      </c>
      <c r="I563" s="15">
        <f>IF(Table1[[#This Row],[Salary]]&lt;1000000,Table1[[#This Row],[Salary]]*0.05,Table1[[#This Row],[Salary]]*0.1)</f>
        <v>147774.4516</v>
      </c>
      <c r="J563" s="15">
        <f>Table1[[#This Row],[Salary]]+Table1[[#This Row],[Bonus]]</f>
        <v>1625518.9676000001</v>
      </c>
      <c r="K563" s="25">
        <f>COUNTA(Table1[Employee_ID])</f>
        <v>1000</v>
      </c>
      <c r="L563" s="1">
        <f>SUM(Table1[Salary])</f>
        <v>3119391523.8580012</v>
      </c>
      <c r="M563" s="15">
        <f>AVERAGE(Table1[Salary])</f>
        <v>3119391.5238580015</v>
      </c>
      <c r="N563" s="29">
        <f>SUM(Table1[Bonus])</f>
        <v>308244983.02069992</v>
      </c>
    </row>
    <row r="564" spans="1:14" ht="12.75" customHeight="1" x14ac:dyDescent="0.25">
      <c r="A564" s="2">
        <v>476</v>
      </c>
      <c r="B564" s="10" t="s">
        <v>876</v>
      </c>
      <c r="C564" s="10" t="s">
        <v>831</v>
      </c>
      <c r="D564" s="10" t="s">
        <v>59</v>
      </c>
      <c r="E564" s="10" t="s">
        <v>39</v>
      </c>
      <c r="F564" s="10" t="s">
        <v>189</v>
      </c>
      <c r="G564" s="10" t="s">
        <v>23</v>
      </c>
      <c r="H564" s="13">
        <v>5476861</v>
      </c>
      <c r="I564" s="15">
        <f>IF(Table1[[#This Row],[Salary]]&lt;1000000,Table1[[#This Row],[Salary]]*0.05,Table1[[#This Row],[Salary]]*0.1)</f>
        <v>547686.1</v>
      </c>
      <c r="J564" s="15">
        <f>Table1[[#This Row],[Salary]]+Table1[[#This Row],[Bonus]]</f>
        <v>6024547.0999999996</v>
      </c>
      <c r="K564" s="25">
        <f>COUNTA(Table1[Employee_ID])</f>
        <v>1000</v>
      </c>
      <c r="L564" s="1">
        <f>SUM(Table1[Salary])</f>
        <v>3119391523.8580012</v>
      </c>
      <c r="M564" s="15">
        <f>AVERAGE(Table1[Salary])</f>
        <v>3119391.5238580015</v>
      </c>
      <c r="N564" s="29">
        <f>SUM(Table1[Bonus])</f>
        <v>308244983.02069992</v>
      </c>
    </row>
    <row r="565" spans="1:14" ht="12.75" customHeight="1" x14ac:dyDescent="0.25">
      <c r="A565" s="2">
        <v>477</v>
      </c>
      <c r="B565" s="10" t="s">
        <v>834</v>
      </c>
      <c r="C565" s="10" t="s">
        <v>877</v>
      </c>
      <c r="D565" s="10" t="s">
        <v>324</v>
      </c>
      <c r="E565" s="10" t="s">
        <v>27</v>
      </c>
      <c r="F565" s="10" t="s">
        <v>28</v>
      </c>
      <c r="G565" s="10" t="s">
        <v>23</v>
      </c>
      <c r="H565" s="13">
        <v>4276675.0460000001</v>
      </c>
      <c r="I565" s="15">
        <f>IF(Table1[[#This Row],[Salary]]&lt;1000000,Table1[[#This Row],[Salary]]*0.05,Table1[[#This Row],[Salary]]*0.1)</f>
        <v>427667.50460000004</v>
      </c>
      <c r="J565" s="15">
        <f>Table1[[#This Row],[Salary]]+Table1[[#This Row],[Bonus]]</f>
        <v>4704342.5505999997</v>
      </c>
      <c r="K565" s="25">
        <f>COUNTA(Table1[Employee_ID])</f>
        <v>1000</v>
      </c>
      <c r="L565" s="1">
        <f>SUM(Table1[Salary])</f>
        <v>3119391523.8580012</v>
      </c>
      <c r="M565" s="15">
        <f>AVERAGE(Table1[Salary])</f>
        <v>3119391.5238580015</v>
      </c>
      <c r="N565" s="29">
        <f>SUM(Table1[Bonus])</f>
        <v>308244983.02069992</v>
      </c>
    </row>
    <row r="566" spans="1:14" ht="12.75" customHeight="1" x14ac:dyDescent="0.25">
      <c r="A566" s="2">
        <v>478</v>
      </c>
      <c r="B566" s="10" t="s">
        <v>412</v>
      </c>
      <c r="C566" s="10" t="s">
        <v>878</v>
      </c>
      <c r="D566" s="10" t="s">
        <v>54</v>
      </c>
      <c r="E566" s="10" t="s">
        <v>6</v>
      </c>
      <c r="F566" s="10" t="s">
        <v>74</v>
      </c>
      <c r="G566" s="10" t="s">
        <v>29</v>
      </c>
      <c r="H566" s="13">
        <v>3875601.3620000002</v>
      </c>
      <c r="I566" s="15">
        <f>IF(Table1[[#This Row],[Salary]]&lt;1000000,Table1[[#This Row],[Salary]]*0.05,Table1[[#This Row],[Salary]]*0.1)</f>
        <v>387560.13620000007</v>
      </c>
      <c r="J566" s="15">
        <f>Table1[[#This Row],[Salary]]+Table1[[#This Row],[Bonus]]</f>
        <v>4263161.4982000003</v>
      </c>
      <c r="K566" s="25">
        <f>COUNTA(Table1[Employee_ID])</f>
        <v>1000</v>
      </c>
      <c r="L566" s="1">
        <f>SUM(Table1[Salary])</f>
        <v>3119391523.8580012</v>
      </c>
      <c r="M566" s="15">
        <f>AVERAGE(Table1[Salary])</f>
        <v>3119391.5238580015</v>
      </c>
      <c r="N566" s="29">
        <f>SUM(Table1[Bonus])</f>
        <v>308244983.02069992</v>
      </c>
    </row>
    <row r="567" spans="1:14" ht="12.75" customHeight="1" x14ac:dyDescent="0.25">
      <c r="A567" s="2">
        <v>479</v>
      </c>
      <c r="B567" s="10" t="s">
        <v>786</v>
      </c>
      <c r="C567" s="10" t="s">
        <v>879</v>
      </c>
      <c r="D567" s="10" t="s">
        <v>324</v>
      </c>
      <c r="E567" s="10" t="s">
        <v>10</v>
      </c>
      <c r="F567" s="10" t="s">
        <v>109</v>
      </c>
      <c r="G567" s="10" t="s">
        <v>71</v>
      </c>
      <c r="H567" s="13">
        <v>2494334.4420000003</v>
      </c>
      <c r="I567" s="15">
        <f>IF(Table1[[#This Row],[Salary]]&lt;1000000,Table1[[#This Row],[Salary]]*0.05,Table1[[#This Row],[Salary]]*0.1)</f>
        <v>249433.44420000003</v>
      </c>
      <c r="J567" s="15">
        <f>Table1[[#This Row],[Salary]]+Table1[[#This Row],[Bonus]]</f>
        <v>2743767.8862000005</v>
      </c>
      <c r="K567" s="25">
        <f>COUNTA(Table1[Employee_ID])</f>
        <v>1000</v>
      </c>
      <c r="L567" s="1">
        <f>SUM(Table1[Salary])</f>
        <v>3119391523.8580012</v>
      </c>
      <c r="M567" s="15">
        <f>AVERAGE(Table1[Salary])</f>
        <v>3119391.5238580015</v>
      </c>
      <c r="N567" s="29">
        <f>SUM(Table1[Bonus])</f>
        <v>308244983.02069992</v>
      </c>
    </row>
    <row r="568" spans="1:14" ht="12.75" customHeight="1" x14ac:dyDescent="0.25">
      <c r="A568" s="2">
        <v>480</v>
      </c>
      <c r="B568" s="10" t="s">
        <v>825</v>
      </c>
      <c r="C568" s="10" t="s">
        <v>880</v>
      </c>
      <c r="D568" s="10" t="s">
        <v>488</v>
      </c>
      <c r="E568" s="10" t="s">
        <v>63</v>
      </c>
      <c r="F568" s="10" t="s">
        <v>64</v>
      </c>
      <c r="G568" s="10" t="s">
        <v>35</v>
      </c>
      <c r="H568" s="13">
        <v>2757913.406</v>
      </c>
      <c r="I568" s="15">
        <f>IF(Table1[[#This Row],[Salary]]&lt;1000000,Table1[[#This Row],[Salary]]*0.05,Table1[[#This Row],[Salary]]*0.1)</f>
        <v>275791.3406</v>
      </c>
      <c r="J568" s="15">
        <f>Table1[[#This Row],[Salary]]+Table1[[#This Row],[Bonus]]</f>
        <v>3033704.7466000002</v>
      </c>
      <c r="K568" s="25">
        <f>COUNTA(Table1[Employee_ID])</f>
        <v>1000</v>
      </c>
      <c r="L568" s="1">
        <f>SUM(Table1[Salary])</f>
        <v>3119391523.8580012</v>
      </c>
      <c r="M568" s="15">
        <f>AVERAGE(Table1[Salary])</f>
        <v>3119391.5238580015</v>
      </c>
      <c r="N568" s="29">
        <f>SUM(Table1[Bonus])</f>
        <v>308244983.02069992</v>
      </c>
    </row>
    <row r="569" spans="1:14" ht="12.75" customHeight="1" x14ac:dyDescent="0.25">
      <c r="A569" s="2">
        <v>481</v>
      </c>
      <c r="B569" s="10" t="s">
        <v>881</v>
      </c>
      <c r="C569" s="10" t="s">
        <v>369</v>
      </c>
      <c r="D569" s="10" t="s">
        <v>32</v>
      </c>
      <c r="E569" s="10" t="s">
        <v>10</v>
      </c>
      <c r="F569" s="10" t="s">
        <v>131</v>
      </c>
      <c r="G569" s="10" t="s">
        <v>23</v>
      </c>
      <c r="H569" s="13">
        <v>5829159.7379999999</v>
      </c>
      <c r="I569" s="15">
        <f>IF(Table1[[#This Row],[Salary]]&lt;1000000,Table1[[#This Row],[Salary]]*0.05,Table1[[#This Row],[Salary]]*0.1)</f>
        <v>582915.97380000004</v>
      </c>
      <c r="J569" s="15">
        <f>Table1[[#This Row],[Salary]]+Table1[[#This Row],[Bonus]]</f>
        <v>6412075.7117999997</v>
      </c>
      <c r="K569" s="25">
        <f>COUNTA(Table1[Employee_ID])</f>
        <v>1000</v>
      </c>
      <c r="L569" s="1">
        <f>SUM(Table1[Salary])</f>
        <v>3119391523.8580012</v>
      </c>
      <c r="M569" s="15">
        <f>AVERAGE(Table1[Salary])</f>
        <v>3119391.5238580015</v>
      </c>
      <c r="N569" s="29">
        <f>SUM(Table1[Bonus])</f>
        <v>308244983.02069992</v>
      </c>
    </row>
    <row r="570" spans="1:14" ht="12.75" customHeight="1" x14ac:dyDescent="0.25">
      <c r="A570" s="2">
        <v>482</v>
      </c>
      <c r="B570" s="10" t="s">
        <v>178</v>
      </c>
      <c r="C570" s="10" t="s">
        <v>882</v>
      </c>
      <c r="D570" s="10" t="s">
        <v>59</v>
      </c>
      <c r="E570" s="10" t="s">
        <v>13</v>
      </c>
      <c r="F570" s="10" t="s">
        <v>67</v>
      </c>
      <c r="G570" s="10" t="s">
        <v>56</v>
      </c>
      <c r="H570" s="13">
        <v>4765050.648</v>
      </c>
      <c r="I570" s="15">
        <f>IF(Table1[[#This Row],[Salary]]&lt;1000000,Table1[[#This Row],[Salary]]*0.05,Table1[[#This Row],[Salary]]*0.1)</f>
        <v>476505.06480000005</v>
      </c>
      <c r="J570" s="15">
        <f>Table1[[#This Row],[Salary]]+Table1[[#This Row],[Bonus]]</f>
        <v>5241555.7127999999</v>
      </c>
      <c r="K570" s="25">
        <f>COUNTA(Table1[Employee_ID])</f>
        <v>1000</v>
      </c>
      <c r="L570" s="1">
        <f>SUM(Table1[Salary])</f>
        <v>3119391523.8580012</v>
      </c>
      <c r="M570" s="15">
        <f>AVERAGE(Table1[Salary])</f>
        <v>3119391.5238580015</v>
      </c>
      <c r="N570" s="29">
        <f>SUM(Table1[Bonus])</f>
        <v>308244983.02069992</v>
      </c>
    </row>
    <row r="571" spans="1:14" ht="12.75" customHeight="1" x14ac:dyDescent="0.25">
      <c r="A571" s="2">
        <v>483</v>
      </c>
      <c r="B571" s="10" t="s">
        <v>883</v>
      </c>
      <c r="C571" s="10" t="s">
        <v>884</v>
      </c>
      <c r="D571" s="10" t="s">
        <v>125</v>
      </c>
      <c r="E571" s="10" t="s">
        <v>63</v>
      </c>
      <c r="F571" s="10" t="s">
        <v>113</v>
      </c>
      <c r="G571" s="10" t="s">
        <v>48</v>
      </c>
      <c r="H571" s="13">
        <v>4927620.1979999999</v>
      </c>
      <c r="I571" s="15">
        <f>IF(Table1[[#This Row],[Salary]]&lt;1000000,Table1[[#This Row],[Salary]]*0.05,Table1[[#This Row],[Salary]]*0.1)</f>
        <v>492762.01980000001</v>
      </c>
      <c r="J571" s="15">
        <f>Table1[[#This Row],[Salary]]+Table1[[#This Row],[Bonus]]</f>
        <v>5420382.2177999998</v>
      </c>
      <c r="K571" s="25">
        <f>COUNTA(Table1[Employee_ID])</f>
        <v>1000</v>
      </c>
      <c r="L571" s="1">
        <f>SUM(Table1[Salary])</f>
        <v>3119391523.8580012</v>
      </c>
      <c r="M571" s="15">
        <f>AVERAGE(Table1[Salary])</f>
        <v>3119391.5238580015</v>
      </c>
      <c r="N571" s="29">
        <f>SUM(Table1[Bonus])</f>
        <v>308244983.02069992</v>
      </c>
    </row>
    <row r="572" spans="1:14" ht="12.75" customHeight="1" x14ac:dyDescent="0.25">
      <c r="A572" s="2">
        <v>484</v>
      </c>
      <c r="B572" s="10" t="s">
        <v>885</v>
      </c>
      <c r="C572" s="10" t="s">
        <v>886</v>
      </c>
      <c r="D572" s="10" t="s">
        <v>77</v>
      </c>
      <c r="E572" s="10" t="s">
        <v>33</v>
      </c>
      <c r="F572" s="10" t="s">
        <v>47</v>
      </c>
      <c r="G572" s="10" t="s">
        <v>23</v>
      </c>
      <c r="H572" s="13">
        <v>5455134.9220000003</v>
      </c>
      <c r="I572" s="15">
        <f>IF(Table1[[#This Row],[Salary]]&lt;1000000,Table1[[#This Row],[Salary]]*0.05,Table1[[#This Row],[Salary]]*0.1)</f>
        <v>545513.4922000001</v>
      </c>
      <c r="J572" s="15">
        <f>Table1[[#This Row],[Salary]]+Table1[[#This Row],[Bonus]]</f>
        <v>6000648.4142000005</v>
      </c>
      <c r="K572" s="25">
        <f>COUNTA(Table1[Employee_ID])</f>
        <v>1000</v>
      </c>
      <c r="L572" s="1">
        <f>SUM(Table1[Salary])</f>
        <v>3119391523.8580012</v>
      </c>
      <c r="M572" s="15">
        <f>AVERAGE(Table1[Salary])</f>
        <v>3119391.5238580015</v>
      </c>
      <c r="N572" s="29">
        <f>SUM(Table1[Bonus])</f>
        <v>308244983.02069992</v>
      </c>
    </row>
    <row r="573" spans="1:14" ht="12.75" customHeight="1" x14ac:dyDescent="0.25">
      <c r="A573" s="2">
        <v>485</v>
      </c>
      <c r="B573" s="10" t="s">
        <v>843</v>
      </c>
      <c r="C573" s="10" t="s">
        <v>887</v>
      </c>
      <c r="D573" s="10" t="s">
        <v>128</v>
      </c>
      <c r="E573" s="10" t="s">
        <v>63</v>
      </c>
      <c r="F573" s="10" t="s">
        <v>131</v>
      </c>
      <c r="G573" s="10" t="s">
        <v>56</v>
      </c>
      <c r="H573" s="13">
        <v>554977.946</v>
      </c>
      <c r="I573" s="15">
        <f>IF(Table1[[#This Row],[Salary]]&lt;1000000,Table1[[#This Row],[Salary]]*0.05,Table1[[#This Row],[Salary]]*0.1)</f>
        <v>27748.897300000001</v>
      </c>
      <c r="J573" s="15">
        <f>Table1[[#This Row],[Salary]]+Table1[[#This Row],[Bonus]]</f>
        <v>582726.84329999995</v>
      </c>
      <c r="K573" s="25">
        <f>COUNTA(Table1[Employee_ID])</f>
        <v>1000</v>
      </c>
      <c r="L573" s="1">
        <f>SUM(Table1[Salary])</f>
        <v>3119391523.8580012</v>
      </c>
      <c r="M573" s="15">
        <f>AVERAGE(Table1[Salary])</f>
        <v>3119391.5238580015</v>
      </c>
      <c r="N573" s="29">
        <f>SUM(Table1[Bonus])</f>
        <v>308244983.02069992</v>
      </c>
    </row>
    <row r="574" spans="1:14" ht="12.75" customHeight="1" x14ac:dyDescent="0.25">
      <c r="A574" s="2">
        <v>486</v>
      </c>
      <c r="B574" s="10" t="s">
        <v>888</v>
      </c>
      <c r="C574" s="10" t="s">
        <v>889</v>
      </c>
      <c r="D574" s="10" t="s">
        <v>377</v>
      </c>
      <c r="E574" s="10" t="s">
        <v>27</v>
      </c>
      <c r="F574" s="10" t="s">
        <v>85</v>
      </c>
      <c r="G574" s="10" t="s">
        <v>71</v>
      </c>
      <c r="H574" s="13">
        <v>2638785.5179999997</v>
      </c>
      <c r="I574" s="15">
        <f>IF(Table1[[#This Row],[Salary]]&lt;1000000,Table1[[#This Row],[Salary]]*0.05,Table1[[#This Row],[Salary]]*0.1)</f>
        <v>263878.55179999996</v>
      </c>
      <c r="J574" s="15">
        <f>Table1[[#This Row],[Salary]]+Table1[[#This Row],[Bonus]]</f>
        <v>2902664.0697999997</v>
      </c>
      <c r="K574" s="25">
        <f>COUNTA(Table1[Employee_ID])</f>
        <v>1000</v>
      </c>
      <c r="L574" s="1">
        <f>SUM(Table1[Salary])</f>
        <v>3119391523.8580012</v>
      </c>
      <c r="M574" s="15">
        <f>AVERAGE(Table1[Salary])</f>
        <v>3119391.5238580015</v>
      </c>
      <c r="N574" s="29">
        <f>SUM(Table1[Bonus])</f>
        <v>308244983.02069992</v>
      </c>
    </row>
    <row r="575" spans="1:14" ht="12.75" customHeight="1" x14ac:dyDescent="0.25">
      <c r="A575" s="2">
        <v>487</v>
      </c>
      <c r="B575" s="10" t="s">
        <v>175</v>
      </c>
      <c r="C575" s="10" t="s">
        <v>890</v>
      </c>
      <c r="D575" s="10" t="s">
        <v>140</v>
      </c>
      <c r="E575" s="10" t="s">
        <v>14</v>
      </c>
      <c r="F575" s="10" t="s">
        <v>51</v>
      </c>
      <c r="G575" s="10" t="s">
        <v>29</v>
      </c>
      <c r="H575" s="13">
        <v>1025879.872</v>
      </c>
      <c r="I575" s="15">
        <f>IF(Table1[[#This Row],[Salary]]&lt;1000000,Table1[[#This Row],[Salary]]*0.05,Table1[[#This Row],[Salary]]*0.1)</f>
        <v>102587.9872</v>
      </c>
      <c r="J575" s="15">
        <f>Table1[[#This Row],[Salary]]+Table1[[#This Row],[Bonus]]</f>
        <v>1128467.8592000001</v>
      </c>
      <c r="K575" s="25">
        <f>COUNTA(Table1[Employee_ID])</f>
        <v>1000</v>
      </c>
      <c r="L575" s="1">
        <f>SUM(Table1[Salary])</f>
        <v>3119391523.8580012</v>
      </c>
      <c r="M575" s="15">
        <f>AVERAGE(Table1[Salary])</f>
        <v>3119391.5238580015</v>
      </c>
      <c r="N575" s="29">
        <f>SUM(Table1[Bonus])</f>
        <v>308244983.02069992</v>
      </c>
    </row>
    <row r="576" spans="1:14" ht="12.75" customHeight="1" x14ac:dyDescent="0.25">
      <c r="A576" s="2">
        <v>488</v>
      </c>
      <c r="B576" s="10" t="s">
        <v>834</v>
      </c>
      <c r="C576" s="10" t="s">
        <v>865</v>
      </c>
      <c r="D576" s="10" t="s">
        <v>32</v>
      </c>
      <c r="E576" s="10" t="s">
        <v>27</v>
      </c>
      <c r="F576" s="10" t="s">
        <v>106</v>
      </c>
      <c r="G576" s="10" t="s">
        <v>29</v>
      </c>
      <c r="H576" s="13">
        <v>1572249.9819999998</v>
      </c>
      <c r="I576" s="15">
        <f>IF(Table1[[#This Row],[Salary]]&lt;1000000,Table1[[#This Row],[Salary]]*0.05,Table1[[#This Row],[Salary]]*0.1)</f>
        <v>157224.9982</v>
      </c>
      <c r="J576" s="15">
        <f>Table1[[#This Row],[Salary]]+Table1[[#This Row],[Bonus]]</f>
        <v>1729474.9801999999</v>
      </c>
      <c r="K576" s="25">
        <f>COUNTA(Table1[Employee_ID])</f>
        <v>1000</v>
      </c>
      <c r="L576" s="1">
        <f>SUM(Table1[Salary])</f>
        <v>3119391523.8580012</v>
      </c>
      <c r="M576" s="15">
        <f>AVERAGE(Table1[Salary])</f>
        <v>3119391.5238580015</v>
      </c>
      <c r="N576" s="29">
        <f>SUM(Table1[Bonus])</f>
        <v>308244983.02069992</v>
      </c>
    </row>
    <row r="577" spans="1:14" ht="12.75" customHeight="1" x14ac:dyDescent="0.25">
      <c r="A577" s="2">
        <v>489</v>
      </c>
      <c r="B577" s="10" t="s">
        <v>848</v>
      </c>
      <c r="C577" s="10" t="s">
        <v>850</v>
      </c>
      <c r="D577" s="10" t="s">
        <v>316</v>
      </c>
      <c r="E577" s="10" t="s">
        <v>27</v>
      </c>
      <c r="F577" s="10" t="s">
        <v>28</v>
      </c>
      <c r="G577" s="10" t="s">
        <v>56</v>
      </c>
      <c r="H577" s="13">
        <v>5163734.0320000006</v>
      </c>
      <c r="I577" s="15">
        <f>IF(Table1[[#This Row],[Salary]]&lt;1000000,Table1[[#This Row],[Salary]]*0.05,Table1[[#This Row],[Salary]]*0.1)</f>
        <v>516373.40320000006</v>
      </c>
      <c r="J577" s="15">
        <f>Table1[[#This Row],[Salary]]+Table1[[#This Row],[Bonus]]</f>
        <v>5680107.4352000002</v>
      </c>
      <c r="K577" s="25">
        <f>COUNTA(Table1[Employee_ID])</f>
        <v>1000</v>
      </c>
      <c r="L577" s="1">
        <f>SUM(Table1[Salary])</f>
        <v>3119391523.8580012</v>
      </c>
      <c r="M577" s="15">
        <f>AVERAGE(Table1[Salary])</f>
        <v>3119391.5238580015</v>
      </c>
      <c r="N577" s="29">
        <f>SUM(Table1[Bonus])</f>
        <v>308244983.02069992</v>
      </c>
    </row>
    <row r="578" spans="1:14" ht="12.75" customHeight="1" x14ac:dyDescent="0.25">
      <c r="A578" s="2">
        <v>491</v>
      </c>
      <c r="B578" s="10" t="s">
        <v>675</v>
      </c>
      <c r="C578" s="10" t="s">
        <v>409</v>
      </c>
      <c r="D578" s="10" t="s">
        <v>183</v>
      </c>
      <c r="E578" s="10" t="s">
        <v>63</v>
      </c>
      <c r="F578" s="10" t="s">
        <v>64</v>
      </c>
      <c r="G578" s="10" t="s">
        <v>23</v>
      </c>
      <c r="H578" s="13">
        <v>3194452.1460000002</v>
      </c>
      <c r="I578" s="15">
        <f>IF(Table1[[#This Row],[Salary]]&lt;1000000,Table1[[#This Row],[Salary]]*0.05,Table1[[#This Row],[Salary]]*0.1)</f>
        <v>319445.21460000006</v>
      </c>
      <c r="J578" s="15">
        <f>Table1[[#This Row],[Salary]]+Table1[[#This Row],[Bonus]]</f>
        <v>3513897.3606000002</v>
      </c>
      <c r="K578" s="25">
        <f>COUNTA(Table1[Employee_ID])</f>
        <v>1000</v>
      </c>
      <c r="L578" s="1">
        <f>SUM(Table1[Salary])</f>
        <v>3119391523.8580012</v>
      </c>
      <c r="M578" s="15">
        <f>AVERAGE(Table1[Salary])</f>
        <v>3119391.5238580015</v>
      </c>
      <c r="N578" s="29">
        <f>SUM(Table1[Bonus])</f>
        <v>308244983.02069992</v>
      </c>
    </row>
    <row r="579" spans="1:14" ht="12.75" customHeight="1" x14ac:dyDescent="0.25">
      <c r="A579" s="2">
        <v>492</v>
      </c>
      <c r="B579" s="10" t="s">
        <v>892</v>
      </c>
      <c r="C579" s="10" t="s">
        <v>369</v>
      </c>
      <c r="D579" s="10" t="s">
        <v>118</v>
      </c>
      <c r="E579" s="10" t="s">
        <v>27</v>
      </c>
      <c r="F579" s="10" t="s">
        <v>85</v>
      </c>
      <c r="G579" s="10" t="s">
        <v>23</v>
      </c>
      <c r="H579" s="13">
        <v>2069391.5719999999</v>
      </c>
      <c r="I579" s="15">
        <f>IF(Table1[[#This Row],[Salary]]&lt;1000000,Table1[[#This Row],[Salary]]*0.05,Table1[[#This Row],[Salary]]*0.1)</f>
        <v>206939.15720000002</v>
      </c>
      <c r="J579" s="15">
        <f>Table1[[#This Row],[Salary]]+Table1[[#This Row],[Bonus]]</f>
        <v>2276330.7291999999</v>
      </c>
      <c r="K579" s="25">
        <f>COUNTA(Table1[Employee_ID])</f>
        <v>1000</v>
      </c>
      <c r="L579" s="1">
        <f>SUM(Table1[Salary])</f>
        <v>3119391523.8580012</v>
      </c>
      <c r="M579" s="15">
        <f>AVERAGE(Table1[Salary])</f>
        <v>3119391.5238580015</v>
      </c>
      <c r="N579" s="29">
        <f>SUM(Table1[Bonus])</f>
        <v>308244983.02069992</v>
      </c>
    </row>
    <row r="580" spans="1:14" ht="12.75" customHeight="1" x14ac:dyDescent="0.25">
      <c r="A580" s="2">
        <v>493</v>
      </c>
      <c r="B580" s="10" t="s">
        <v>883</v>
      </c>
      <c r="C580" s="10" t="s">
        <v>744</v>
      </c>
      <c r="D580" s="10" t="s">
        <v>46</v>
      </c>
      <c r="E580" s="10" t="s">
        <v>13</v>
      </c>
      <c r="F580" s="10" t="s">
        <v>120</v>
      </c>
      <c r="G580" s="10" t="s">
        <v>29</v>
      </c>
      <c r="H580" s="13">
        <v>5735672.1900000004</v>
      </c>
      <c r="I580" s="15">
        <f>IF(Table1[[#This Row],[Salary]]&lt;1000000,Table1[[#This Row],[Salary]]*0.05,Table1[[#This Row],[Salary]]*0.1)</f>
        <v>573567.21900000004</v>
      </c>
      <c r="J580" s="15">
        <f>Table1[[#This Row],[Salary]]+Table1[[#This Row],[Bonus]]</f>
        <v>6309239.409</v>
      </c>
      <c r="K580" s="25">
        <f>COUNTA(Table1[Employee_ID])</f>
        <v>1000</v>
      </c>
      <c r="L580" s="1">
        <f>SUM(Table1[Salary])</f>
        <v>3119391523.8580012</v>
      </c>
      <c r="M580" s="15">
        <f>AVERAGE(Table1[Salary])</f>
        <v>3119391.5238580015</v>
      </c>
      <c r="N580" s="29">
        <f>SUM(Table1[Bonus])</f>
        <v>308244983.02069992</v>
      </c>
    </row>
    <row r="581" spans="1:14" ht="12.75" customHeight="1" x14ac:dyDescent="0.25">
      <c r="A581" s="2">
        <v>494</v>
      </c>
      <c r="B581" s="10" t="s">
        <v>893</v>
      </c>
      <c r="C581" s="10" t="s">
        <v>894</v>
      </c>
      <c r="D581" s="10" t="s">
        <v>488</v>
      </c>
      <c r="E581" s="10" t="s">
        <v>33</v>
      </c>
      <c r="F581" s="10" t="s">
        <v>55</v>
      </c>
      <c r="G581" s="10" t="s">
        <v>71</v>
      </c>
      <c r="H581" s="13">
        <v>4591623.3059999999</v>
      </c>
      <c r="I581" s="15">
        <f>IF(Table1[[#This Row],[Salary]]&lt;1000000,Table1[[#This Row],[Salary]]*0.05,Table1[[#This Row],[Salary]]*0.1)</f>
        <v>459162.33059999999</v>
      </c>
      <c r="J581" s="15">
        <f>Table1[[#This Row],[Salary]]+Table1[[#This Row],[Bonus]]</f>
        <v>5050785.6365999999</v>
      </c>
      <c r="K581" s="25">
        <f>COUNTA(Table1[Employee_ID])</f>
        <v>1000</v>
      </c>
      <c r="L581" s="1">
        <f>SUM(Table1[Salary])</f>
        <v>3119391523.8580012</v>
      </c>
      <c r="M581" s="15">
        <f>AVERAGE(Table1[Salary])</f>
        <v>3119391.5238580015</v>
      </c>
      <c r="N581" s="29">
        <f>SUM(Table1[Bonus])</f>
        <v>308244983.02069992</v>
      </c>
    </row>
    <row r="582" spans="1:14" ht="12.75" customHeight="1" x14ac:dyDescent="0.25">
      <c r="A582" s="2">
        <v>495</v>
      </c>
      <c r="B582" s="10" t="s">
        <v>895</v>
      </c>
      <c r="C582" s="10" t="s">
        <v>668</v>
      </c>
      <c r="D582" s="10" t="s">
        <v>377</v>
      </c>
      <c r="E582" s="10" t="s">
        <v>27</v>
      </c>
      <c r="F582" s="10" t="s">
        <v>106</v>
      </c>
      <c r="G582" s="10" t="s">
        <v>71</v>
      </c>
      <c r="H582" s="13">
        <v>3991892.372</v>
      </c>
      <c r="I582" s="15">
        <f>IF(Table1[[#This Row],[Salary]]&lt;1000000,Table1[[#This Row],[Salary]]*0.05,Table1[[#This Row],[Salary]]*0.1)</f>
        <v>399189.23720000003</v>
      </c>
      <c r="J582" s="15">
        <f>Table1[[#This Row],[Salary]]+Table1[[#This Row],[Bonus]]</f>
        <v>4391081.6091999998</v>
      </c>
      <c r="K582" s="25">
        <f>COUNTA(Table1[Employee_ID])</f>
        <v>1000</v>
      </c>
      <c r="L582" s="1">
        <f>SUM(Table1[Salary])</f>
        <v>3119391523.8580012</v>
      </c>
      <c r="M582" s="15">
        <f>AVERAGE(Table1[Salary])</f>
        <v>3119391.5238580015</v>
      </c>
      <c r="N582" s="29">
        <f>SUM(Table1[Bonus])</f>
        <v>308244983.02069992</v>
      </c>
    </row>
    <row r="583" spans="1:14" ht="12.75" customHeight="1" x14ac:dyDescent="0.25">
      <c r="A583" s="2">
        <v>496</v>
      </c>
      <c r="B583" s="10" t="s">
        <v>896</v>
      </c>
      <c r="C583" s="10" t="s">
        <v>897</v>
      </c>
      <c r="D583" s="10" t="s">
        <v>159</v>
      </c>
      <c r="E583" s="10" t="s">
        <v>2</v>
      </c>
      <c r="F583" s="10" t="s">
        <v>74</v>
      </c>
      <c r="G583" s="10" t="s">
        <v>29</v>
      </c>
      <c r="H583" s="13">
        <v>4631016.6159999995</v>
      </c>
      <c r="I583" s="15">
        <f>IF(Table1[[#This Row],[Salary]]&lt;1000000,Table1[[#This Row],[Salary]]*0.05,Table1[[#This Row],[Salary]]*0.1)</f>
        <v>463101.66159999999</v>
      </c>
      <c r="J583" s="15">
        <f>Table1[[#This Row],[Salary]]+Table1[[#This Row],[Bonus]]</f>
        <v>5094118.2775999997</v>
      </c>
      <c r="K583" s="25">
        <f>COUNTA(Table1[Employee_ID])</f>
        <v>1000</v>
      </c>
      <c r="L583" s="1">
        <f>SUM(Table1[Salary])</f>
        <v>3119391523.8580012</v>
      </c>
      <c r="M583" s="15">
        <f>AVERAGE(Table1[Salary])</f>
        <v>3119391.5238580015</v>
      </c>
      <c r="N583" s="29">
        <f>SUM(Table1[Bonus])</f>
        <v>308244983.02069992</v>
      </c>
    </row>
    <row r="584" spans="1:14" ht="12.75" customHeight="1" x14ac:dyDescent="0.25">
      <c r="A584" s="2">
        <v>497</v>
      </c>
      <c r="B584" s="10" t="s">
        <v>898</v>
      </c>
      <c r="C584" s="10" t="s">
        <v>899</v>
      </c>
      <c r="D584" s="10" t="s">
        <v>21</v>
      </c>
      <c r="E584" s="10" t="s">
        <v>6</v>
      </c>
      <c r="F584" s="10" t="s">
        <v>123</v>
      </c>
      <c r="G584" s="10" t="s">
        <v>23</v>
      </c>
      <c r="H584" s="13">
        <v>810143.054</v>
      </c>
      <c r="I584" s="15">
        <f>IF(Table1[[#This Row],[Salary]]&lt;1000000,Table1[[#This Row],[Salary]]*0.05,Table1[[#This Row],[Salary]]*0.1)</f>
        <v>40507.152700000006</v>
      </c>
      <c r="J584" s="15">
        <f>Table1[[#This Row],[Salary]]+Table1[[#This Row],[Bonus]]</f>
        <v>850650.20669999998</v>
      </c>
      <c r="K584" s="25">
        <f>COUNTA(Table1[Employee_ID])</f>
        <v>1000</v>
      </c>
      <c r="L584" s="1">
        <f>SUM(Table1[Salary])</f>
        <v>3119391523.8580012</v>
      </c>
      <c r="M584" s="15">
        <f>AVERAGE(Table1[Salary])</f>
        <v>3119391.5238580015</v>
      </c>
      <c r="N584" s="29">
        <f>SUM(Table1[Bonus])</f>
        <v>308244983.02069992</v>
      </c>
    </row>
    <row r="585" spans="1:14" ht="12.75" customHeight="1" x14ac:dyDescent="0.25">
      <c r="A585" s="2">
        <v>498</v>
      </c>
      <c r="B585" s="10" t="s">
        <v>847</v>
      </c>
      <c r="C585" s="10" t="s">
        <v>900</v>
      </c>
      <c r="D585" s="10" t="s">
        <v>26</v>
      </c>
      <c r="E585" s="10" t="s">
        <v>63</v>
      </c>
      <c r="F585" s="10" t="s">
        <v>113</v>
      </c>
      <c r="G585" s="10" t="s">
        <v>71</v>
      </c>
      <c r="H585" s="13">
        <v>488791.12200000003</v>
      </c>
      <c r="I585" s="15">
        <f>IF(Table1[[#This Row],[Salary]]&lt;1000000,Table1[[#This Row],[Salary]]*0.05,Table1[[#This Row],[Salary]]*0.1)</f>
        <v>24439.556100000002</v>
      </c>
      <c r="J585" s="15">
        <f>Table1[[#This Row],[Salary]]+Table1[[#This Row],[Bonus]]</f>
        <v>513230.67810000002</v>
      </c>
      <c r="K585" s="25">
        <f>COUNTA(Table1[Employee_ID])</f>
        <v>1000</v>
      </c>
      <c r="L585" s="1">
        <f>SUM(Table1[Salary])</f>
        <v>3119391523.8580012</v>
      </c>
      <c r="M585" s="15">
        <f>AVERAGE(Table1[Salary])</f>
        <v>3119391.5238580015</v>
      </c>
      <c r="N585" s="29">
        <f>SUM(Table1[Bonus])</f>
        <v>308244983.02069992</v>
      </c>
    </row>
    <row r="586" spans="1:14" ht="12.75" customHeight="1" x14ac:dyDescent="0.25">
      <c r="A586" s="2">
        <v>501</v>
      </c>
      <c r="B586" s="10" t="s">
        <v>903</v>
      </c>
      <c r="C586" s="10" t="s">
        <v>599</v>
      </c>
      <c r="D586" s="10" t="s">
        <v>32</v>
      </c>
      <c r="E586" s="10" t="s">
        <v>14</v>
      </c>
      <c r="F586" s="10" t="s">
        <v>222</v>
      </c>
      <c r="G586" s="10" t="s">
        <v>56</v>
      </c>
      <c r="H586" s="13">
        <v>4934886.71</v>
      </c>
      <c r="I586" s="15">
        <f>IF(Table1[[#This Row],[Salary]]&lt;1000000,Table1[[#This Row],[Salary]]*0.05,Table1[[#This Row],[Salary]]*0.1)</f>
        <v>493488.67100000003</v>
      </c>
      <c r="J586" s="15">
        <f>Table1[[#This Row],[Salary]]+Table1[[#This Row],[Bonus]]</f>
        <v>5428375.3810000001</v>
      </c>
      <c r="K586" s="25">
        <f>COUNTA(Table1[Employee_ID])</f>
        <v>1000</v>
      </c>
      <c r="L586" s="1">
        <f>SUM(Table1[Salary])</f>
        <v>3119391523.8580012</v>
      </c>
      <c r="M586" s="15">
        <f>AVERAGE(Table1[Salary])</f>
        <v>3119391.5238580015</v>
      </c>
      <c r="N586" s="29">
        <f>SUM(Table1[Bonus])</f>
        <v>308244983.02069992</v>
      </c>
    </row>
    <row r="587" spans="1:14" ht="12.75" customHeight="1" x14ac:dyDescent="0.25">
      <c r="A587" s="2">
        <v>502</v>
      </c>
      <c r="B587" s="10" t="s">
        <v>904</v>
      </c>
      <c r="C587" s="10" t="s">
        <v>905</v>
      </c>
      <c r="D587" s="10" t="s">
        <v>46</v>
      </c>
      <c r="E587" s="10" t="s">
        <v>27</v>
      </c>
      <c r="F587" s="10" t="s">
        <v>28</v>
      </c>
      <c r="G587" s="10" t="s">
        <v>29</v>
      </c>
      <c r="H587" s="13">
        <v>2518569.7520000003</v>
      </c>
      <c r="I587" s="15">
        <f>IF(Table1[[#This Row],[Salary]]&lt;1000000,Table1[[#This Row],[Salary]]*0.05,Table1[[#This Row],[Salary]]*0.1)</f>
        <v>251856.97520000004</v>
      </c>
      <c r="J587" s="15">
        <f>Table1[[#This Row],[Salary]]+Table1[[#This Row],[Bonus]]</f>
        <v>2770426.7272000005</v>
      </c>
      <c r="K587" s="25">
        <f>COUNTA(Table1[Employee_ID])</f>
        <v>1000</v>
      </c>
      <c r="L587" s="1">
        <f>SUM(Table1[Salary])</f>
        <v>3119391523.8580012</v>
      </c>
      <c r="M587" s="15">
        <f>AVERAGE(Table1[Salary])</f>
        <v>3119391.5238580015</v>
      </c>
      <c r="N587" s="29">
        <f>SUM(Table1[Bonus])</f>
        <v>308244983.02069992</v>
      </c>
    </row>
    <row r="588" spans="1:14" ht="12.75" customHeight="1" x14ac:dyDescent="0.25">
      <c r="A588" s="2">
        <v>503</v>
      </c>
      <c r="B588" s="10" t="s">
        <v>906</v>
      </c>
      <c r="C588" s="10" t="s">
        <v>373</v>
      </c>
      <c r="D588" s="10" t="s">
        <v>21</v>
      </c>
      <c r="E588" s="10" t="s">
        <v>2</v>
      </c>
      <c r="F588" s="10" t="s">
        <v>102</v>
      </c>
      <c r="G588" s="10" t="s">
        <v>56</v>
      </c>
      <c r="H588" s="13">
        <v>3276182.9160000002</v>
      </c>
      <c r="I588" s="15">
        <f>IF(Table1[[#This Row],[Salary]]&lt;1000000,Table1[[#This Row],[Salary]]*0.05,Table1[[#This Row],[Salary]]*0.1)</f>
        <v>327618.29160000006</v>
      </c>
      <c r="J588" s="15">
        <f>Table1[[#This Row],[Salary]]+Table1[[#This Row],[Bonus]]</f>
        <v>3603801.2076000003</v>
      </c>
      <c r="K588" s="25">
        <f>COUNTA(Table1[Employee_ID])</f>
        <v>1000</v>
      </c>
      <c r="L588" s="1">
        <f>SUM(Table1[Salary])</f>
        <v>3119391523.8580012</v>
      </c>
      <c r="M588" s="15">
        <f>AVERAGE(Table1[Salary])</f>
        <v>3119391.5238580015</v>
      </c>
      <c r="N588" s="29">
        <f>SUM(Table1[Bonus])</f>
        <v>308244983.02069992</v>
      </c>
    </row>
    <row r="589" spans="1:14" ht="12.75" customHeight="1" x14ac:dyDescent="0.25">
      <c r="A589" s="2">
        <v>504</v>
      </c>
      <c r="B589" s="10" t="s">
        <v>752</v>
      </c>
      <c r="C589" s="10" t="s">
        <v>907</v>
      </c>
      <c r="D589" s="10" t="s">
        <v>54</v>
      </c>
      <c r="E589" s="10" t="s">
        <v>63</v>
      </c>
      <c r="F589" s="10" t="s">
        <v>131</v>
      </c>
      <c r="G589" s="10" t="s">
        <v>29</v>
      </c>
      <c r="H589" s="13">
        <v>4918605.852</v>
      </c>
      <c r="I589" s="15">
        <f>IF(Table1[[#This Row],[Salary]]&lt;1000000,Table1[[#This Row],[Salary]]*0.05,Table1[[#This Row],[Salary]]*0.1)</f>
        <v>491860.58520000003</v>
      </c>
      <c r="J589" s="15">
        <f>Table1[[#This Row],[Salary]]+Table1[[#This Row],[Bonus]]</f>
        <v>5410466.4371999996</v>
      </c>
      <c r="K589" s="25">
        <f>COUNTA(Table1[Employee_ID])</f>
        <v>1000</v>
      </c>
      <c r="L589" s="1">
        <f>SUM(Table1[Salary])</f>
        <v>3119391523.8580012</v>
      </c>
      <c r="M589" s="15">
        <f>AVERAGE(Table1[Salary])</f>
        <v>3119391.5238580015</v>
      </c>
      <c r="N589" s="29">
        <f>SUM(Table1[Bonus])</f>
        <v>308244983.02069992</v>
      </c>
    </row>
    <row r="590" spans="1:14" ht="12.75" customHeight="1" x14ac:dyDescent="0.25">
      <c r="A590" s="2">
        <v>505</v>
      </c>
      <c r="B590" s="10" t="s">
        <v>825</v>
      </c>
      <c r="C590" s="10" t="s">
        <v>908</v>
      </c>
      <c r="D590" s="10" t="s">
        <v>59</v>
      </c>
      <c r="E590" s="10" t="s">
        <v>39</v>
      </c>
      <c r="F590" s="10" t="s">
        <v>40</v>
      </c>
      <c r="G590" s="10" t="s">
        <v>35</v>
      </c>
      <c r="H590" s="13">
        <v>833751.05599999998</v>
      </c>
      <c r="I590" s="15">
        <f>IF(Table1[[#This Row],[Salary]]&lt;1000000,Table1[[#This Row],[Salary]]*0.05,Table1[[#This Row],[Salary]]*0.1)</f>
        <v>41687.552800000005</v>
      </c>
      <c r="J590" s="15">
        <f>Table1[[#This Row],[Salary]]+Table1[[#This Row],[Bonus]]</f>
        <v>875438.60880000005</v>
      </c>
      <c r="K590" s="25">
        <f>COUNTA(Table1[Employee_ID])</f>
        <v>1000</v>
      </c>
      <c r="L590" s="1">
        <f>SUM(Table1[Salary])</f>
        <v>3119391523.8580012</v>
      </c>
      <c r="M590" s="15">
        <f>AVERAGE(Table1[Salary])</f>
        <v>3119391.5238580015</v>
      </c>
      <c r="N590" s="29">
        <f>SUM(Table1[Bonus])</f>
        <v>308244983.02069992</v>
      </c>
    </row>
    <row r="591" spans="1:14" ht="12.75" customHeight="1" x14ac:dyDescent="0.25">
      <c r="A591" s="2">
        <v>506</v>
      </c>
      <c r="B591" s="10" t="s">
        <v>909</v>
      </c>
      <c r="C591" s="10" t="s">
        <v>910</v>
      </c>
      <c r="D591" s="10" t="s">
        <v>21</v>
      </c>
      <c r="E591" s="10" t="s">
        <v>14</v>
      </c>
      <c r="F591" s="10" t="s">
        <v>234</v>
      </c>
      <c r="G591" s="10" t="s">
        <v>23</v>
      </c>
      <c r="H591" s="13">
        <v>5848422.0580000002</v>
      </c>
      <c r="I591" s="15">
        <f>IF(Table1[[#This Row],[Salary]]&lt;1000000,Table1[[#This Row],[Salary]]*0.05,Table1[[#This Row],[Salary]]*0.1)</f>
        <v>584842.2058</v>
      </c>
      <c r="J591" s="15">
        <f>Table1[[#This Row],[Salary]]+Table1[[#This Row],[Bonus]]</f>
        <v>6433264.2637999998</v>
      </c>
      <c r="K591" s="25">
        <f>COUNTA(Table1[Employee_ID])</f>
        <v>1000</v>
      </c>
      <c r="L591" s="1">
        <f>SUM(Table1[Salary])</f>
        <v>3119391523.8580012</v>
      </c>
      <c r="M591" s="15">
        <f>AVERAGE(Table1[Salary])</f>
        <v>3119391.5238580015</v>
      </c>
      <c r="N591" s="29">
        <f>SUM(Table1[Bonus])</f>
        <v>308244983.02069992</v>
      </c>
    </row>
    <row r="592" spans="1:14" ht="12.75" customHeight="1" x14ac:dyDescent="0.25">
      <c r="A592" s="2">
        <v>507</v>
      </c>
      <c r="B592" s="10" t="s">
        <v>911</v>
      </c>
      <c r="C592" s="10" t="s">
        <v>912</v>
      </c>
      <c r="D592" s="10" t="s">
        <v>46</v>
      </c>
      <c r="E592" s="10" t="s">
        <v>33</v>
      </c>
      <c r="F592" s="10" t="s">
        <v>34</v>
      </c>
      <c r="G592" s="10" t="s">
        <v>29</v>
      </c>
      <c r="H592" s="13">
        <v>2438863.1579999998</v>
      </c>
      <c r="I592" s="15">
        <f>IF(Table1[[#This Row],[Salary]]&lt;1000000,Table1[[#This Row],[Salary]]*0.05,Table1[[#This Row],[Salary]]*0.1)</f>
        <v>243886.31579999998</v>
      </c>
      <c r="J592" s="15">
        <f>Table1[[#This Row],[Salary]]+Table1[[#This Row],[Bonus]]</f>
        <v>2682749.4737999998</v>
      </c>
      <c r="K592" s="25">
        <f>COUNTA(Table1[Employee_ID])</f>
        <v>1000</v>
      </c>
      <c r="L592" s="1">
        <f>SUM(Table1[Salary])</f>
        <v>3119391523.8580012</v>
      </c>
      <c r="M592" s="15">
        <f>AVERAGE(Table1[Salary])</f>
        <v>3119391.5238580015</v>
      </c>
      <c r="N592" s="29">
        <f>SUM(Table1[Bonus])</f>
        <v>308244983.02069992</v>
      </c>
    </row>
    <row r="593" spans="1:14" ht="12.75" customHeight="1" x14ac:dyDescent="0.25">
      <c r="A593" s="2">
        <v>508</v>
      </c>
      <c r="B593" s="10" t="s">
        <v>913</v>
      </c>
      <c r="C593" s="10" t="s">
        <v>73</v>
      </c>
      <c r="D593" s="10" t="s">
        <v>59</v>
      </c>
      <c r="E593" s="10" t="s">
        <v>6</v>
      </c>
      <c r="F593" s="10" t="s">
        <v>144</v>
      </c>
      <c r="G593" s="10" t="s">
        <v>29</v>
      </c>
      <c r="H593" s="13">
        <v>2439927.716</v>
      </c>
      <c r="I593" s="15">
        <f>IF(Table1[[#This Row],[Salary]]&lt;1000000,Table1[[#This Row],[Salary]]*0.05,Table1[[#This Row],[Salary]]*0.1)</f>
        <v>243992.77160000001</v>
      </c>
      <c r="J593" s="15">
        <f>Table1[[#This Row],[Salary]]+Table1[[#This Row],[Bonus]]</f>
        <v>2683920.4876000001</v>
      </c>
      <c r="K593" s="25">
        <f>COUNTA(Table1[Employee_ID])</f>
        <v>1000</v>
      </c>
      <c r="L593" s="1">
        <f>SUM(Table1[Salary])</f>
        <v>3119391523.8580012</v>
      </c>
      <c r="M593" s="15">
        <f>AVERAGE(Table1[Salary])</f>
        <v>3119391.5238580015</v>
      </c>
      <c r="N593" s="29">
        <f>SUM(Table1[Bonus])</f>
        <v>308244983.02069992</v>
      </c>
    </row>
    <row r="594" spans="1:14" ht="12.75" customHeight="1" x14ac:dyDescent="0.25">
      <c r="A594" s="2">
        <v>509</v>
      </c>
      <c r="B594" s="10" t="s">
        <v>914</v>
      </c>
      <c r="C594" s="10" t="s">
        <v>915</v>
      </c>
      <c r="D594" s="10" t="s">
        <v>46</v>
      </c>
      <c r="E594" s="10" t="s">
        <v>13</v>
      </c>
      <c r="F594" s="10" t="s">
        <v>43</v>
      </c>
      <c r="G594" s="10" t="s">
        <v>23</v>
      </c>
      <c r="H594" s="13">
        <v>2615682.3939999999</v>
      </c>
      <c r="I594" s="15">
        <f>IF(Table1[[#This Row],[Salary]]&lt;1000000,Table1[[#This Row],[Salary]]*0.05,Table1[[#This Row],[Salary]]*0.1)</f>
        <v>261568.23939999999</v>
      </c>
      <c r="J594" s="15">
        <f>Table1[[#This Row],[Salary]]+Table1[[#This Row],[Bonus]]</f>
        <v>2877250.6333999997</v>
      </c>
      <c r="K594" s="25">
        <f>COUNTA(Table1[Employee_ID])</f>
        <v>1000</v>
      </c>
      <c r="L594" s="1">
        <f>SUM(Table1[Salary])</f>
        <v>3119391523.8580012</v>
      </c>
      <c r="M594" s="15">
        <f>AVERAGE(Table1[Salary])</f>
        <v>3119391.5238580015</v>
      </c>
      <c r="N594" s="29">
        <f>SUM(Table1[Bonus])</f>
        <v>308244983.02069992</v>
      </c>
    </row>
    <row r="595" spans="1:14" ht="12.75" customHeight="1" x14ac:dyDescent="0.25">
      <c r="A595" s="2">
        <v>510</v>
      </c>
      <c r="B595" s="10" t="s">
        <v>795</v>
      </c>
      <c r="C595" s="10" t="s">
        <v>916</v>
      </c>
      <c r="D595" s="10" t="s">
        <v>77</v>
      </c>
      <c r="E595" s="10" t="s">
        <v>2</v>
      </c>
      <c r="F595" s="10" t="s">
        <v>60</v>
      </c>
      <c r="G595" s="10" t="s">
        <v>29</v>
      </c>
      <c r="H595" s="13">
        <v>1970896.054</v>
      </c>
      <c r="I595" s="15">
        <f>IF(Table1[[#This Row],[Salary]]&lt;1000000,Table1[[#This Row],[Salary]]*0.05,Table1[[#This Row],[Salary]]*0.1)</f>
        <v>197089.6054</v>
      </c>
      <c r="J595" s="15">
        <f>Table1[[#This Row],[Salary]]+Table1[[#This Row],[Bonus]]</f>
        <v>2167985.6594000002</v>
      </c>
      <c r="K595" s="25">
        <f>COUNTA(Table1[Employee_ID])</f>
        <v>1000</v>
      </c>
      <c r="L595" s="1">
        <f>SUM(Table1[Salary])</f>
        <v>3119391523.8580012</v>
      </c>
      <c r="M595" s="15">
        <f>AVERAGE(Table1[Salary])</f>
        <v>3119391.5238580015</v>
      </c>
      <c r="N595" s="29">
        <f>SUM(Table1[Bonus])</f>
        <v>308244983.02069992</v>
      </c>
    </row>
    <row r="596" spans="1:14" ht="12.75" customHeight="1" x14ac:dyDescent="0.25">
      <c r="A596" s="2">
        <v>511</v>
      </c>
      <c r="B596" s="10" t="s">
        <v>917</v>
      </c>
      <c r="C596" s="10" t="s">
        <v>918</v>
      </c>
      <c r="D596" s="10" t="s">
        <v>21</v>
      </c>
      <c r="E596" s="10" t="s">
        <v>27</v>
      </c>
      <c r="F596" s="10" t="s">
        <v>85</v>
      </c>
      <c r="G596" s="10" t="s">
        <v>56</v>
      </c>
      <c r="H596" s="13">
        <v>5611830.1640000008</v>
      </c>
      <c r="I596" s="15">
        <f>IF(Table1[[#This Row],[Salary]]&lt;1000000,Table1[[#This Row],[Salary]]*0.05,Table1[[#This Row],[Salary]]*0.1)</f>
        <v>561183.01640000008</v>
      </c>
      <c r="J596" s="15">
        <f>Table1[[#This Row],[Salary]]+Table1[[#This Row],[Bonus]]</f>
        <v>6173013.1804000009</v>
      </c>
      <c r="K596" s="25">
        <f>COUNTA(Table1[Employee_ID])</f>
        <v>1000</v>
      </c>
      <c r="L596" s="1">
        <f>SUM(Table1[Salary])</f>
        <v>3119391523.8580012</v>
      </c>
      <c r="M596" s="15">
        <f>AVERAGE(Table1[Salary])</f>
        <v>3119391.5238580015</v>
      </c>
      <c r="N596" s="29">
        <f>SUM(Table1[Bonus])</f>
        <v>308244983.02069992</v>
      </c>
    </row>
    <row r="597" spans="1:14" ht="12.75" customHeight="1" x14ac:dyDescent="0.25">
      <c r="A597" s="2">
        <v>512</v>
      </c>
      <c r="B597" s="10" t="s">
        <v>427</v>
      </c>
      <c r="C597" s="10" t="s">
        <v>919</v>
      </c>
      <c r="D597" s="10" t="s">
        <v>59</v>
      </c>
      <c r="E597" s="10" t="s">
        <v>33</v>
      </c>
      <c r="F597" s="10" t="s">
        <v>47</v>
      </c>
      <c r="G597" s="10" t="s">
        <v>71</v>
      </c>
      <c r="H597" s="13">
        <v>3823347.0720000002</v>
      </c>
      <c r="I597" s="15">
        <f>IF(Table1[[#This Row],[Salary]]&lt;1000000,Table1[[#This Row],[Salary]]*0.05,Table1[[#This Row],[Salary]]*0.1)</f>
        <v>382334.70720000006</v>
      </c>
      <c r="J597" s="15">
        <f>Table1[[#This Row],[Salary]]+Table1[[#This Row],[Bonus]]</f>
        <v>4205681.7792000007</v>
      </c>
      <c r="K597" s="25">
        <f>COUNTA(Table1[Employee_ID])</f>
        <v>1000</v>
      </c>
      <c r="L597" s="1">
        <f>SUM(Table1[Salary])</f>
        <v>3119391523.8580012</v>
      </c>
      <c r="M597" s="15">
        <f>AVERAGE(Table1[Salary])</f>
        <v>3119391.5238580015</v>
      </c>
      <c r="N597" s="29">
        <f>SUM(Table1[Bonus])</f>
        <v>308244983.02069992</v>
      </c>
    </row>
    <row r="598" spans="1:14" ht="12.75" customHeight="1" x14ac:dyDescent="0.25">
      <c r="A598" s="2">
        <v>513</v>
      </c>
      <c r="B598" s="10" t="s">
        <v>375</v>
      </c>
      <c r="C598" s="10" t="s">
        <v>270</v>
      </c>
      <c r="D598" s="10" t="s">
        <v>21</v>
      </c>
      <c r="E598" s="10" t="s">
        <v>33</v>
      </c>
      <c r="F598" s="10" t="s">
        <v>55</v>
      </c>
      <c r="G598" s="10" t="s">
        <v>23</v>
      </c>
      <c r="H598" s="13">
        <v>2468283.67</v>
      </c>
      <c r="I598" s="15">
        <f>IF(Table1[[#This Row],[Salary]]&lt;1000000,Table1[[#This Row],[Salary]]*0.05,Table1[[#This Row],[Salary]]*0.1)</f>
        <v>246828.367</v>
      </c>
      <c r="J598" s="15">
        <f>Table1[[#This Row],[Salary]]+Table1[[#This Row],[Bonus]]</f>
        <v>2715112.037</v>
      </c>
      <c r="K598" s="25">
        <f>COUNTA(Table1[Employee_ID])</f>
        <v>1000</v>
      </c>
      <c r="L598" s="1">
        <f>SUM(Table1[Salary])</f>
        <v>3119391523.8580012</v>
      </c>
      <c r="M598" s="15">
        <f>AVERAGE(Table1[Salary])</f>
        <v>3119391.5238580015</v>
      </c>
      <c r="N598" s="29">
        <f>SUM(Table1[Bonus])</f>
        <v>308244983.02069992</v>
      </c>
    </row>
    <row r="599" spans="1:14" ht="12.75" customHeight="1" x14ac:dyDescent="0.25">
      <c r="A599" s="2">
        <v>514</v>
      </c>
      <c r="B599" s="10" t="s">
        <v>79</v>
      </c>
      <c r="C599" s="10" t="s">
        <v>920</v>
      </c>
      <c r="D599" s="10" t="s">
        <v>88</v>
      </c>
      <c r="E599" s="10" t="s">
        <v>14</v>
      </c>
      <c r="F599" s="10" t="s">
        <v>51</v>
      </c>
      <c r="G599" s="10" t="s">
        <v>71</v>
      </c>
      <c r="H599" s="13">
        <v>1677686.6980000001</v>
      </c>
      <c r="I599" s="15">
        <f>IF(Table1[[#This Row],[Salary]]&lt;1000000,Table1[[#This Row],[Salary]]*0.05,Table1[[#This Row],[Salary]]*0.1)</f>
        <v>167768.66980000003</v>
      </c>
      <c r="J599" s="15">
        <f>Table1[[#This Row],[Salary]]+Table1[[#This Row],[Bonus]]</f>
        <v>1845455.3678000001</v>
      </c>
      <c r="K599" s="25">
        <f>COUNTA(Table1[Employee_ID])</f>
        <v>1000</v>
      </c>
      <c r="L599" s="1">
        <f>SUM(Table1[Salary])</f>
        <v>3119391523.8580012</v>
      </c>
      <c r="M599" s="15">
        <f>AVERAGE(Table1[Salary])</f>
        <v>3119391.5238580015</v>
      </c>
      <c r="N599" s="29">
        <f>SUM(Table1[Bonus])</f>
        <v>308244983.02069992</v>
      </c>
    </row>
    <row r="600" spans="1:14" ht="12.75" customHeight="1" x14ac:dyDescent="0.25">
      <c r="A600" s="2">
        <v>515</v>
      </c>
      <c r="B600" s="10" t="s">
        <v>913</v>
      </c>
      <c r="C600" s="10" t="s">
        <v>921</v>
      </c>
      <c r="D600" s="10" t="s">
        <v>46</v>
      </c>
      <c r="E600" s="10" t="s">
        <v>63</v>
      </c>
      <c r="F600" s="10" t="s">
        <v>64</v>
      </c>
      <c r="G600" s="10" t="s">
        <v>56</v>
      </c>
      <c r="H600" s="13">
        <v>2456678.4720000001</v>
      </c>
      <c r="I600" s="15">
        <f>IF(Table1[[#This Row],[Salary]]&lt;1000000,Table1[[#This Row],[Salary]]*0.05,Table1[[#This Row],[Salary]]*0.1)</f>
        <v>245667.84720000002</v>
      </c>
      <c r="J600" s="15">
        <f>Table1[[#This Row],[Salary]]+Table1[[#This Row],[Bonus]]</f>
        <v>2702346.3192000003</v>
      </c>
      <c r="K600" s="25">
        <f>COUNTA(Table1[Employee_ID])</f>
        <v>1000</v>
      </c>
      <c r="L600" s="1">
        <f>SUM(Table1[Salary])</f>
        <v>3119391523.8580012</v>
      </c>
      <c r="M600" s="15">
        <f>AVERAGE(Table1[Salary])</f>
        <v>3119391.5238580015</v>
      </c>
      <c r="N600" s="29">
        <f>SUM(Table1[Bonus])</f>
        <v>308244983.02069992</v>
      </c>
    </row>
    <row r="601" spans="1:14" ht="12.75" customHeight="1" x14ac:dyDescent="0.25">
      <c r="A601" s="2">
        <v>517</v>
      </c>
      <c r="B601" s="10" t="s">
        <v>371</v>
      </c>
      <c r="C601" s="10" t="s">
        <v>835</v>
      </c>
      <c r="D601" s="10" t="s">
        <v>96</v>
      </c>
      <c r="E601" s="10" t="s">
        <v>27</v>
      </c>
      <c r="F601" s="10" t="s">
        <v>106</v>
      </c>
      <c r="G601" s="10" t="s">
        <v>29</v>
      </c>
      <c r="H601" s="13">
        <v>1275428.358</v>
      </c>
      <c r="I601" s="15">
        <f>IF(Table1[[#This Row],[Salary]]&lt;1000000,Table1[[#This Row],[Salary]]*0.05,Table1[[#This Row],[Salary]]*0.1)</f>
        <v>127542.8358</v>
      </c>
      <c r="J601" s="15">
        <f>Table1[[#This Row],[Salary]]+Table1[[#This Row],[Bonus]]</f>
        <v>1402971.1938</v>
      </c>
      <c r="K601" s="25">
        <f>COUNTA(Table1[Employee_ID])</f>
        <v>1000</v>
      </c>
      <c r="L601" s="1">
        <f>SUM(Table1[Salary])</f>
        <v>3119391523.8580012</v>
      </c>
      <c r="M601" s="15">
        <f>AVERAGE(Table1[Salary])</f>
        <v>3119391.5238580015</v>
      </c>
      <c r="N601" s="29">
        <f>SUM(Table1[Bonus])</f>
        <v>308244983.02069992</v>
      </c>
    </row>
    <row r="602" spans="1:14" ht="12.75" customHeight="1" x14ac:dyDescent="0.25">
      <c r="A602" s="2">
        <v>518</v>
      </c>
      <c r="B602" s="10" t="s">
        <v>923</v>
      </c>
      <c r="C602" s="10" t="s">
        <v>924</v>
      </c>
      <c r="D602" s="10" t="s">
        <v>99</v>
      </c>
      <c r="E602" s="10" t="s">
        <v>33</v>
      </c>
      <c r="F602" s="10" t="s">
        <v>34</v>
      </c>
      <c r="G602" s="10" t="s">
        <v>56</v>
      </c>
      <c r="H602" s="13">
        <v>1938824.058</v>
      </c>
      <c r="I602" s="15">
        <f>IF(Table1[[#This Row],[Salary]]&lt;1000000,Table1[[#This Row],[Salary]]*0.05,Table1[[#This Row],[Salary]]*0.1)</f>
        <v>193882.40580000001</v>
      </c>
      <c r="J602" s="15">
        <f>Table1[[#This Row],[Salary]]+Table1[[#This Row],[Bonus]]</f>
        <v>2132706.4638</v>
      </c>
      <c r="K602" s="25">
        <f>COUNTA(Table1[Employee_ID])</f>
        <v>1000</v>
      </c>
      <c r="L602" s="1">
        <f>SUM(Table1[Salary])</f>
        <v>3119391523.8580012</v>
      </c>
      <c r="M602" s="15">
        <f>AVERAGE(Table1[Salary])</f>
        <v>3119391.5238580015</v>
      </c>
      <c r="N602" s="29">
        <f>SUM(Table1[Bonus])</f>
        <v>308244983.02069992</v>
      </c>
    </row>
    <row r="603" spans="1:14" ht="12.75" customHeight="1" x14ac:dyDescent="0.25">
      <c r="A603" s="2">
        <v>519</v>
      </c>
      <c r="B603" s="10" t="s">
        <v>925</v>
      </c>
      <c r="C603" s="10" t="s">
        <v>926</v>
      </c>
      <c r="D603" s="10" t="s">
        <v>96</v>
      </c>
      <c r="E603" s="10" t="s">
        <v>33</v>
      </c>
      <c r="F603" s="10" t="s">
        <v>47</v>
      </c>
      <c r="G603" s="10" t="s">
        <v>56</v>
      </c>
      <c r="H603" s="13">
        <v>2137761.148</v>
      </c>
      <c r="I603" s="15">
        <f>IF(Table1[[#This Row],[Salary]]&lt;1000000,Table1[[#This Row],[Salary]]*0.05,Table1[[#This Row],[Salary]]*0.1)</f>
        <v>213776.11480000001</v>
      </c>
      <c r="J603" s="15">
        <f>Table1[[#This Row],[Salary]]+Table1[[#This Row],[Bonus]]</f>
        <v>2351537.2628000001</v>
      </c>
      <c r="K603" s="25">
        <f>COUNTA(Table1[Employee_ID])</f>
        <v>1000</v>
      </c>
      <c r="L603" s="1">
        <f>SUM(Table1[Salary])</f>
        <v>3119391523.8580012</v>
      </c>
      <c r="M603" s="15">
        <f>AVERAGE(Table1[Salary])</f>
        <v>3119391.5238580015</v>
      </c>
      <c r="N603" s="29">
        <f>SUM(Table1[Bonus])</f>
        <v>308244983.02069992</v>
      </c>
    </row>
    <row r="604" spans="1:14" ht="12.75" customHeight="1" x14ac:dyDescent="0.25">
      <c r="A604" s="2">
        <v>520</v>
      </c>
      <c r="B604" s="10" t="s">
        <v>927</v>
      </c>
      <c r="C604" s="10" t="s">
        <v>928</v>
      </c>
      <c r="D604" s="10" t="s">
        <v>105</v>
      </c>
      <c r="E604" s="10" t="s">
        <v>27</v>
      </c>
      <c r="F604" s="10" t="s">
        <v>28</v>
      </c>
      <c r="G604" s="10" t="s">
        <v>23</v>
      </c>
      <c r="H604" s="13">
        <v>1631183.12</v>
      </c>
      <c r="I604" s="15">
        <f>IF(Table1[[#This Row],[Salary]]&lt;1000000,Table1[[#This Row],[Salary]]*0.05,Table1[[#This Row],[Salary]]*0.1)</f>
        <v>163118.31200000003</v>
      </c>
      <c r="J604" s="15">
        <f>Table1[[#This Row],[Salary]]+Table1[[#This Row],[Bonus]]</f>
        <v>1794301.432</v>
      </c>
      <c r="K604" s="25">
        <f>COUNTA(Table1[Employee_ID])</f>
        <v>1000</v>
      </c>
      <c r="L604" s="1">
        <f>SUM(Table1[Salary])</f>
        <v>3119391523.8580012</v>
      </c>
      <c r="M604" s="15">
        <f>AVERAGE(Table1[Salary])</f>
        <v>3119391.5238580015</v>
      </c>
      <c r="N604" s="29">
        <f>SUM(Table1[Bonus])</f>
        <v>308244983.02069992</v>
      </c>
    </row>
    <row r="605" spans="1:14" ht="12.75" customHeight="1" x14ac:dyDescent="0.25">
      <c r="A605" s="2">
        <v>521</v>
      </c>
      <c r="B605" s="10" t="s">
        <v>929</v>
      </c>
      <c r="C605" s="10" t="s">
        <v>856</v>
      </c>
      <c r="D605" s="10" t="s">
        <v>54</v>
      </c>
      <c r="E605" s="10" t="s">
        <v>27</v>
      </c>
      <c r="F605" s="10" t="s">
        <v>85</v>
      </c>
      <c r="G605" s="10" t="s">
        <v>29</v>
      </c>
      <c r="H605" s="13">
        <v>2931535.47</v>
      </c>
      <c r="I605" s="15">
        <f>IF(Table1[[#This Row],[Salary]]&lt;1000000,Table1[[#This Row],[Salary]]*0.05,Table1[[#This Row],[Salary]]*0.1)</f>
        <v>293153.54700000002</v>
      </c>
      <c r="J605" s="15">
        <f>Table1[[#This Row],[Salary]]+Table1[[#This Row],[Bonus]]</f>
        <v>3224689.017</v>
      </c>
      <c r="K605" s="25">
        <f>COUNTA(Table1[Employee_ID])</f>
        <v>1000</v>
      </c>
      <c r="L605" s="1">
        <f>SUM(Table1[Salary])</f>
        <v>3119391523.8580012</v>
      </c>
      <c r="M605" s="15">
        <f>AVERAGE(Table1[Salary])</f>
        <v>3119391.5238580015</v>
      </c>
      <c r="N605" s="29">
        <f>SUM(Table1[Bonus])</f>
        <v>308244983.02069992</v>
      </c>
    </row>
    <row r="606" spans="1:14" ht="12.75" customHeight="1" x14ac:dyDescent="0.25">
      <c r="A606" s="2">
        <v>522</v>
      </c>
      <c r="B606" s="10" t="s">
        <v>930</v>
      </c>
      <c r="C606" s="10" t="s">
        <v>931</v>
      </c>
      <c r="D606" s="10" t="s">
        <v>112</v>
      </c>
      <c r="E606" s="10" t="s">
        <v>27</v>
      </c>
      <c r="F606" s="10" t="s">
        <v>106</v>
      </c>
      <c r="G606" s="10" t="s">
        <v>35</v>
      </c>
      <c r="H606" s="13">
        <v>1256609.118</v>
      </c>
      <c r="I606" s="15">
        <f>IF(Table1[[#This Row],[Salary]]&lt;1000000,Table1[[#This Row],[Salary]]*0.05,Table1[[#This Row],[Salary]]*0.1)</f>
        <v>125660.9118</v>
      </c>
      <c r="J606" s="15">
        <f>Table1[[#This Row],[Salary]]+Table1[[#This Row],[Bonus]]</f>
        <v>1382270.0298000001</v>
      </c>
      <c r="K606" s="25">
        <f>COUNTA(Table1[Employee_ID])</f>
        <v>1000</v>
      </c>
      <c r="L606" s="1">
        <f>SUM(Table1[Salary])</f>
        <v>3119391523.8580012</v>
      </c>
      <c r="M606" s="15">
        <f>AVERAGE(Table1[Salary])</f>
        <v>3119391.5238580015</v>
      </c>
      <c r="N606" s="29">
        <f>SUM(Table1[Bonus])</f>
        <v>308244983.02069992</v>
      </c>
    </row>
    <row r="607" spans="1:14" ht="12.75" customHeight="1" x14ac:dyDescent="0.25">
      <c r="A607" s="2">
        <v>524</v>
      </c>
      <c r="B607" s="10" t="s">
        <v>933</v>
      </c>
      <c r="C607" s="10" t="s">
        <v>691</v>
      </c>
      <c r="D607" s="10" t="s">
        <v>118</v>
      </c>
      <c r="E607" s="10" t="s">
        <v>39</v>
      </c>
      <c r="F607" s="10" t="s">
        <v>186</v>
      </c>
      <c r="G607" s="10" t="s">
        <v>48</v>
      </c>
      <c r="H607" s="13">
        <v>3558834.142</v>
      </c>
      <c r="I607" s="15">
        <f>IF(Table1[[#This Row],[Salary]]&lt;1000000,Table1[[#This Row],[Salary]]*0.05,Table1[[#This Row],[Salary]]*0.1)</f>
        <v>355883.4142</v>
      </c>
      <c r="J607" s="15">
        <f>Table1[[#This Row],[Salary]]+Table1[[#This Row],[Bonus]]</f>
        <v>3914717.5562</v>
      </c>
      <c r="K607" s="25">
        <f>COUNTA(Table1[Employee_ID])</f>
        <v>1000</v>
      </c>
      <c r="L607" s="1">
        <f>SUM(Table1[Salary])</f>
        <v>3119391523.8580012</v>
      </c>
      <c r="M607" s="15">
        <f>AVERAGE(Table1[Salary])</f>
        <v>3119391.5238580015</v>
      </c>
      <c r="N607" s="29">
        <f>SUM(Table1[Bonus])</f>
        <v>308244983.02069992</v>
      </c>
    </row>
    <row r="608" spans="1:14" ht="12.75" customHeight="1" x14ac:dyDescent="0.25">
      <c r="A608" s="2">
        <v>525</v>
      </c>
      <c r="B608" s="10" t="s">
        <v>934</v>
      </c>
      <c r="C608" s="10" t="s">
        <v>935</v>
      </c>
      <c r="D608" s="10" t="s">
        <v>88</v>
      </c>
      <c r="E608" s="10" t="s">
        <v>13</v>
      </c>
      <c r="F608" s="10" t="s">
        <v>67</v>
      </c>
      <c r="G608" s="10" t="s">
        <v>29</v>
      </c>
      <c r="H608" s="13">
        <v>5564445.0899999999</v>
      </c>
      <c r="I608" s="15">
        <f>IF(Table1[[#This Row],[Salary]]&lt;1000000,Table1[[#This Row],[Salary]]*0.05,Table1[[#This Row],[Salary]]*0.1)</f>
        <v>556444.50899999996</v>
      </c>
      <c r="J608" s="15">
        <f>Table1[[#This Row],[Salary]]+Table1[[#This Row],[Bonus]]</f>
        <v>6120889.5989999995</v>
      </c>
      <c r="K608" s="25">
        <f>COUNTA(Table1[Employee_ID])</f>
        <v>1000</v>
      </c>
      <c r="L608" s="1">
        <f>SUM(Table1[Salary])</f>
        <v>3119391523.8580012</v>
      </c>
      <c r="M608" s="15">
        <f>AVERAGE(Table1[Salary])</f>
        <v>3119391.5238580015</v>
      </c>
      <c r="N608" s="29">
        <f>SUM(Table1[Bonus])</f>
        <v>308244983.02069992</v>
      </c>
    </row>
    <row r="609" spans="1:14" ht="12.75" customHeight="1" x14ac:dyDescent="0.25">
      <c r="A609" s="2">
        <v>526</v>
      </c>
      <c r="B609" s="10" t="s">
        <v>936</v>
      </c>
      <c r="C609" s="10" t="s">
        <v>937</v>
      </c>
      <c r="D609" s="10" t="s">
        <v>26</v>
      </c>
      <c r="E609" s="10" t="s">
        <v>13</v>
      </c>
      <c r="F609" s="10" t="s">
        <v>120</v>
      </c>
      <c r="G609" s="10" t="s">
        <v>35</v>
      </c>
      <c r="H609" s="13">
        <v>550881.78799999994</v>
      </c>
      <c r="I609" s="15">
        <f>IF(Table1[[#This Row],[Salary]]&lt;1000000,Table1[[#This Row],[Salary]]*0.05,Table1[[#This Row],[Salary]]*0.1)</f>
        <v>27544.089399999997</v>
      </c>
      <c r="J609" s="15">
        <f>Table1[[#This Row],[Salary]]+Table1[[#This Row],[Bonus]]</f>
        <v>578425.87739999988</v>
      </c>
      <c r="K609" s="25">
        <f>COUNTA(Table1[Employee_ID])</f>
        <v>1000</v>
      </c>
      <c r="L609" s="1">
        <f>SUM(Table1[Salary])</f>
        <v>3119391523.8580012</v>
      </c>
      <c r="M609" s="15">
        <f>AVERAGE(Table1[Salary])</f>
        <v>3119391.5238580015</v>
      </c>
      <c r="N609" s="29">
        <f>SUM(Table1[Bonus])</f>
        <v>308244983.02069992</v>
      </c>
    </row>
    <row r="610" spans="1:14" ht="12.75" customHeight="1" x14ac:dyDescent="0.25">
      <c r="A610" s="2">
        <v>527</v>
      </c>
      <c r="B610" s="10" t="s">
        <v>936</v>
      </c>
      <c r="C610" s="10" t="s">
        <v>786</v>
      </c>
      <c r="D610" s="10" t="s">
        <v>125</v>
      </c>
      <c r="E610" s="10" t="s">
        <v>10</v>
      </c>
      <c r="F610" s="10" t="s">
        <v>78</v>
      </c>
      <c r="G610" s="10" t="s">
        <v>56</v>
      </c>
      <c r="H610" s="13">
        <v>4339162.1519999998</v>
      </c>
      <c r="I610" s="15">
        <f>IF(Table1[[#This Row],[Salary]]&lt;1000000,Table1[[#This Row],[Salary]]*0.05,Table1[[#This Row],[Salary]]*0.1)</f>
        <v>433916.21519999998</v>
      </c>
      <c r="J610" s="15">
        <f>Table1[[#This Row],[Salary]]+Table1[[#This Row],[Bonus]]</f>
        <v>4773078.3672000002</v>
      </c>
      <c r="K610" s="25">
        <f>COUNTA(Table1[Employee_ID])</f>
        <v>1000</v>
      </c>
      <c r="L610" s="1">
        <f>SUM(Table1[Salary])</f>
        <v>3119391523.8580012</v>
      </c>
      <c r="M610" s="15">
        <f>AVERAGE(Table1[Salary])</f>
        <v>3119391.5238580015</v>
      </c>
      <c r="N610" s="29">
        <f>SUM(Table1[Bonus])</f>
        <v>308244983.02069992</v>
      </c>
    </row>
    <row r="611" spans="1:14" ht="12.75" customHeight="1" x14ac:dyDescent="0.25">
      <c r="A611" s="2">
        <v>528</v>
      </c>
      <c r="B611" s="10" t="s">
        <v>79</v>
      </c>
      <c r="C611" s="10" t="s">
        <v>938</v>
      </c>
      <c r="D611" s="10" t="s">
        <v>128</v>
      </c>
      <c r="E611" s="10" t="s">
        <v>33</v>
      </c>
      <c r="F611" s="10" t="s">
        <v>55</v>
      </c>
      <c r="G611" s="10" t="s">
        <v>23</v>
      </c>
      <c r="H611" s="13">
        <v>5424999.6519999998</v>
      </c>
      <c r="I611" s="15">
        <f>IF(Table1[[#This Row],[Salary]]&lt;1000000,Table1[[#This Row],[Salary]]*0.05,Table1[[#This Row],[Salary]]*0.1)</f>
        <v>542499.96519999998</v>
      </c>
      <c r="J611" s="15">
        <f>Table1[[#This Row],[Salary]]+Table1[[#This Row],[Bonus]]</f>
        <v>5967499.6172000002</v>
      </c>
      <c r="K611" s="25">
        <f>COUNTA(Table1[Employee_ID])</f>
        <v>1000</v>
      </c>
      <c r="L611" s="1">
        <f>SUM(Table1[Salary])</f>
        <v>3119391523.8580012</v>
      </c>
      <c r="M611" s="15">
        <f>AVERAGE(Table1[Salary])</f>
        <v>3119391.5238580015</v>
      </c>
      <c r="N611" s="29">
        <f>SUM(Table1[Bonus])</f>
        <v>308244983.02069992</v>
      </c>
    </row>
    <row r="612" spans="1:14" ht="12.75" customHeight="1" x14ac:dyDescent="0.25">
      <c r="A612" s="2">
        <v>529</v>
      </c>
      <c r="B612" s="10" t="s">
        <v>306</v>
      </c>
      <c r="C612" s="10" t="s">
        <v>939</v>
      </c>
      <c r="D612" s="10" t="s">
        <v>125</v>
      </c>
      <c r="E612" s="10" t="s">
        <v>63</v>
      </c>
      <c r="F612" s="10" t="s">
        <v>113</v>
      </c>
      <c r="G612" s="10" t="s">
        <v>23</v>
      </c>
      <c r="H612" s="13">
        <v>2527518.8020000001</v>
      </c>
      <c r="I612" s="15">
        <f>IF(Table1[[#This Row],[Salary]]&lt;1000000,Table1[[#This Row],[Salary]]*0.05,Table1[[#This Row],[Salary]]*0.1)</f>
        <v>252751.88020000001</v>
      </c>
      <c r="J612" s="15">
        <f>Table1[[#This Row],[Salary]]+Table1[[#This Row],[Bonus]]</f>
        <v>2780270.6822000002</v>
      </c>
      <c r="K612" s="25">
        <f>COUNTA(Table1[Employee_ID])</f>
        <v>1000</v>
      </c>
      <c r="L612" s="1">
        <f>SUM(Table1[Salary])</f>
        <v>3119391523.8580012</v>
      </c>
      <c r="M612" s="15">
        <f>AVERAGE(Table1[Salary])</f>
        <v>3119391.5238580015</v>
      </c>
      <c r="N612" s="29">
        <f>SUM(Table1[Bonus])</f>
        <v>308244983.02069992</v>
      </c>
    </row>
    <row r="613" spans="1:14" ht="12.75" customHeight="1" x14ac:dyDescent="0.25">
      <c r="A613" s="2">
        <v>530</v>
      </c>
      <c r="B613" s="10" t="s">
        <v>656</v>
      </c>
      <c r="C613" s="10" t="s">
        <v>940</v>
      </c>
      <c r="D613" s="10" t="s">
        <v>134</v>
      </c>
      <c r="E613" s="10" t="s">
        <v>14</v>
      </c>
      <c r="F613" s="10" t="s">
        <v>222</v>
      </c>
      <c r="G613" s="10" t="s">
        <v>29</v>
      </c>
      <c r="H613" s="13">
        <v>2197453.352</v>
      </c>
      <c r="I613" s="15">
        <f>IF(Table1[[#This Row],[Salary]]&lt;1000000,Table1[[#This Row],[Salary]]*0.05,Table1[[#This Row],[Salary]]*0.1)</f>
        <v>219745.3352</v>
      </c>
      <c r="J613" s="15">
        <f>Table1[[#This Row],[Salary]]+Table1[[#This Row],[Bonus]]</f>
        <v>2417198.6872</v>
      </c>
      <c r="K613" s="25">
        <f>COUNTA(Table1[Employee_ID])</f>
        <v>1000</v>
      </c>
      <c r="L613" s="1">
        <f>SUM(Table1[Salary])</f>
        <v>3119391523.8580012</v>
      </c>
      <c r="M613" s="15">
        <f>AVERAGE(Table1[Salary])</f>
        <v>3119391.5238580015</v>
      </c>
      <c r="N613" s="29">
        <f>SUM(Table1[Bonus])</f>
        <v>308244983.02069992</v>
      </c>
    </row>
    <row r="614" spans="1:14" ht="12.75" customHeight="1" x14ac:dyDescent="0.25">
      <c r="A614" s="2">
        <v>531</v>
      </c>
      <c r="B614" s="10" t="s">
        <v>896</v>
      </c>
      <c r="C614" s="10" t="s">
        <v>941</v>
      </c>
      <c r="D614" s="10" t="s">
        <v>137</v>
      </c>
      <c r="E614" s="10" t="s">
        <v>27</v>
      </c>
      <c r="F614" s="10" t="s">
        <v>28</v>
      </c>
      <c r="G614" s="10" t="s">
        <v>23</v>
      </c>
      <c r="H614" s="13">
        <v>1733605.726</v>
      </c>
      <c r="I614" s="15">
        <f>IF(Table1[[#This Row],[Salary]]&lt;1000000,Table1[[#This Row],[Salary]]*0.05,Table1[[#This Row],[Salary]]*0.1)</f>
        <v>173360.57260000001</v>
      </c>
      <c r="J614" s="15">
        <f>Table1[[#This Row],[Salary]]+Table1[[#This Row],[Bonus]]</f>
        <v>1906966.2986000001</v>
      </c>
      <c r="K614" s="25">
        <f>COUNTA(Table1[Employee_ID])</f>
        <v>1000</v>
      </c>
      <c r="L614" s="1">
        <f>SUM(Table1[Salary])</f>
        <v>3119391523.8580012</v>
      </c>
      <c r="M614" s="15">
        <f>AVERAGE(Table1[Salary])</f>
        <v>3119391.5238580015</v>
      </c>
      <c r="N614" s="29">
        <f>SUM(Table1[Bonus])</f>
        <v>308244983.02069992</v>
      </c>
    </row>
    <row r="615" spans="1:14" ht="12.75" customHeight="1" x14ac:dyDescent="0.25">
      <c r="A615" s="2">
        <v>532</v>
      </c>
      <c r="B615" s="10" t="s">
        <v>709</v>
      </c>
      <c r="C615" s="10" t="s">
        <v>942</v>
      </c>
      <c r="D615" s="10" t="s">
        <v>140</v>
      </c>
      <c r="E615" s="10" t="s">
        <v>33</v>
      </c>
      <c r="F615" s="10" t="s">
        <v>34</v>
      </c>
      <c r="G615" s="10" t="s">
        <v>23</v>
      </c>
      <c r="H615" s="13">
        <v>5425724.9040000001</v>
      </c>
      <c r="I615" s="15">
        <f>IF(Table1[[#This Row],[Salary]]&lt;1000000,Table1[[#This Row],[Salary]]*0.05,Table1[[#This Row],[Salary]]*0.1)</f>
        <v>542572.49040000001</v>
      </c>
      <c r="J615" s="15">
        <f>Table1[[#This Row],[Salary]]+Table1[[#This Row],[Bonus]]</f>
        <v>5968297.3944000006</v>
      </c>
      <c r="K615" s="25">
        <f>COUNTA(Table1[Employee_ID])</f>
        <v>1000</v>
      </c>
      <c r="L615" s="1">
        <f>SUM(Table1[Salary])</f>
        <v>3119391523.8580012</v>
      </c>
      <c r="M615" s="15">
        <f>AVERAGE(Table1[Salary])</f>
        <v>3119391.5238580015</v>
      </c>
      <c r="N615" s="29">
        <f>SUM(Table1[Bonus])</f>
        <v>308244983.02069992</v>
      </c>
    </row>
    <row r="616" spans="1:14" ht="12.75" customHeight="1" x14ac:dyDescent="0.25">
      <c r="A616" s="2">
        <v>533</v>
      </c>
      <c r="B616" s="10" t="s">
        <v>371</v>
      </c>
      <c r="C616" s="10" t="s">
        <v>943</v>
      </c>
      <c r="D616" s="10" t="s">
        <v>143</v>
      </c>
      <c r="E616" s="10" t="s">
        <v>10</v>
      </c>
      <c r="F616" s="10" t="s">
        <v>109</v>
      </c>
      <c r="G616" s="10" t="s">
        <v>56</v>
      </c>
      <c r="H616" s="13">
        <v>3756180.8079999997</v>
      </c>
      <c r="I616" s="15">
        <f>IF(Table1[[#This Row],[Salary]]&lt;1000000,Table1[[#This Row],[Salary]]*0.05,Table1[[#This Row],[Salary]]*0.1)</f>
        <v>375618.0808</v>
      </c>
      <c r="J616" s="15">
        <f>Table1[[#This Row],[Salary]]+Table1[[#This Row],[Bonus]]</f>
        <v>4131798.8887999998</v>
      </c>
      <c r="K616" s="25">
        <f>COUNTA(Table1[Employee_ID])</f>
        <v>1000</v>
      </c>
      <c r="L616" s="1">
        <f>SUM(Table1[Salary])</f>
        <v>3119391523.8580012</v>
      </c>
      <c r="M616" s="15">
        <f>AVERAGE(Table1[Salary])</f>
        <v>3119391.5238580015</v>
      </c>
      <c r="N616" s="29">
        <f>SUM(Table1[Bonus])</f>
        <v>308244983.02069992</v>
      </c>
    </row>
    <row r="617" spans="1:14" ht="12.75" customHeight="1" x14ac:dyDescent="0.25">
      <c r="A617" s="2">
        <v>534</v>
      </c>
      <c r="B617" s="10" t="s">
        <v>944</v>
      </c>
      <c r="C617" s="10" t="s">
        <v>945</v>
      </c>
      <c r="D617" s="10" t="s">
        <v>146</v>
      </c>
      <c r="E617" s="10" t="s">
        <v>27</v>
      </c>
      <c r="F617" s="10" t="s">
        <v>85</v>
      </c>
      <c r="G617" s="10" t="s">
        <v>71</v>
      </c>
      <c r="H617" s="13">
        <v>5262954.8020000001</v>
      </c>
      <c r="I617" s="15">
        <f>IF(Table1[[#This Row],[Salary]]&lt;1000000,Table1[[#This Row],[Salary]]*0.05,Table1[[#This Row],[Salary]]*0.1)</f>
        <v>526295.48019999999</v>
      </c>
      <c r="J617" s="15">
        <f>Table1[[#This Row],[Salary]]+Table1[[#This Row],[Bonus]]</f>
        <v>5789250.2822000002</v>
      </c>
      <c r="K617" s="25">
        <f>COUNTA(Table1[Employee_ID])</f>
        <v>1000</v>
      </c>
      <c r="L617" s="1">
        <f>SUM(Table1[Salary])</f>
        <v>3119391523.8580012</v>
      </c>
      <c r="M617" s="15">
        <f>AVERAGE(Table1[Salary])</f>
        <v>3119391.5238580015</v>
      </c>
      <c r="N617" s="29">
        <f>SUM(Table1[Bonus])</f>
        <v>308244983.02069992</v>
      </c>
    </row>
    <row r="618" spans="1:14" ht="12.75" customHeight="1" x14ac:dyDescent="0.25">
      <c r="A618" s="2">
        <v>535</v>
      </c>
      <c r="B618" s="10" t="s">
        <v>684</v>
      </c>
      <c r="C618" s="10" t="s">
        <v>557</v>
      </c>
      <c r="D618" s="10" t="s">
        <v>149</v>
      </c>
      <c r="E618" s="10" t="s">
        <v>27</v>
      </c>
      <c r="F618" s="10" t="s">
        <v>106</v>
      </c>
      <c r="G618" s="10" t="s">
        <v>29</v>
      </c>
      <c r="H618" s="13">
        <v>2106768.8680000002</v>
      </c>
      <c r="I618" s="15">
        <f>IF(Table1[[#This Row],[Salary]]&lt;1000000,Table1[[#This Row],[Salary]]*0.05,Table1[[#This Row],[Salary]]*0.1)</f>
        <v>210676.88680000004</v>
      </c>
      <c r="J618" s="15">
        <f>Table1[[#This Row],[Salary]]+Table1[[#This Row],[Bonus]]</f>
        <v>2317445.7548000002</v>
      </c>
      <c r="K618" s="25">
        <f>COUNTA(Table1[Employee_ID])</f>
        <v>1000</v>
      </c>
      <c r="L618" s="1">
        <f>SUM(Table1[Salary])</f>
        <v>3119391523.8580012</v>
      </c>
      <c r="M618" s="15">
        <f>AVERAGE(Table1[Salary])</f>
        <v>3119391.5238580015</v>
      </c>
      <c r="N618" s="29">
        <f>SUM(Table1[Bonus])</f>
        <v>308244983.02069992</v>
      </c>
    </row>
    <row r="619" spans="1:14" ht="12.75" customHeight="1" x14ac:dyDescent="0.25">
      <c r="A619" s="2">
        <v>536</v>
      </c>
      <c r="B619" s="10" t="s">
        <v>946</v>
      </c>
      <c r="C619" s="10" t="s">
        <v>947</v>
      </c>
      <c r="D619" s="10" t="s">
        <v>88</v>
      </c>
      <c r="E619" s="10" t="s">
        <v>2</v>
      </c>
      <c r="F619" s="10" t="s">
        <v>74</v>
      </c>
      <c r="G619" s="10" t="s">
        <v>23</v>
      </c>
      <c r="H619" s="13">
        <v>464688.73599999998</v>
      </c>
      <c r="I619" s="15">
        <f>IF(Table1[[#This Row],[Salary]]&lt;1000000,Table1[[#This Row],[Salary]]*0.05,Table1[[#This Row],[Salary]]*0.1)</f>
        <v>23234.436799999999</v>
      </c>
      <c r="J619" s="15">
        <f>Table1[[#This Row],[Salary]]+Table1[[#This Row],[Bonus]]</f>
        <v>487923.1728</v>
      </c>
      <c r="K619" s="25">
        <f>COUNTA(Table1[Employee_ID])</f>
        <v>1000</v>
      </c>
      <c r="L619" s="1">
        <f>SUM(Table1[Salary])</f>
        <v>3119391523.8580012</v>
      </c>
      <c r="M619" s="15">
        <f>AVERAGE(Table1[Salary])</f>
        <v>3119391.5238580015</v>
      </c>
      <c r="N619" s="29">
        <f>SUM(Table1[Bonus])</f>
        <v>308244983.02069992</v>
      </c>
    </row>
    <row r="620" spans="1:14" ht="12.75" customHeight="1" x14ac:dyDescent="0.25">
      <c r="A620" s="2">
        <v>537</v>
      </c>
      <c r="B620" s="10" t="s">
        <v>948</v>
      </c>
      <c r="C620" s="10" t="s">
        <v>949</v>
      </c>
      <c r="D620" s="10" t="s">
        <v>26</v>
      </c>
      <c r="E620" s="10" t="s">
        <v>27</v>
      </c>
      <c r="F620" s="10" t="s">
        <v>28</v>
      </c>
      <c r="G620" s="10" t="s">
        <v>71</v>
      </c>
      <c r="H620" s="13">
        <v>4252762.7179999994</v>
      </c>
      <c r="I620" s="15">
        <f>IF(Table1[[#This Row],[Salary]]&lt;1000000,Table1[[#This Row],[Salary]]*0.05,Table1[[#This Row],[Salary]]*0.1)</f>
        <v>425276.27179999999</v>
      </c>
      <c r="J620" s="15">
        <f>Table1[[#This Row],[Salary]]+Table1[[#This Row],[Bonus]]</f>
        <v>4678038.9897999996</v>
      </c>
      <c r="K620" s="25">
        <f>COUNTA(Table1[Employee_ID])</f>
        <v>1000</v>
      </c>
      <c r="L620" s="1">
        <f>SUM(Table1[Salary])</f>
        <v>3119391523.8580012</v>
      </c>
      <c r="M620" s="15">
        <f>AVERAGE(Table1[Salary])</f>
        <v>3119391.5238580015</v>
      </c>
      <c r="N620" s="29">
        <f>SUM(Table1[Bonus])</f>
        <v>308244983.02069992</v>
      </c>
    </row>
    <row r="621" spans="1:14" ht="12.75" customHeight="1" x14ac:dyDescent="0.25">
      <c r="A621" s="2">
        <v>538</v>
      </c>
      <c r="B621" s="10" t="s">
        <v>950</v>
      </c>
      <c r="C621" s="10" t="s">
        <v>951</v>
      </c>
      <c r="D621" s="10" t="s">
        <v>156</v>
      </c>
      <c r="E621" s="10" t="s">
        <v>27</v>
      </c>
      <c r="F621" s="10" t="s">
        <v>85</v>
      </c>
      <c r="G621" s="10" t="s">
        <v>23</v>
      </c>
      <c r="H621" s="13">
        <v>5534161.7379999999</v>
      </c>
      <c r="I621" s="15">
        <f>IF(Table1[[#This Row],[Salary]]&lt;1000000,Table1[[#This Row],[Salary]]*0.05,Table1[[#This Row],[Salary]]*0.1)</f>
        <v>553416.17379999999</v>
      </c>
      <c r="J621" s="15">
        <f>Table1[[#This Row],[Salary]]+Table1[[#This Row],[Bonus]]</f>
        <v>6087577.9117999999</v>
      </c>
      <c r="K621" s="25">
        <f>COUNTA(Table1[Employee_ID])</f>
        <v>1000</v>
      </c>
      <c r="L621" s="1">
        <f>SUM(Table1[Salary])</f>
        <v>3119391523.8580012</v>
      </c>
      <c r="M621" s="15">
        <f>AVERAGE(Table1[Salary])</f>
        <v>3119391.5238580015</v>
      </c>
      <c r="N621" s="29">
        <f>SUM(Table1[Bonus])</f>
        <v>308244983.02069992</v>
      </c>
    </row>
    <row r="622" spans="1:14" ht="12.75" customHeight="1" x14ac:dyDescent="0.25">
      <c r="A622" s="2">
        <v>540</v>
      </c>
      <c r="B622" s="10" t="s">
        <v>100</v>
      </c>
      <c r="C622" s="10" t="s">
        <v>953</v>
      </c>
      <c r="D622" s="10" t="s">
        <v>162</v>
      </c>
      <c r="E622" s="10" t="s">
        <v>6</v>
      </c>
      <c r="F622" s="10" t="s">
        <v>74</v>
      </c>
      <c r="G622" s="10" t="s">
        <v>35</v>
      </c>
      <c r="H622" s="13">
        <v>1520094.8019999999</v>
      </c>
      <c r="I622" s="15">
        <f>IF(Table1[[#This Row],[Salary]]&lt;1000000,Table1[[#This Row],[Salary]]*0.05,Table1[[#This Row],[Salary]]*0.1)</f>
        <v>152009.48019999999</v>
      </c>
      <c r="J622" s="15">
        <f>Table1[[#This Row],[Salary]]+Table1[[#This Row],[Bonus]]</f>
        <v>1672104.2821999998</v>
      </c>
      <c r="K622" s="25">
        <f>COUNTA(Table1[Employee_ID])</f>
        <v>1000</v>
      </c>
      <c r="L622" s="1">
        <f>SUM(Table1[Salary])</f>
        <v>3119391523.8580012</v>
      </c>
      <c r="M622" s="15">
        <f>AVERAGE(Table1[Salary])</f>
        <v>3119391.5238580015</v>
      </c>
      <c r="N622" s="29">
        <f>SUM(Table1[Bonus])</f>
        <v>308244983.02069992</v>
      </c>
    </row>
    <row r="623" spans="1:14" ht="12.75" customHeight="1" x14ac:dyDescent="0.25">
      <c r="A623" s="2">
        <v>541</v>
      </c>
      <c r="B623" s="10" t="s">
        <v>672</v>
      </c>
      <c r="C623" s="10" t="s">
        <v>954</v>
      </c>
      <c r="D623" s="10" t="s">
        <v>165</v>
      </c>
      <c r="E623" s="10" t="s">
        <v>6</v>
      </c>
      <c r="F623" s="10" t="s">
        <v>123</v>
      </c>
      <c r="G623" s="10" t="s">
        <v>23</v>
      </c>
      <c r="H623" s="13">
        <v>1941226.0180000002</v>
      </c>
      <c r="I623" s="15">
        <f>IF(Table1[[#This Row],[Salary]]&lt;1000000,Table1[[#This Row],[Salary]]*0.05,Table1[[#This Row],[Salary]]*0.1)</f>
        <v>194122.60180000003</v>
      </c>
      <c r="J623" s="15">
        <f>Table1[[#This Row],[Salary]]+Table1[[#This Row],[Bonus]]</f>
        <v>2135348.6198</v>
      </c>
      <c r="K623" s="25">
        <f>COUNTA(Table1[Employee_ID])</f>
        <v>1000</v>
      </c>
      <c r="L623" s="1">
        <f>SUM(Table1[Salary])</f>
        <v>3119391523.8580012</v>
      </c>
      <c r="M623" s="15">
        <f>AVERAGE(Table1[Salary])</f>
        <v>3119391.5238580015</v>
      </c>
      <c r="N623" s="29">
        <f>SUM(Table1[Bonus])</f>
        <v>308244983.02069992</v>
      </c>
    </row>
    <row r="624" spans="1:14" ht="12.75" customHeight="1" x14ac:dyDescent="0.25">
      <c r="A624" s="2">
        <v>542</v>
      </c>
      <c r="B624" s="10" t="s">
        <v>955</v>
      </c>
      <c r="C624" s="10" t="s">
        <v>342</v>
      </c>
      <c r="D624" s="10" t="s">
        <v>156</v>
      </c>
      <c r="E624" s="10" t="s">
        <v>10</v>
      </c>
      <c r="F624" s="10" t="s">
        <v>131</v>
      </c>
      <c r="G624" s="10" t="s">
        <v>23</v>
      </c>
      <c r="H624" s="13">
        <v>659659.09400000004</v>
      </c>
      <c r="I624" s="15">
        <f>IF(Table1[[#This Row],[Salary]]&lt;1000000,Table1[[#This Row],[Salary]]*0.05,Table1[[#This Row],[Salary]]*0.1)</f>
        <v>32982.954700000002</v>
      </c>
      <c r="J624" s="15">
        <f>Table1[[#This Row],[Salary]]+Table1[[#This Row],[Bonus]]</f>
        <v>692642.04870000004</v>
      </c>
      <c r="K624" s="25">
        <f>COUNTA(Table1[Employee_ID])</f>
        <v>1000</v>
      </c>
      <c r="L624" s="1">
        <f>SUM(Table1[Salary])</f>
        <v>3119391523.8580012</v>
      </c>
      <c r="M624" s="15">
        <f>AVERAGE(Table1[Salary])</f>
        <v>3119391.5238580015</v>
      </c>
      <c r="N624" s="29">
        <f>SUM(Table1[Bonus])</f>
        <v>308244983.02069992</v>
      </c>
    </row>
    <row r="625" spans="1:14" ht="12.75" customHeight="1" x14ac:dyDescent="0.25">
      <c r="A625" s="2">
        <v>543</v>
      </c>
      <c r="B625" s="10" t="s">
        <v>956</v>
      </c>
      <c r="C625" s="10" t="s">
        <v>957</v>
      </c>
      <c r="D625" s="10" t="s">
        <v>21</v>
      </c>
      <c r="E625" s="10" t="s">
        <v>33</v>
      </c>
      <c r="F625" s="10" t="s">
        <v>47</v>
      </c>
      <c r="G625" s="10" t="s">
        <v>35</v>
      </c>
      <c r="H625" s="13">
        <v>4154207.7339999997</v>
      </c>
      <c r="I625" s="15">
        <f>IF(Table1[[#This Row],[Salary]]&lt;1000000,Table1[[#This Row],[Salary]]*0.05,Table1[[#This Row],[Salary]]*0.1)</f>
        <v>415420.77340000001</v>
      </c>
      <c r="J625" s="15">
        <f>Table1[[#This Row],[Salary]]+Table1[[#This Row],[Bonus]]</f>
        <v>4569628.5073999995</v>
      </c>
      <c r="K625" s="25">
        <f>COUNTA(Table1[Employee_ID])</f>
        <v>1000</v>
      </c>
      <c r="L625" s="1">
        <f>SUM(Table1[Salary])</f>
        <v>3119391523.8580012</v>
      </c>
      <c r="M625" s="15">
        <f>AVERAGE(Table1[Salary])</f>
        <v>3119391.5238580015</v>
      </c>
      <c r="N625" s="29">
        <f>SUM(Table1[Bonus])</f>
        <v>308244983.02069992</v>
      </c>
    </row>
    <row r="626" spans="1:14" ht="12.75" customHeight="1" x14ac:dyDescent="0.25">
      <c r="A626" s="2">
        <v>544</v>
      </c>
      <c r="B626" s="10" t="s">
        <v>905</v>
      </c>
      <c r="C626" s="10" t="s">
        <v>195</v>
      </c>
      <c r="D626" s="10" t="s">
        <v>128</v>
      </c>
      <c r="E626" s="10" t="s">
        <v>27</v>
      </c>
      <c r="F626" s="10" t="s">
        <v>106</v>
      </c>
      <c r="G626" s="10" t="s">
        <v>56</v>
      </c>
      <c r="H626" s="13">
        <v>1447819.1260000002</v>
      </c>
      <c r="I626" s="15">
        <f>IF(Table1[[#This Row],[Salary]]&lt;1000000,Table1[[#This Row],[Salary]]*0.05,Table1[[#This Row],[Salary]]*0.1)</f>
        <v>144781.91260000001</v>
      </c>
      <c r="J626" s="15">
        <f>Table1[[#This Row],[Salary]]+Table1[[#This Row],[Bonus]]</f>
        <v>1592601.0386000001</v>
      </c>
      <c r="K626" s="25">
        <f>COUNTA(Table1[Employee_ID])</f>
        <v>1000</v>
      </c>
      <c r="L626" s="1">
        <f>SUM(Table1[Salary])</f>
        <v>3119391523.8580012</v>
      </c>
      <c r="M626" s="15">
        <f>AVERAGE(Table1[Salary])</f>
        <v>3119391.5238580015</v>
      </c>
      <c r="N626" s="29">
        <f>SUM(Table1[Bonus])</f>
        <v>308244983.02069992</v>
      </c>
    </row>
    <row r="627" spans="1:14" ht="12.75" customHeight="1" x14ac:dyDescent="0.25">
      <c r="A627" s="2">
        <v>546</v>
      </c>
      <c r="B627" s="10" t="s">
        <v>959</v>
      </c>
      <c r="C627" s="10" t="s">
        <v>960</v>
      </c>
      <c r="D627" s="10" t="s">
        <v>177</v>
      </c>
      <c r="E627" s="10" t="s">
        <v>27</v>
      </c>
      <c r="F627" s="10" t="s">
        <v>28</v>
      </c>
      <c r="G627" s="10" t="s">
        <v>56</v>
      </c>
      <c r="H627" s="13">
        <v>2320231.986</v>
      </c>
      <c r="I627" s="15">
        <f>IF(Table1[[#This Row],[Salary]]&lt;1000000,Table1[[#This Row],[Salary]]*0.05,Table1[[#This Row],[Salary]]*0.1)</f>
        <v>232023.1986</v>
      </c>
      <c r="J627" s="15">
        <f>Table1[[#This Row],[Salary]]+Table1[[#This Row],[Bonus]]</f>
        <v>2552255.1846000003</v>
      </c>
      <c r="K627" s="25">
        <f>COUNTA(Table1[Employee_ID])</f>
        <v>1000</v>
      </c>
      <c r="L627" s="1">
        <f>SUM(Table1[Salary])</f>
        <v>3119391523.8580012</v>
      </c>
      <c r="M627" s="15">
        <f>AVERAGE(Table1[Salary])</f>
        <v>3119391.5238580015</v>
      </c>
      <c r="N627" s="29">
        <f>SUM(Table1[Bonus])</f>
        <v>308244983.02069992</v>
      </c>
    </row>
    <row r="628" spans="1:14" ht="12.75" customHeight="1" x14ac:dyDescent="0.25">
      <c r="A628" s="2">
        <v>547</v>
      </c>
      <c r="B628" s="10" t="s">
        <v>883</v>
      </c>
      <c r="C628" s="10" t="s">
        <v>847</v>
      </c>
      <c r="D628" s="10" t="s">
        <v>180</v>
      </c>
      <c r="E628" s="10" t="s">
        <v>27</v>
      </c>
      <c r="F628" s="10" t="s">
        <v>85</v>
      </c>
      <c r="G628" s="10" t="s">
        <v>23</v>
      </c>
      <c r="H628" s="13">
        <v>2261330.33</v>
      </c>
      <c r="I628" s="15">
        <f>IF(Table1[[#This Row],[Salary]]&lt;1000000,Table1[[#This Row],[Salary]]*0.05,Table1[[#This Row],[Salary]]*0.1)</f>
        <v>226133.03300000002</v>
      </c>
      <c r="J628" s="15">
        <f>Table1[[#This Row],[Salary]]+Table1[[#This Row],[Bonus]]</f>
        <v>2487463.3629999999</v>
      </c>
      <c r="K628" s="25">
        <f>COUNTA(Table1[Employee_ID])</f>
        <v>1000</v>
      </c>
      <c r="L628" s="1">
        <f>SUM(Table1[Salary])</f>
        <v>3119391523.8580012</v>
      </c>
      <c r="M628" s="15">
        <f>AVERAGE(Table1[Salary])</f>
        <v>3119391.5238580015</v>
      </c>
      <c r="N628" s="29">
        <f>SUM(Table1[Bonus])</f>
        <v>308244983.02069992</v>
      </c>
    </row>
    <row r="629" spans="1:14" ht="12.75" customHeight="1" x14ac:dyDescent="0.25">
      <c r="A629" s="2">
        <v>548</v>
      </c>
      <c r="B629" s="10" t="s">
        <v>883</v>
      </c>
      <c r="C629" s="10" t="s">
        <v>961</v>
      </c>
      <c r="D629" s="10" t="s">
        <v>183</v>
      </c>
      <c r="E629" s="10" t="s">
        <v>27</v>
      </c>
      <c r="F629" s="10" t="s">
        <v>106</v>
      </c>
      <c r="G629" s="10" t="s">
        <v>23</v>
      </c>
      <c r="H629" s="13">
        <v>4240786.7319999998</v>
      </c>
      <c r="I629" s="15">
        <f>IF(Table1[[#This Row],[Salary]]&lt;1000000,Table1[[#This Row],[Salary]]*0.05,Table1[[#This Row],[Salary]]*0.1)</f>
        <v>424078.67320000002</v>
      </c>
      <c r="J629" s="15">
        <f>Table1[[#This Row],[Salary]]+Table1[[#This Row],[Bonus]]</f>
        <v>4664865.4051999999</v>
      </c>
      <c r="K629" s="25">
        <f>COUNTA(Table1[Employee_ID])</f>
        <v>1000</v>
      </c>
      <c r="L629" s="1">
        <f>SUM(Table1[Salary])</f>
        <v>3119391523.8580012</v>
      </c>
      <c r="M629" s="15">
        <f>AVERAGE(Table1[Salary])</f>
        <v>3119391.5238580015</v>
      </c>
      <c r="N629" s="29">
        <f>SUM(Table1[Bonus])</f>
        <v>308244983.02069992</v>
      </c>
    </row>
    <row r="630" spans="1:14" ht="12.75" customHeight="1" x14ac:dyDescent="0.25">
      <c r="A630" s="2">
        <v>549</v>
      </c>
      <c r="B630" s="10" t="s">
        <v>962</v>
      </c>
      <c r="C630" s="10" t="s">
        <v>409</v>
      </c>
      <c r="D630" s="10" t="s">
        <v>21</v>
      </c>
      <c r="E630" s="10" t="s">
        <v>27</v>
      </c>
      <c r="F630" s="10" t="s">
        <v>28</v>
      </c>
      <c r="G630" s="10" t="s">
        <v>35</v>
      </c>
      <c r="H630" s="13">
        <v>3526645.5460000001</v>
      </c>
      <c r="I630" s="15">
        <f>IF(Table1[[#This Row],[Salary]]&lt;1000000,Table1[[#This Row],[Salary]]*0.05,Table1[[#This Row],[Salary]]*0.1)</f>
        <v>352664.55460000003</v>
      </c>
      <c r="J630" s="15">
        <f>Table1[[#This Row],[Salary]]+Table1[[#This Row],[Bonus]]</f>
        <v>3879310.1006</v>
      </c>
      <c r="K630" s="25">
        <f>COUNTA(Table1[Employee_ID])</f>
        <v>1000</v>
      </c>
      <c r="L630" s="1">
        <f>SUM(Table1[Salary])</f>
        <v>3119391523.8580012</v>
      </c>
      <c r="M630" s="15">
        <f>AVERAGE(Table1[Salary])</f>
        <v>3119391.5238580015</v>
      </c>
      <c r="N630" s="29">
        <f>SUM(Table1[Bonus])</f>
        <v>308244983.02069992</v>
      </c>
    </row>
    <row r="631" spans="1:14" ht="12.75" customHeight="1" x14ac:dyDescent="0.25">
      <c r="A631" s="2">
        <v>550</v>
      </c>
      <c r="B631" s="10" t="s">
        <v>232</v>
      </c>
      <c r="C631" s="10" t="s">
        <v>963</v>
      </c>
      <c r="D631" s="10" t="s">
        <v>99</v>
      </c>
      <c r="E631" s="10" t="s">
        <v>33</v>
      </c>
      <c r="F631" s="10" t="s">
        <v>55</v>
      </c>
      <c r="G631" s="10" t="s">
        <v>48</v>
      </c>
      <c r="H631" s="13">
        <v>3824242.56</v>
      </c>
      <c r="I631" s="15">
        <f>IF(Table1[[#This Row],[Salary]]&lt;1000000,Table1[[#This Row],[Salary]]*0.05,Table1[[#This Row],[Salary]]*0.1)</f>
        <v>382424.25600000005</v>
      </c>
      <c r="J631" s="15">
        <f>Table1[[#This Row],[Salary]]+Table1[[#This Row],[Bonus]]</f>
        <v>4206666.8159999996</v>
      </c>
      <c r="K631" s="25">
        <f>COUNTA(Table1[Employee_ID])</f>
        <v>1000</v>
      </c>
      <c r="L631" s="1">
        <f>SUM(Table1[Salary])</f>
        <v>3119391523.8580012</v>
      </c>
      <c r="M631" s="15">
        <f>AVERAGE(Table1[Salary])</f>
        <v>3119391.5238580015</v>
      </c>
      <c r="N631" s="29">
        <f>SUM(Table1[Bonus])</f>
        <v>308244983.02069992</v>
      </c>
    </row>
    <row r="632" spans="1:14" ht="12.75" customHeight="1" x14ac:dyDescent="0.25">
      <c r="A632" s="2">
        <v>551</v>
      </c>
      <c r="B632" s="10" t="s">
        <v>964</v>
      </c>
      <c r="C632" s="10" t="s">
        <v>890</v>
      </c>
      <c r="D632" s="10" t="s">
        <v>125</v>
      </c>
      <c r="E632" s="10" t="s">
        <v>2</v>
      </c>
      <c r="F632" s="10" t="s">
        <v>102</v>
      </c>
      <c r="G632" s="10" t="s">
        <v>29</v>
      </c>
      <c r="H632" s="13">
        <v>1304029.172</v>
      </c>
      <c r="I632" s="15">
        <f>IF(Table1[[#This Row],[Salary]]&lt;1000000,Table1[[#This Row],[Salary]]*0.05,Table1[[#This Row],[Salary]]*0.1)</f>
        <v>130402.91720000001</v>
      </c>
      <c r="J632" s="15">
        <f>Table1[[#This Row],[Salary]]+Table1[[#This Row],[Bonus]]</f>
        <v>1434432.0892</v>
      </c>
      <c r="K632" s="25">
        <f>COUNTA(Table1[Employee_ID])</f>
        <v>1000</v>
      </c>
      <c r="L632" s="1">
        <f>SUM(Table1[Salary])</f>
        <v>3119391523.8580012</v>
      </c>
      <c r="M632" s="15">
        <f>AVERAGE(Table1[Salary])</f>
        <v>3119391.5238580015</v>
      </c>
      <c r="N632" s="29">
        <f>SUM(Table1[Bonus])</f>
        <v>308244983.02069992</v>
      </c>
    </row>
    <row r="633" spans="1:14" ht="12.75" customHeight="1" x14ac:dyDescent="0.25">
      <c r="A633" s="2">
        <v>552</v>
      </c>
      <c r="B633" s="10" t="s">
        <v>965</v>
      </c>
      <c r="C633" s="10" t="s">
        <v>966</v>
      </c>
      <c r="D633" s="10" t="s">
        <v>177</v>
      </c>
      <c r="E633" s="10" t="s">
        <v>6</v>
      </c>
      <c r="F633" s="10" t="s">
        <v>144</v>
      </c>
      <c r="G633" s="10" t="s">
        <v>71</v>
      </c>
      <c r="H633" s="13">
        <v>2820701.34</v>
      </c>
      <c r="I633" s="15">
        <f>IF(Table1[[#This Row],[Salary]]&lt;1000000,Table1[[#This Row],[Salary]]*0.05,Table1[[#This Row],[Salary]]*0.1)</f>
        <v>282070.13400000002</v>
      </c>
      <c r="J633" s="15">
        <f>Table1[[#This Row],[Salary]]+Table1[[#This Row],[Bonus]]</f>
        <v>3102771.4739999999</v>
      </c>
      <c r="K633" s="25">
        <f>COUNTA(Table1[Employee_ID])</f>
        <v>1000</v>
      </c>
      <c r="L633" s="1">
        <f>SUM(Table1[Salary])</f>
        <v>3119391523.8580012</v>
      </c>
      <c r="M633" s="15">
        <f>AVERAGE(Table1[Salary])</f>
        <v>3119391.5238580015</v>
      </c>
      <c r="N633" s="29">
        <f>SUM(Table1[Bonus])</f>
        <v>308244983.02069992</v>
      </c>
    </row>
    <row r="634" spans="1:14" ht="12.75" customHeight="1" x14ac:dyDescent="0.25">
      <c r="A634" s="2">
        <v>553</v>
      </c>
      <c r="B634" s="10" t="s">
        <v>967</v>
      </c>
      <c r="C634" s="10" t="s">
        <v>968</v>
      </c>
      <c r="D634" s="10" t="s">
        <v>96</v>
      </c>
      <c r="E634" s="10" t="s">
        <v>39</v>
      </c>
      <c r="F634" s="10" t="s">
        <v>189</v>
      </c>
      <c r="G634" s="10" t="s">
        <v>35</v>
      </c>
      <c r="H634" s="13">
        <v>4998712.3840000005</v>
      </c>
      <c r="I634" s="15">
        <f>IF(Table1[[#This Row],[Salary]]&lt;1000000,Table1[[#This Row],[Salary]]*0.05,Table1[[#This Row],[Salary]]*0.1)</f>
        <v>499871.23840000009</v>
      </c>
      <c r="J634" s="15">
        <f>Table1[[#This Row],[Salary]]+Table1[[#This Row],[Bonus]]</f>
        <v>5498583.6224000007</v>
      </c>
      <c r="K634" s="25">
        <f>COUNTA(Table1[Employee_ID])</f>
        <v>1000</v>
      </c>
      <c r="L634" s="1">
        <f>SUM(Table1[Salary])</f>
        <v>3119391523.8580012</v>
      </c>
      <c r="M634" s="15">
        <f>AVERAGE(Table1[Salary])</f>
        <v>3119391.5238580015</v>
      </c>
      <c r="N634" s="29">
        <f>SUM(Table1[Bonus])</f>
        <v>308244983.02069992</v>
      </c>
    </row>
    <row r="635" spans="1:14" ht="12.75" customHeight="1" x14ac:dyDescent="0.25">
      <c r="A635" s="2">
        <v>554</v>
      </c>
      <c r="B635" s="10" t="s">
        <v>969</v>
      </c>
      <c r="C635" s="10" t="s">
        <v>970</v>
      </c>
      <c r="D635" s="10" t="s">
        <v>105</v>
      </c>
      <c r="E635" s="10" t="s">
        <v>6</v>
      </c>
      <c r="F635" s="10" t="s">
        <v>74</v>
      </c>
      <c r="G635" s="10" t="s">
        <v>29</v>
      </c>
      <c r="H635" s="13">
        <v>2069672.578</v>
      </c>
      <c r="I635" s="15">
        <f>IF(Table1[[#This Row],[Salary]]&lt;1000000,Table1[[#This Row],[Salary]]*0.05,Table1[[#This Row],[Salary]]*0.1)</f>
        <v>206967.25780000002</v>
      </c>
      <c r="J635" s="15">
        <f>Table1[[#This Row],[Salary]]+Table1[[#This Row],[Bonus]]</f>
        <v>2276639.8358</v>
      </c>
      <c r="K635" s="25">
        <f>COUNTA(Table1[Employee_ID])</f>
        <v>1000</v>
      </c>
      <c r="L635" s="1">
        <f>SUM(Table1[Salary])</f>
        <v>3119391523.8580012</v>
      </c>
      <c r="M635" s="15">
        <f>AVERAGE(Table1[Salary])</f>
        <v>3119391.5238580015</v>
      </c>
      <c r="N635" s="29">
        <f>SUM(Table1[Bonus])</f>
        <v>308244983.02069992</v>
      </c>
    </row>
    <row r="636" spans="1:14" ht="12.75" customHeight="1" x14ac:dyDescent="0.25">
      <c r="A636" s="2">
        <v>556</v>
      </c>
      <c r="B636" s="10" t="s">
        <v>973</v>
      </c>
      <c r="C636" s="10" t="s">
        <v>974</v>
      </c>
      <c r="D636" s="10" t="s">
        <v>112</v>
      </c>
      <c r="E636" s="10" t="s">
        <v>14</v>
      </c>
      <c r="F636" s="10" t="s">
        <v>234</v>
      </c>
      <c r="G636" s="10" t="s">
        <v>56</v>
      </c>
      <c r="H636" s="13">
        <v>1025608.194</v>
      </c>
      <c r="I636" s="15">
        <f>IF(Table1[[#This Row],[Salary]]&lt;1000000,Table1[[#This Row],[Salary]]*0.05,Table1[[#This Row],[Salary]]*0.1)</f>
        <v>102560.81940000001</v>
      </c>
      <c r="J636" s="15">
        <f>Table1[[#This Row],[Salary]]+Table1[[#This Row],[Bonus]]</f>
        <v>1128169.0134000001</v>
      </c>
      <c r="K636" s="25">
        <f>COUNTA(Table1[Employee_ID])</f>
        <v>1000</v>
      </c>
      <c r="L636" s="1">
        <f>SUM(Table1[Salary])</f>
        <v>3119391523.8580012</v>
      </c>
      <c r="M636" s="15">
        <f>AVERAGE(Table1[Salary])</f>
        <v>3119391.5238580015</v>
      </c>
      <c r="N636" s="29">
        <f>SUM(Table1[Bonus])</f>
        <v>308244983.02069992</v>
      </c>
    </row>
    <row r="637" spans="1:14" ht="12.75" customHeight="1" x14ac:dyDescent="0.25">
      <c r="A637" s="2">
        <v>557</v>
      </c>
      <c r="B637" s="10" t="s">
        <v>975</v>
      </c>
      <c r="C637" s="10" t="s">
        <v>976</v>
      </c>
      <c r="D637" s="10" t="s">
        <v>96</v>
      </c>
      <c r="E637" s="10" t="s">
        <v>10</v>
      </c>
      <c r="F637" s="10" t="s">
        <v>78</v>
      </c>
      <c r="G637" s="10" t="s">
        <v>23</v>
      </c>
      <c r="H637" s="13">
        <v>4067408.3620000002</v>
      </c>
      <c r="I637" s="15">
        <f>IF(Table1[[#This Row],[Salary]]&lt;1000000,Table1[[#This Row],[Salary]]*0.05,Table1[[#This Row],[Salary]]*0.1)</f>
        <v>406740.83620000002</v>
      </c>
      <c r="J637" s="15">
        <f>Table1[[#This Row],[Salary]]+Table1[[#This Row],[Bonus]]</f>
        <v>4474149.1982000005</v>
      </c>
      <c r="K637" s="25">
        <f>COUNTA(Table1[Employee_ID])</f>
        <v>1000</v>
      </c>
      <c r="L637" s="1">
        <f>SUM(Table1[Salary])</f>
        <v>3119391523.8580012</v>
      </c>
      <c r="M637" s="15">
        <f>AVERAGE(Table1[Salary])</f>
        <v>3119391.5238580015</v>
      </c>
      <c r="N637" s="29">
        <f>SUM(Table1[Bonus])</f>
        <v>308244983.02069992</v>
      </c>
    </row>
    <row r="638" spans="1:14" ht="12.75" customHeight="1" x14ac:dyDescent="0.25">
      <c r="A638" s="2">
        <v>558</v>
      </c>
      <c r="B638" s="10" t="s">
        <v>977</v>
      </c>
      <c r="C638" s="10" t="s">
        <v>978</v>
      </c>
      <c r="D638" s="10" t="s">
        <v>118</v>
      </c>
      <c r="E638" s="10" t="s">
        <v>63</v>
      </c>
      <c r="F638" s="10" t="s">
        <v>131</v>
      </c>
      <c r="G638" s="10" t="s">
        <v>71</v>
      </c>
      <c r="H638" s="13">
        <v>1140370.578</v>
      </c>
      <c r="I638" s="15">
        <f>IF(Table1[[#This Row],[Salary]]&lt;1000000,Table1[[#This Row],[Salary]]*0.05,Table1[[#This Row],[Salary]]*0.1)</f>
        <v>114037.05780000001</v>
      </c>
      <c r="J638" s="15">
        <f>Table1[[#This Row],[Salary]]+Table1[[#This Row],[Bonus]]</f>
        <v>1254407.6358</v>
      </c>
      <c r="K638" s="25">
        <f>COUNTA(Table1[Employee_ID])</f>
        <v>1000</v>
      </c>
      <c r="L638" s="1">
        <f>SUM(Table1[Salary])</f>
        <v>3119391523.8580012</v>
      </c>
      <c r="M638" s="15">
        <f>AVERAGE(Table1[Salary])</f>
        <v>3119391.5238580015</v>
      </c>
      <c r="N638" s="29">
        <f>SUM(Table1[Bonus])</f>
        <v>308244983.02069992</v>
      </c>
    </row>
    <row r="639" spans="1:14" ht="12.75" customHeight="1" x14ac:dyDescent="0.25">
      <c r="A639" s="2">
        <v>559</v>
      </c>
      <c r="B639" s="10" t="s">
        <v>617</v>
      </c>
      <c r="C639" s="10" t="s">
        <v>443</v>
      </c>
      <c r="D639" s="10" t="s">
        <v>88</v>
      </c>
      <c r="E639" s="10" t="s">
        <v>6</v>
      </c>
      <c r="F639" s="10" t="s">
        <v>123</v>
      </c>
      <c r="G639" s="10" t="s">
        <v>71</v>
      </c>
      <c r="H639" s="13">
        <v>436660.42799999996</v>
      </c>
      <c r="I639" s="15">
        <f>IF(Table1[[#This Row],[Salary]]&lt;1000000,Table1[[#This Row],[Salary]]*0.05,Table1[[#This Row],[Salary]]*0.1)</f>
        <v>21833.021399999998</v>
      </c>
      <c r="J639" s="15">
        <f>Table1[[#This Row],[Salary]]+Table1[[#This Row],[Bonus]]</f>
        <v>458493.44939999992</v>
      </c>
      <c r="K639" s="25">
        <f>COUNTA(Table1[Employee_ID])</f>
        <v>1000</v>
      </c>
      <c r="L639" s="1">
        <f>SUM(Table1[Salary])</f>
        <v>3119391523.8580012</v>
      </c>
      <c r="M639" s="15">
        <f>AVERAGE(Table1[Salary])</f>
        <v>3119391.5238580015</v>
      </c>
      <c r="N639" s="29">
        <f>SUM(Table1[Bonus])</f>
        <v>308244983.02069992</v>
      </c>
    </row>
    <row r="640" spans="1:14" ht="12.75" customHeight="1" x14ac:dyDescent="0.25">
      <c r="A640" s="2">
        <v>560</v>
      </c>
      <c r="B640" s="10" t="s">
        <v>176</v>
      </c>
      <c r="C640" s="10" t="s">
        <v>979</v>
      </c>
      <c r="D640" s="10" t="s">
        <v>26</v>
      </c>
      <c r="E640" s="10" t="s">
        <v>33</v>
      </c>
      <c r="F640" s="10" t="s">
        <v>34</v>
      </c>
      <c r="G640" s="10" t="s">
        <v>35</v>
      </c>
      <c r="H640" s="13">
        <v>4241648.4060000004</v>
      </c>
      <c r="I640" s="15">
        <f>IF(Table1[[#This Row],[Salary]]&lt;1000000,Table1[[#This Row],[Salary]]*0.05,Table1[[#This Row],[Salary]]*0.1)</f>
        <v>424164.84060000005</v>
      </c>
      <c r="J640" s="15">
        <f>Table1[[#This Row],[Salary]]+Table1[[#This Row],[Bonus]]</f>
        <v>4665813.2466000002</v>
      </c>
      <c r="K640" s="25">
        <f>COUNTA(Table1[Employee_ID])</f>
        <v>1000</v>
      </c>
      <c r="L640" s="1">
        <f>SUM(Table1[Salary])</f>
        <v>3119391523.8580012</v>
      </c>
      <c r="M640" s="15">
        <f>AVERAGE(Table1[Salary])</f>
        <v>3119391.5238580015</v>
      </c>
      <c r="N640" s="29">
        <f>SUM(Table1[Bonus])</f>
        <v>308244983.02069992</v>
      </c>
    </row>
    <row r="641" spans="1:14" ht="12.75" customHeight="1" x14ac:dyDescent="0.25">
      <c r="A641" s="2">
        <v>561</v>
      </c>
      <c r="B641" s="10" t="s">
        <v>980</v>
      </c>
      <c r="C641" s="10" t="s">
        <v>94</v>
      </c>
      <c r="D641" s="10" t="s">
        <v>125</v>
      </c>
      <c r="E641" s="10" t="s">
        <v>14</v>
      </c>
      <c r="F641" s="10" t="s">
        <v>51</v>
      </c>
      <c r="G641" s="10" t="s">
        <v>29</v>
      </c>
      <c r="H641" s="13">
        <v>2774354.0060000001</v>
      </c>
      <c r="I641" s="15">
        <f>IF(Table1[[#This Row],[Salary]]&lt;1000000,Table1[[#This Row],[Salary]]*0.05,Table1[[#This Row],[Salary]]*0.1)</f>
        <v>277435.40059999999</v>
      </c>
      <c r="J641" s="15">
        <f>Table1[[#This Row],[Salary]]+Table1[[#This Row],[Bonus]]</f>
        <v>3051789.4065999999</v>
      </c>
      <c r="K641" s="25">
        <f>COUNTA(Table1[Employee_ID])</f>
        <v>1000</v>
      </c>
      <c r="L641" s="1">
        <f>SUM(Table1[Salary])</f>
        <v>3119391523.8580012</v>
      </c>
      <c r="M641" s="15">
        <f>AVERAGE(Table1[Salary])</f>
        <v>3119391.5238580015</v>
      </c>
      <c r="N641" s="29">
        <f>SUM(Table1[Bonus])</f>
        <v>308244983.02069992</v>
      </c>
    </row>
    <row r="642" spans="1:14" ht="12.75" customHeight="1" x14ac:dyDescent="0.25">
      <c r="A642" s="2">
        <v>562</v>
      </c>
      <c r="B642" s="10" t="s">
        <v>981</v>
      </c>
      <c r="C642" s="10" t="s">
        <v>982</v>
      </c>
      <c r="D642" s="10" t="s">
        <v>128</v>
      </c>
      <c r="E642" s="10" t="s">
        <v>27</v>
      </c>
      <c r="F642" s="10" t="s">
        <v>85</v>
      </c>
      <c r="G642" s="10" t="s">
        <v>48</v>
      </c>
      <c r="H642" s="13">
        <v>5501755.0999999996</v>
      </c>
      <c r="I642" s="15">
        <f>IF(Table1[[#This Row],[Salary]]&lt;1000000,Table1[[#This Row],[Salary]]*0.05,Table1[[#This Row],[Salary]]*0.1)</f>
        <v>550175.51</v>
      </c>
      <c r="J642" s="15">
        <f>Table1[[#This Row],[Salary]]+Table1[[#This Row],[Bonus]]</f>
        <v>6051930.6099999994</v>
      </c>
      <c r="K642" s="25">
        <f>COUNTA(Table1[Employee_ID])</f>
        <v>1000</v>
      </c>
      <c r="L642" s="1">
        <f>SUM(Table1[Salary])</f>
        <v>3119391523.8580012</v>
      </c>
      <c r="M642" s="15">
        <f>AVERAGE(Table1[Salary])</f>
        <v>3119391.5238580015</v>
      </c>
      <c r="N642" s="29">
        <f>SUM(Table1[Bonus])</f>
        <v>308244983.02069992</v>
      </c>
    </row>
    <row r="643" spans="1:14" ht="12.75" customHeight="1" x14ac:dyDescent="0.25">
      <c r="A643" s="2">
        <v>563</v>
      </c>
      <c r="B643" s="10" t="s">
        <v>983</v>
      </c>
      <c r="C643" s="10" t="s">
        <v>984</v>
      </c>
      <c r="D643" s="10" t="s">
        <v>125</v>
      </c>
      <c r="E643" s="10" t="s">
        <v>14</v>
      </c>
      <c r="F643" s="10" t="s">
        <v>222</v>
      </c>
      <c r="G643" s="10" t="s">
        <v>23</v>
      </c>
      <c r="H643" s="13">
        <v>1419819.9680000001</v>
      </c>
      <c r="I643" s="15">
        <f>IF(Table1[[#This Row],[Salary]]&lt;1000000,Table1[[#This Row],[Salary]]*0.05,Table1[[#This Row],[Salary]]*0.1)</f>
        <v>141981.99680000002</v>
      </c>
      <c r="J643" s="15">
        <f>Table1[[#This Row],[Salary]]+Table1[[#This Row],[Bonus]]</f>
        <v>1561801.9648000002</v>
      </c>
      <c r="K643" s="25">
        <f>COUNTA(Table1[Employee_ID])</f>
        <v>1000</v>
      </c>
      <c r="L643" s="1">
        <f>SUM(Table1[Salary])</f>
        <v>3119391523.8580012</v>
      </c>
      <c r="M643" s="15">
        <f>AVERAGE(Table1[Salary])</f>
        <v>3119391.5238580015</v>
      </c>
      <c r="N643" s="29">
        <f>SUM(Table1[Bonus])</f>
        <v>308244983.02069992</v>
      </c>
    </row>
    <row r="644" spans="1:14" ht="12.75" customHeight="1" x14ac:dyDescent="0.25">
      <c r="A644" s="2">
        <v>564</v>
      </c>
      <c r="B644" s="10" t="s">
        <v>666</v>
      </c>
      <c r="C644" s="10" t="s">
        <v>985</v>
      </c>
      <c r="D644" s="10" t="s">
        <v>134</v>
      </c>
      <c r="E644" s="10" t="s">
        <v>6</v>
      </c>
      <c r="F644" s="10" t="s">
        <v>144</v>
      </c>
      <c r="G644" s="10" t="s">
        <v>23</v>
      </c>
      <c r="H644" s="13">
        <v>4893968.2719999999</v>
      </c>
      <c r="I644" s="15">
        <f>IF(Table1[[#This Row],[Salary]]&lt;1000000,Table1[[#This Row],[Salary]]*0.05,Table1[[#This Row],[Salary]]*0.1)</f>
        <v>489396.8272</v>
      </c>
      <c r="J644" s="15">
        <f>Table1[[#This Row],[Salary]]+Table1[[#This Row],[Bonus]]</f>
        <v>5383365.0992000001</v>
      </c>
      <c r="K644" s="25">
        <f>COUNTA(Table1[Employee_ID])</f>
        <v>1000</v>
      </c>
      <c r="L644" s="1">
        <f>SUM(Table1[Salary])</f>
        <v>3119391523.8580012</v>
      </c>
      <c r="M644" s="15">
        <f>AVERAGE(Table1[Salary])</f>
        <v>3119391.5238580015</v>
      </c>
      <c r="N644" s="29">
        <f>SUM(Table1[Bonus])</f>
        <v>308244983.02069992</v>
      </c>
    </row>
    <row r="645" spans="1:14" ht="12.75" customHeight="1" x14ac:dyDescent="0.25">
      <c r="A645" s="2">
        <v>565</v>
      </c>
      <c r="B645" s="10" t="s">
        <v>255</v>
      </c>
      <c r="C645" s="10" t="s">
        <v>986</v>
      </c>
      <c r="D645" s="10" t="s">
        <v>137</v>
      </c>
      <c r="E645" s="10" t="s">
        <v>33</v>
      </c>
      <c r="F645" s="10" t="s">
        <v>47</v>
      </c>
      <c r="G645" s="10" t="s">
        <v>48</v>
      </c>
      <c r="H645" s="13">
        <v>3802251.8</v>
      </c>
      <c r="I645" s="15">
        <f>IF(Table1[[#This Row],[Salary]]&lt;1000000,Table1[[#This Row],[Salary]]*0.05,Table1[[#This Row],[Salary]]*0.1)</f>
        <v>380225.18</v>
      </c>
      <c r="J645" s="15">
        <f>Table1[[#This Row],[Salary]]+Table1[[#This Row],[Bonus]]</f>
        <v>4182476.98</v>
      </c>
      <c r="K645" s="25">
        <f>COUNTA(Table1[Employee_ID])</f>
        <v>1000</v>
      </c>
      <c r="L645" s="1">
        <f>SUM(Table1[Salary])</f>
        <v>3119391523.8580012</v>
      </c>
      <c r="M645" s="15">
        <f>AVERAGE(Table1[Salary])</f>
        <v>3119391.5238580015</v>
      </c>
      <c r="N645" s="29">
        <f>SUM(Table1[Bonus])</f>
        <v>308244983.02069992</v>
      </c>
    </row>
    <row r="646" spans="1:14" ht="12.75" customHeight="1" x14ac:dyDescent="0.25">
      <c r="A646" s="2">
        <v>566</v>
      </c>
      <c r="B646" s="10" t="s">
        <v>333</v>
      </c>
      <c r="C646" s="10" t="s">
        <v>987</v>
      </c>
      <c r="D646" s="10" t="s">
        <v>140</v>
      </c>
      <c r="E646" s="10" t="s">
        <v>6</v>
      </c>
      <c r="F646" s="10" t="s">
        <v>74</v>
      </c>
      <c r="G646" s="10" t="s">
        <v>56</v>
      </c>
      <c r="H646" s="13">
        <v>4478390.7140000006</v>
      </c>
      <c r="I646" s="15">
        <f>IF(Table1[[#This Row],[Salary]]&lt;1000000,Table1[[#This Row],[Salary]]*0.05,Table1[[#This Row],[Salary]]*0.1)</f>
        <v>447839.07140000007</v>
      </c>
      <c r="J646" s="15">
        <f>Table1[[#This Row],[Salary]]+Table1[[#This Row],[Bonus]]</f>
        <v>4926229.7854000004</v>
      </c>
      <c r="K646" s="25">
        <f>COUNTA(Table1[Employee_ID])</f>
        <v>1000</v>
      </c>
      <c r="L646" s="1">
        <f>SUM(Table1[Salary])</f>
        <v>3119391523.8580012</v>
      </c>
      <c r="M646" s="15">
        <f>AVERAGE(Table1[Salary])</f>
        <v>3119391.5238580015</v>
      </c>
      <c r="N646" s="29">
        <f>SUM(Table1[Bonus])</f>
        <v>308244983.02069992</v>
      </c>
    </row>
    <row r="647" spans="1:14" ht="12.75" customHeight="1" x14ac:dyDescent="0.25">
      <c r="A647" s="2">
        <v>567</v>
      </c>
      <c r="B647" s="10" t="s">
        <v>988</v>
      </c>
      <c r="C647" s="10" t="s">
        <v>989</v>
      </c>
      <c r="D647" s="10" t="s">
        <v>143</v>
      </c>
      <c r="E647" s="10" t="s">
        <v>14</v>
      </c>
      <c r="F647" s="10" t="s">
        <v>234</v>
      </c>
      <c r="G647" s="10" t="s">
        <v>29</v>
      </c>
      <c r="H647" s="13">
        <v>835685.45</v>
      </c>
      <c r="I647" s="15">
        <f>IF(Table1[[#This Row],[Salary]]&lt;1000000,Table1[[#This Row],[Salary]]*0.05,Table1[[#This Row],[Salary]]*0.1)</f>
        <v>41784.272499999999</v>
      </c>
      <c r="J647" s="15">
        <f>Table1[[#This Row],[Salary]]+Table1[[#This Row],[Bonus]]</f>
        <v>877469.72249999992</v>
      </c>
      <c r="K647" s="25">
        <f>COUNTA(Table1[Employee_ID])</f>
        <v>1000</v>
      </c>
      <c r="L647" s="1">
        <f>SUM(Table1[Salary])</f>
        <v>3119391523.8580012</v>
      </c>
      <c r="M647" s="15">
        <f>AVERAGE(Table1[Salary])</f>
        <v>3119391.5238580015</v>
      </c>
      <c r="N647" s="29">
        <f>SUM(Table1[Bonus])</f>
        <v>308244983.02069992</v>
      </c>
    </row>
    <row r="648" spans="1:14" ht="12.75" customHeight="1" x14ac:dyDescent="0.25">
      <c r="A648" s="2">
        <v>568</v>
      </c>
      <c r="B648" s="10" t="s">
        <v>990</v>
      </c>
      <c r="C648" s="10" t="s">
        <v>673</v>
      </c>
      <c r="D648" s="10" t="s">
        <v>146</v>
      </c>
      <c r="E648" s="10" t="s">
        <v>2</v>
      </c>
      <c r="F648" s="10" t="s">
        <v>60</v>
      </c>
      <c r="G648" s="10" t="s">
        <v>35</v>
      </c>
      <c r="H648" s="13">
        <v>1015252.9480000001</v>
      </c>
      <c r="I648" s="15">
        <f>IF(Table1[[#This Row],[Salary]]&lt;1000000,Table1[[#This Row],[Salary]]*0.05,Table1[[#This Row],[Salary]]*0.1)</f>
        <v>101525.29480000002</v>
      </c>
      <c r="J648" s="15">
        <f>Table1[[#This Row],[Salary]]+Table1[[#This Row],[Bonus]]</f>
        <v>1116778.2428000001</v>
      </c>
      <c r="K648" s="25">
        <f>COUNTA(Table1[Employee_ID])</f>
        <v>1000</v>
      </c>
      <c r="L648" s="1">
        <f>SUM(Table1[Salary])</f>
        <v>3119391523.8580012</v>
      </c>
      <c r="M648" s="15">
        <f>AVERAGE(Table1[Salary])</f>
        <v>3119391.5238580015</v>
      </c>
      <c r="N648" s="29">
        <f>SUM(Table1[Bonus])</f>
        <v>308244983.02069992</v>
      </c>
    </row>
    <row r="649" spans="1:14" ht="12.75" customHeight="1" x14ac:dyDescent="0.25">
      <c r="A649" s="2">
        <v>569</v>
      </c>
      <c r="B649" s="10" t="s">
        <v>991</v>
      </c>
      <c r="C649" s="10" t="s">
        <v>992</v>
      </c>
      <c r="D649" s="10" t="s">
        <v>149</v>
      </c>
      <c r="E649" s="10" t="s">
        <v>14</v>
      </c>
      <c r="F649" s="10" t="s">
        <v>51</v>
      </c>
      <c r="G649" s="10" t="s">
        <v>35</v>
      </c>
      <c r="H649" s="13">
        <v>2690773.96</v>
      </c>
      <c r="I649" s="15">
        <f>IF(Table1[[#This Row],[Salary]]&lt;1000000,Table1[[#This Row],[Salary]]*0.05,Table1[[#This Row],[Salary]]*0.1)</f>
        <v>269077.39600000001</v>
      </c>
      <c r="J649" s="15">
        <f>Table1[[#This Row],[Salary]]+Table1[[#This Row],[Bonus]]</f>
        <v>2959851.3560000001</v>
      </c>
      <c r="K649" s="25">
        <f>COUNTA(Table1[Employee_ID])</f>
        <v>1000</v>
      </c>
      <c r="L649" s="1">
        <f>SUM(Table1[Salary])</f>
        <v>3119391523.8580012</v>
      </c>
      <c r="M649" s="15">
        <f>AVERAGE(Table1[Salary])</f>
        <v>3119391.5238580015</v>
      </c>
      <c r="N649" s="29">
        <f>SUM(Table1[Bonus])</f>
        <v>308244983.02069992</v>
      </c>
    </row>
    <row r="650" spans="1:14" ht="12.75" customHeight="1" x14ac:dyDescent="0.25">
      <c r="A650" s="2">
        <v>570</v>
      </c>
      <c r="B650" s="10" t="s">
        <v>993</v>
      </c>
      <c r="C650" s="10" t="s">
        <v>994</v>
      </c>
      <c r="D650" s="10" t="s">
        <v>88</v>
      </c>
      <c r="E650" s="10" t="s">
        <v>27</v>
      </c>
      <c r="F650" s="10" t="s">
        <v>106</v>
      </c>
      <c r="G650" s="10" t="s">
        <v>35</v>
      </c>
      <c r="H650" s="13">
        <v>3012663.4179999996</v>
      </c>
      <c r="I650" s="15">
        <f>IF(Table1[[#This Row],[Salary]]&lt;1000000,Table1[[#This Row],[Salary]]*0.05,Table1[[#This Row],[Salary]]*0.1)</f>
        <v>301266.34179999999</v>
      </c>
      <c r="J650" s="15">
        <f>Table1[[#This Row],[Salary]]+Table1[[#This Row],[Bonus]]</f>
        <v>3313929.7597999997</v>
      </c>
      <c r="K650" s="25">
        <f>COUNTA(Table1[Employee_ID])</f>
        <v>1000</v>
      </c>
      <c r="L650" s="1">
        <f>SUM(Table1[Salary])</f>
        <v>3119391523.8580012</v>
      </c>
      <c r="M650" s="15">
        <f>AVERAGE(Table1[Salary])</f>
        <v>3119391.5238580015</v>
      </c>
      <c r="N650" s="29">
        <f>SUM(Table1[Bonus])</f>
        <v>308244983.02069992</v>
      </c>
    </row>
    <row r="651" spans="1:14" ht="12.75" customHeight="1" x14ac:dyDescent="0.25">
      <c r="A651" s="2">
        <v>572</v>
      </c>
      <c r="B651" s="10" t="s">
        <v>996</v>
      </c>
      <c r="C651" s="10" t="s">
        <v>997</v>
      </c>
      <c r="D651" s="10" t="s">
        <v>156</v>
      </c>
      <c r="E651" s="10" t="s">
        <v>27</v>
      </c>
      <c r="F651" s="10" t="s">
        <v>28</v>
      </c>
      <c r="G651" s="10" t="s">
        <v>48</v>
      </c>
      <c r="H651" s="13">
        <v>2841812.9360000002</v>
      </c>
      <c r="I651" s="15">
        <f>IF(Table1[[#This Row],[Salary]]&lt;1000000,Table1[[#This Row],[Salary]]*0.05,Table1[[#This Row],[Salary]]*0.1)</f>
        <v>284181.29360000003</v>
      </c>
      <c r="J651" s="15">
        <f>Table1[[#This Row],[Salary]]+Table1[[#This Row],[Bonus]]</f>
        <v>3125994.2296000002</v>
      </c>
      <c r="K651" s="25">
        <f>COUNTA(Table1[Employee_ID])</f>
        <v>1000</v>
      </c>
      <c r="L651" s="1">
        <f>SUM(Table1[Salary])</f>
        <v>3119391523.8580012</v>
      </c>
      <c r="M651" s="15">
        <f>AVERAGE(Table1[Salary])</f>
        <v>3119391.5238580015</v>
      </c>
      <c r="N651" s="29">
        <f>SUM(Table1[Bonus])</f>
        <v>308244983.02069992</v>
      </c>
    </row>
    <row r="652" spans="1:14" ht="12.75" customHeight="1" x14ac:dyDescent="0.25">
      <c r="A652" s="2">
        <v>573</v>
      </c>
      <c r="B652" s="10" t="s">
        <v>998</v>
      </c>
      <c r="C652" s="10" t="s">
        <v>999</v>
      </c>
      <c r="D652" s="10" t="s">
        <v>159</v>
      </c>
      <c r="E652" s="10" t="s">
        <v>33</v>
      </c>
      <c r="F652" s="10" t="s">
        <v>55</v>
      </c>
      <c r="G652" s="10" t="s">
        <v>56</v>
      </c>
      <c r="H652" s="13">
        <v>5271236.9000000004</v>
      </c>
      <c r="I652" s="15">
        <f>IF(Table1[[#This Row],[Salary]]&lt;1000000,Table1[[#This Row],[Salary]]*0.05,Table1[[#This Row],[Salary]]*0.1)</f>
        <v>527123.69000000006</v>
      </c>
      <c r="J652" s="15">
        <f>Table1[[#This Row],[Salary]]+Table1[[#This Row],[Bonus]]</f>
        <v>5798360.5900000008</v>
      </c>
      <c r="K652" s="25">
        <f>COUNTA(Table1[Employee_ID])</f>
        <v>1000</v>
      </c>
      <c r="L652" s="1">
        <f>SUM(Table1[Salary])</f>
        <v>3119391523.8580012</v>
      </c>
      <c r="M652" s="15">
        <f>AVERAGE(Table1[Salary])</f>
        <v>3119391.5238580015</v>
      </c>
      <c r="N652" s="29">
        <f>SUM(Table1[Bonus])</f>
        <v>308244983.02069992</v>
      </c>
    </row>
    <row r="653" spans="1:14" ht="12.75" customHeight="1" x14ac:dyDescent="0.25">
      <c r="A653" s="2">
        <v>574</v>
      </c>
      <c r="B653" s="10" t="s">
        <v>147</v>
      </c>
      <c r="C653" s="10" t="s">
        <v>1000</v>
      </c>
      <c r="D653" s="10" t="s">
        <v>162</v>
      </c>
      <c r="E653" s="10" t="s">
        <v>27</v>
      </c>
      <c r="F653" s="10" t="s">
        <v>85</v>
      </c>
      <c r="G653" s="10" t="s">
        <v>56</v>
      </c>
      <c r="H653" s="13">
        <v>2602870.3859999999</v>
      </c>
      <c r="I653" s="15">
        <f>IF(Table1[[#This Row],[Salary]]&lt;1000000,Table1[[#This Row],[Salary]]*0.05,Table1[[#This Row],[Salary]]*0.1)</f>
        <v>260287.0386</v>
      </c>
      <c r="J653" s="15">
        <f>Table1[[#This Row],[Salary]]+Table1[[#This Row],[Bonus]]</f>
        <v>2863157.4246</v>
      </c>
      <c r="K653" s="25">
        <f>COUNTA(Table1[Employee_ID])</f>
        <v>1000</v>
      </c>
      <c r="L653" s="1">
        <f>SUM(Table1[Salary])</f>
        <v>3119391523.8580012</v>
      </c>
      <c r="M653" s="15">
        <f>AVERAGE(Table1[Salary])</f>
        <v>3119391.5238580015</v>
      </c>
      <c r="N653" s="29">
        <f>SUM(Table1[Bonus])</f>
        <v>308244983.02069992</v>
      </c>
    </row>
    <row r="654" spans="1:14" ht="12.75" customHeight="1" x14ac:dyDescent="0.25">
      <c r="A654" s="2">
        <v>575</v>
      </c>
      <c r="B654" s="10" t="s">
        <v>1001</v>
      </c>
      <c r="C654" s="10" t="s">
        <v>1002</v>
      </c>
      <c r="D654" s="10" t="s">
        <v>165</v>
      </c>
      <c r="E654" s="10" t="s">
        <v>10</v>
      </c>
      <c r="F654" s="10" t="s">
        <v>109</v>
      </c>
      <c r="G654" s="10" t="s">
        <v>35</v>
      </c>
      <c r="H654" s="13">
        <v>4715600.5879999995</v>
      </c>
      <c r="I654" s="15">
        <f>IF(Table1[[#This Row],[Salary]]&lt;1000000,Table1[[#This Row],[Salary]]*0.05,Table1[[#This Row],[Salary]]*0.1)</f>
        <v>471560.0588</v>
      </c>
      <c r="J654" s="15">
        <f>Table1[[#This Row],[Salary]]+Table1[[#This Row],[Bonus]]</f>
        <v>5187160.6467999993</v>
      </c>
      <c r="K654" s="25">
        <f>COUNTA(Table1[Employee_ID])</f>
        <v>1000</v>
      </c>
      <c r="L654" s="1">
        <f>SUM(Table1[Salary])</f>
        <v>3119391523.8580012</v>
      </c>
      <c r="M654" s="15">
        <f>AVERAGE(Table1[Salary])</f>
        <v>3119391.5238580015</v>
      </c>
      <c r="N654" s="29">
        <f>SUM(Table1[Bonus])</f>
        <v>308244983.02069992</v>
      </c>
    </row>
    <row r="655" spans="1:14" ht="12.75" customHeight="1" x14ac:dyDescent="0.25">
      <c r="A655" s="2">
        <v>576</v>
      </c>
      <c r="B655" s="10" t="s">
        <v>732</v>
      </c>
      <c r="C655" s="10" t="s">
        <v>1003</v>
      </c>
      <c r="D655" s="10" t="s">
        <v>156</v>
      </c>
      <c r="E655" s="10" t="s">
        <v>2</v>
      </c>
      <c r="F655" s="10" t="s">
        <v>74</v>
      </c>
      <c r="G655" s="10" t="s">
        <v>23</v>
      </c>
      <c r="H655" s="13">
        <v>5199211.9140000008</v>
      </c>
      <c r="I655" s="15">
        <f>IF(Table1[[#This Row],[Salary]]&lt;1000000,Table1[[#This Row],[Salary]]*0.05,Table1[[#This Row],[Salary]]*0.1)</f>
        <v>519921.19140000013</v>
      </c>
      <c r="J655" s="15">
        <f>Table1[[#This Row],[Salary]]+Table1[[#This Row],[Bonus]]</f>
        <v>5719133.1054000007</v>
      </c>
      <c r="K655" s="25">
        <f>COUNTA(Table1[Employee_ID])</f>
        <v>1000</v>
      </c>
      <c r="L655" s="1">
        <f>SUM(Table1[Salary])</f>
        <v>3119391523.8580012</v>
      </c>
      <c r="M655" s="15">
        <f>AVERAGE(Table1[Salary])</f>
        <v>3119391.5238580015</v>
      </c>
      <c r="N655" s="29">
        <f>SUM(Table1[Bonus])</f>
        <v>308244983.02069992</v>
      </c>
    </row>
    <row r="656" spans="1:14" ht="12.75" customHeight="1" x14ac:dyDescent="0.25">
      <c r="A656" s="2">
        <v>577</v>
      </c>
      <c r="B656" s="10" t="s">
        <v>1004</v>
      </c>
      <c r="C656" s="10" t="s">
        <v>1005</v>
      </c>
      <c r="D656" s="10" t="s">
        <v>21</v>
      </c>
      <c r="E656" s="10" t="s">
        <v>13</v>
      </c>
      <c r="F656" s="10" t="s">
        <v>43</v>
      </c>
      <c r="G656" s="10" t="s">
        <v>23</v>
      </c>
      <c r="H656" s="13">
        <v>4153665.5439999998</v>
      </c>
      <c r="I656" s="15">
        <f>IF(Table1[[#This Row],[Salary]]&lt;1000000,Table1[[#This Row],[Salary]]*0.05,Table1[[#This Row],[Salary]]*0.1)</f>
        <v>415366.55440000002</v>
      </c>
      <c r="J656" s="15">
        <f>Table1[[#This Row],[Salary]]+Table1[[#This Row],[Bonus]]</f>
        <v>4569032.0983999996</v>
      </c>
      <c r="K656" s="25">
        <f>COUNTA(Table1[Employee_ID])</f>
        <v>1000</v>
      </c>
      <c r="L656" s="1">
        <f>SUM(Table1[Salary])</f>
        <v>3119391523.8580012</v>
      </c>
      <c r="M656" s="15">
        <f>AVERAGE(Table1[Salary])</f>
        <v>3119391.5238580015</v>
      </c>
      <c r="N656" s="29">
        <f>SUM(Table1[Bonus])</f>
        <v>308244983.02069992</v>
      </c>
    </row>
    <row r="657" spans="1:14" ht="12.75" customHeight="1" x14ac:dyDescent="0.25">
      <c r="A657" s="2">
        <v>578</v>
      </c>
      <c r="B657" s="10" t="s">
        <v>1006</v>
      </c>
      <c r="C657" s="10" t="s">
        <v>1007</v>
      </c>
      <c r="D657" s="10" t="s">
        <v>21</v>
      </c>
      <c r="E657" s="10" t="s">
        <v>63</v>
      </c>
      <c r="F657" s="10" t="s">
        <v>64</v>
      </c>
      <c r="G657" s="10" t="s">
        <v>29</v>
      </c>
      <c r="H657" s="13">
        <v>2763864.67</v>
      </c>
      <c r="I657" s="15">
        <f>IF(Table1[[#This Row],[Salary]]&lt;1000000,Table1[[#This Row],[Salary]]*0.05,Table1[[#This Row],[Salary]]*0.1)</f>
        <v>276386.467</v>
      </c>
      <c r="J657" s="15">
        <f>Table1[[#This Row],[Salary]]+Table1[[#This Row],[Bonus]]</f>
        <v>3040251.1370000001</v>
      </c>
      <c r="K657" s="25">
        <f>COUNTA(Table1[Employee_ID])</f>
        <v>1000</v>
      </c>
      <c r="L657" s="1">
        <f>SUM(Table1[Salary])</f>
        <v>3119391523.8580012</v>
      </c>
      <c r="M657" s="15">
        <f>AVERAGE(Table1[Salary])</f>
        <v>3119391.5238580015</v>
      </c>
      <c r="N657" s="29">
        <f>SUM(Table1[Bonus])</f>
        <v>308244983.02069992</v>
      </c>
    </row>
    <row r="658" spans="1:14" ht="12.75" customHeight="1" x14ac:dyDescent="0.25">
      <c r="A658" s="2">
        <v>579</v>
      </c>
      <c r="B658" s="10" t="s">
        <v>1008</v>
      </c>
      <c r="C658" s="10" t="s">
        <v>1009</v>
      </c>
      <c r="D658" s="10" t="s">
        <v>26</v>
      </c>
      <c r="E658" s="10" t="s">
        <v>10</v>
      </c>
      <c r="F658" s="10" t="s">
        <v>131</v>
      </c>
      <c r="G658" s="10" t="s">
        <v>48</v>
      </c>
      <c r="H658" s="13">
        <v>3490571.838</v>
      </c>
      <c r="I658" s="15">
        <f>IF(Table1[[#This Row],[Salary]]&lt;1000000,Table1[[#This Row],[Salary]]*0.05,Table1[[#This Row],[Salary]]*0.1)</f>
        <v>349057.1838</v>
      </c>
      <c r="J658" s="15">
        <f>Table1[[#This Row],[Salary]]+Table1[[#This Row],[Bonus]]</f>
        <v>3839629.0218000002</v>
      </c>
      <c r="K658" s="25">
        <f>COUNTA(Table1[Employee_ID])</f>
        <v>1000</v>
      </c>
      <c r="L658" s="1">
        <f>SUM(Table1[Salary])</f>
        <v>3119391523.8580012</v>
      </c>
      <c r="M658" s="15">
        <f>AVERAGE(Table1[Salary])</f>
        <v>3119391.5238580015</v>
      </c>
      <c r="N658" s="29">
        <f>SUM(Table1[Bonus])</f>
        <v>308244983.02069992</v>
      </c>
    </row>
    <row r="659" spans="1:14" ht="12.75" customHeight="1" x14ac:dyDescent="0.25">
      <c r="A659" s="2">
        <v>581</v>
      </c>
      <c r="B659" s="10" t="s">
        <v>1011</v>
      </c>
      <c r="C659" s="10" t="s">
        <v>1012</v>
      </c>
      <c r="D659" s="10" t="s">
        <v>38</v>
      </c>
      <c r="E659" s="10" t="s">
        <v>27</v>
      </c>
      <c r="F659" s="10" t="s">
        <v>106</v>
      </c>
      <c r="G659" s="10" t="s">
        <v>23</v>
      </c>
      <c r="H659" s="13">
        <v>1649573.2719999999</v>
      </c>
      <c r="I659" s="15">
        <f>IF(Table1[[#This Row],[Salary]]&lt;1000000,Table1[[#This Row],[Salary]]*0.05,Table1[[#This Row],[Salary]]*0.1)</f>
        <v>164957.3272</v>
      </c>
      <c r="J659" s="15">
        <f>Table1[[#This Row],[Salary]]+Table1[[#This Row],[Bonus]]</f>
        <v>1814530.5991999998</v>
      </c>
      <c r="K659" s="25">
        <f>COUNTA(Table1[Employee_ID])</f>
        <v>1000</v>
      </c>
      <c r="L659" s="1">
        <f>SUM(Table1[Salary])</f>
        <v>3119391523.8580012</v>
      </c>
      <c r="M659" s="15">
        <f>AVERAGE(Table1[Salary])</f>
        <v>3119391.5238580015</v>
      </c>
      <c r="N659" s="29">
        <f>SUM(Table1[Bonus])</f>
        <v>308244983.02069992</v>
      </c>
    </row>
    <row r="660" spans="1:14" ht="12.75" customHeight="1" x14ac:dyDescent="0.25">
      <c r="A660" s="2">
        <v>583</v>
      </c>
      <c r="B660" s="10" t="s">
        <v>1013</v>
      </c>
      <c r="C660" s="10" t="s">
        <v>1014</v>
      </c>
      <c r="D660" s="10" t="s">
        <v>46</v>
      </c>
      <c r="E660" s="10" t="s">
        <v>33</v>
      </c>
      <c r="F660" s="10" t="s">
        <v>34</v>
      </c>
      <c r="G660" s="10" t="s">
        <v>23</v>
      </c>
      <c r="H660" s="13">
        <v>1678234.7180000001</v>
      </c>
      <c r="I660" s="15">
        <f>IF(Table1[[#This Row],[Salary]]&lt;1000000,Table1[[#This Row],[Salary]]*0.05,Table1[[#This Row],[Salary]]*0.1)</f>
        <v>167823.47180000003</v>
      </c>
      <c r="J660" s="15">
        <f>Table1[[#This Row],[Salary]]+Table1[[#This Row],[Bonus]]</f>
        <v>1846058.1898000001</v>
      </c>
      <c r="K660" s="25">
        <f>COUNTA(Table1[Employee_ID])</f>
        <v>1000</v>
      </c>
      <c r="L660" s="1">
        <f>SUM(Table1[Salary])</f>
        <v>3119391523.8580012</v>
      </c>
      <c r="M660" s="15">
        <f>AVERAGE(Table1[Salary])</f>
        <v>3119391.5238580015</v>
      </c>
      <c r="N660" s="29">
        <f>SUM(Table1[Bonus])</f>
        <v>308244983.02069992</v>
      </c>
    </row>
    <row r="661" spans="1:14" ht="12.75" customHeight="1" x14ac:dyDescent="0.25">
      <c r="A661" s="2">
        <v>585</v>
      </c>
      <c r="B661" s="10" t="s">
        <v>173</v>
      </c>
      <c r="C661" s="10" t="s">
        <v>1016</v>
      </c>
      <c r="D661" s="10" t="s">
        <v>54</v>
      </c>
      <c r="E661" s="10" t="s">
        <v>33</v>
      </c>
      <c r="F661" s="10" t="s">
        <v>47</v>
      </c>
      <c r="G661" s="10" t="s">
        <v>71</v>
      </c>
      <c r="H661" s="13">
        <v>2784254.5120000001</v>
      </c>
      <c r="I661" s="15">
        <f>IF(Table1[[#This Row],[Salary]]&lt;1000000,Table1[[#This Row],[Salary]]*0.05,Table1[[#This Row],[Salary]]*0.1)</f>
        <v>278425.45120000001</v>
      </c>
      <c r="J661" s="15">
        <f>Table1[[#This Row],[Salary]]+Table1[[#This Row],[Bonus]]</f>
        <v>3062679.9632000001</v>
      </c>
      <c r="K661" s="25">
        <f>COUNTA(Table1[Employee_ID])</f>
        <v>1000</v>
      </c>
      <c r="L661" s="1">
        <f>SUM(Table1[Salary])</f>
        <v>3119391523.8580012</v>
      </c>
      <c r="M661" s="15">
        <f>AVERAGE(Table1[Salary])</f>
        <v>3119391.5238580015</v>
      </c>
      <c r="N661" s="29">
        <f>SUM(Table1[Bonus])</f>
        <v>308244983.02069992</v>
      </c>
    </row>
    <row r="662" spans="1:14" ht="12.75" customHeight="1" x14ac:dyDescent="0.25">
      <c r="A662" s="2">
        <v>586</v>
      </c>
      <c r="B662" s="10" t="s">
        <v>1017</v>
      </c>
      <c r="C662" s="10" t="s">
        <v>1018</v>
      </c>
      <c r="D662" s="10" t="s">
        <v>59</v>
      </c>
      <c r="E662" s="10" t="s">
        <v>27</v>
      </c>
      <c r="F662" s="10" t="s">
        <v>28</v>
      </c>
      <c r="G662" s="10" t="s">
        <v>71</v>
      </c>
      <c r="H662" s="13">
        <v>1807302.7560000001</v>
      </c>
      <c r="I662" s="15">
        <f>IF(Table1[[#This Row],[Salary]]&lt;1000000,Table1[[#This Row],[Salary]]*0.05,Table1[[#This Row],[Salary]]*0.1)</f>
        <v>180730.27560000002</v>
      </c>
      <c r="J662" s="15">
        <f>Table1[[#This Row],[Salary]]+Table1[[#This Row],[Bonus]]</f>
        <v>1988033.0316000001</v>
      </c>
      <c r="K662" s="25">
        <f>COUNTA(Table1[Employee_ID])</f>
        <v>1000</v>
      </c>
      <c r="L662" s="1">
        <f>SUM(Table1[Salary])</f>
        <v>3119391523.8580012</v>
      </c>
      <c r="M662" s="15">
        <f>AVERAGE(Table1[Salary])</f>
        <v>3119391.5238580015</v>
      </c>
      <c r="N662" s="29">
        <f>SUM(Table1[Bonus])</f>
        <v>308244983.02069992</v>
      </c>
    </row>
    <row r="663" spans="1:14" ht="12.75" customHeight="1" x14ac:dyDescent="0.25">
      <c r="A663" s="2">
        <v>588</v>
      </c>
      <c r="B663" s="10" t="s">
        <v>813</v>
      </c>
      <c r="C663" s="10" t="s">
        <v>1019</v>
      </c>
      <c r="D663" s="10" t="s">
        <v>46</v>
      </c>
      <c r="E663" s="10" t="s">
        <v>33</v>
      </c>
      <c r="F663" s="10" t="s">
        <v>55</v>
      </c>
      <c r="G663" s="10" t="s">
        <v>29</v>
      </c>
      <c r="H663" s="13">
        <v>3479139.2079999996</v>
      </c>
      <c r="I663" s="15">
        <f>IF(Table1[[#This Row],[Salary]]&lt;1000000,Table1[[#This Row],[Salary]]*0.05,Table1[[#This Row],[Salary]]*0.1)</f>
        <v>347913.92079999996</v>
      </c>
      <c r="J663" s="15">
        <f>Table1[[#This Row],[Salary]]+Table1[[#This Row],[Bonus]]</f>
        <v>3827053.1287999996</v>
      </c>
      <c r="K663" s="25">
        <f>COUNTA(Table1[Employee_ID])</f>
        <v>1000</v>
      </c>
      <c r="L663" s="1">
        <f>SUM(Table1[Salary])</f>
        <v>3119391523.8580012</v>
      </c>
      <c r="M663" s="15">
        <f>AVERAGE(Table1[Salary])</f>
        <v>3119391.5238580015</v>
      </c>
      <c r="N663" s="29">
        <f>SUM(Table1[Bonus])</f>
        <v>308244983.02069992</v>
      </c>
    </row>
    <row r="664" spans="1:14" ht="12.75" customHeight="1" x14ac:dyDescent="0.25">
      <c r="A664" s="2">
        <v>589</v>
      </c>
      <c r="B664" s="10" t="s">
        <v>507</v>
      </c>
      <c r="C664" s="10" t="s">
        <v>1020</v>
      </c>
      <c r="D664" s="10" t="s">
        <v>59</v>
      </c>
      <c r="E664" s="10" t="s">
        <v>27</v>
      </c>
      <c r="F664" s="10" t="s">
        <v>85</v>
      </c>
      <c r="G664" s="10" t="s">
        <v>29</v>
      </c>
      <c r="H664" s="13">
        <v>579949.00199999998</v>
      </c>
      <c r="I664" s="15">
        <f>IF(Table1[[#This Row],[Salary]]&lt;1000000,Table1[[#This Row],[Salary]]*0.05,Table1[[#This Row],[Salary]]*0.1)</f>
        <v>28997.450100000002</v>
      </c>
      <c r="J664" s="15">
        <f>Table1[[#This Row],[Salary]]+Table1[[#This Row],[Bonus]]</f>
        <v>608946.45209999999</v>
      </c>
      <c r="K664" s="25">
        <f>COUNTA(Table1[Employee_ID])</f>
        <v>1000</v>
      </c>
      <c r="L664" s="1">
        <f>SUM(Table1[Salary])</f>
        <v>3119391523.8580012</v>
      </c>
      <c r="M664" s="15">
        <f>AVERAGE(Table1[Salary])</f>
        <v>3119391.5238580015</v>
      </c>
      <c r="N664" s="29">
        <f>SUM(Table1[Bonus])</f>
        <v>308244983.02069992</v>
      </c>
    </row>
    <row r="665" spans="1:14" ht="12.75" customHeight="1" x14ac:dyDescent="0.25">
      <c r="A665" s="2">
        <v>590</v>
      </c>
      <c r="B665" s="10" t="s">
        <v>1021</v>
      </c>
      <c r="C665" s="10" t="s">
        <v>1022</v>
      </c>
      <c r="D665" s="10" t="s">
        <v>46</v>
      </c>
      <c r="E665" s="10" t="s">
        <v>13</v>
      </c>
      <c r="F665" s="10" t="s">
        <v>67</v>
      </c>
      <c r="G665" s="10" t="s">
        <v>71</v>
      </c>
      <c r="H665" s="13">
        <v>4776837.7420000006</v>
      </c>
      <c r="I665" s="15">
        <f>IF(Table1[[#This Row],[Salary]]&lt;1000000,Table1[[#This Row],[Salary]]*0.05,Table1[[#This Row],[Salary]]*0.1)</f>
        <v>477683.7742000001</v>
      </c>
      <c r="J665" s="15">
        <f>Table1[[#This Row],[Salary]]+Table1[[#This Row],[Bonus]]</f>
        <v>5254521.5162000004</v>
      </c>
      <c r="K665" s="25">
        <f>COUNTA(Table1[Employee_ID])</f>
        <v>1000</v>
      </c>
      <c r="L665" s="1">
        <f>SUM(Table1[Salary])</f>
        <v>3119391523.8580012</v>
      </c>
      <c r="M665" s="15">
        <f>AVERAGE(Table1[Salary])</f>
        <v>3119391.5238580015</v>
      </c>
      <c r="N665" s="29">
        <f>SUM(Table1[Bonus])</f>
        <v>308244983.02069992</v>
      </c>
    </row>
    <row r="666" spans="1:14" ht="12.75" customHeight="1" x14ac:dyDescent="0.25">
      <c r="A666" s="2">
        <v>591</v>
      </c>
      <c r="B666" s="10" t="s">
        <v>181</v>
      </c>
      <c r="C666" s="10" t="s">
        <v>245</v>
      </c>
      <c r="D666" s="10" t="s">
        <v>77</v>
      </c>
      <c r="E666" s="10" t="s">
        <v>63</v>
      </c>
      <c r="F666" s="10" t="s">
        <v>113</v>
      </c>
      <c r="G666" s="10" t="s">
        <v>56</v>
      </c>
      <c r="H666" s="13">
        <v>2358454.6320000002</v>
      </c>
      <c r="I666" s="15">
        <f>IF(Table1[[#This Row],[Salary]]&lt;1000000,Table1[[#This Row],[Salary]]*0.05,Table1[[#This Row],[Salary]]*0.1)</f>
        <v>235845.46320000003</v>
      </c>
      <c r="J666" s="15">
        <f>Table1[[#This Row],[Salary]]+Table1[[#This Row],[Bonus]]</f>
        <v>2594300.0952000003</v>
      </c>
      <c r="K666" s="25">
        <f>COUNTA(Table1[Employee_ID])</f>
        <v>1000</v>
      </c>
      <c r="L666" s="1">
        <f>SUM(Table1[Salary])</f>
        <v>3119391523.8580012</v>
      </c>
      <c r="M666" s="15">
        <f>AVERAGE(Table1[Salary])</f>
        <v>3119391.5238580015</v>
      </c>
      <c r="N666" s="29">
        <f>SUM(Table1[Bonus])</f>
        <v>308244983.02069992</v>
      </c>
    </row>
    <row r="667" spans="1:14" ht="12.75" customHeight="1" x14ac:dyDescent="0.25">
      <c r="A667" s="2">
        <v>592</v>
      </c>
      <c r="B667" s="10" t="s">
        <v>1023</v>
      </c>
      <c r="C667" s="10" t="s">
        <v>1024</v>
      </c>
      <c r="D667" s="10" t="s">
        <v>21</v>
      </c>
      <c r="E667" s="10" t="s">
        <v>39</v>
      </c>
      <c r="F667" s="10" t="s">
        <v>40</v>
      </c>
      <c r="G667" s="10" t="s">
        <v>48</v>
      </c>
      <c r="H667" s="13">
        <v>1372242.504</v>
      </c>
      <c r="I667" s="15">
        <f>IF(Table1[[#This Row],[Salary]]&lt;1000000,Table1[[#This Row],[Salary]]*0.05,Table1[[#This Row],[Salary]]*0.1)</f>
        <v>137224.25039999999</v>
      </c>
      <c r="J667" s="15">
        <f>Table1[[#This Row],[Salary]]+Table1[[#This Row],[Bonus]]</f>
        <v>1509466.7544</v>
      </c>
      <c r="K667" s="25">
        <f>COUNTA(Table1[Employee_ID])</f>
        <v>1000</v>
      </c>
      <c r="L667" s="1">
        <f>SUM(Table1[Salary])</f>
        <v>3119391523.8580012</v>
      </c>
      <c r="M667" s="15">
        <f>AVERAGE(Table1[Salary])</f>
        <v>3119391.5238580015</v>
      </c>
      <c r="N667" s="29">
        <f>SUM(Table1[Bonus])</f>
        <v>308244983.02069992</v>
      </c>
    </row>
    <row r="668" spans="1:14" ht="12.75" customHeight="1" x14ac:dyDescent="0.25">
      <c r="A668" s="2">
        <v>593</v>
      </c>
      <c r="B668" s="10" t="s">
        <v>1025</v>
      </c>
      <c r="C668" s="10" t="s">
        <v>764</v>
      </c>
      <c r="D668" s="10" t="s">
        <v>59</v>
      </c>
      <c r="E668" s="10" t="s">
        <v>6</v>
      </c>
      <c r="F668" s="10" t="s">
        <v>123</v>
      </c>
      <c r="G668" s="10" t="s">
        <v>56</v>
      </c>
      <c r="H668" s="13">
        <v>6001579.6559999995</v>
      </c>
      <c r="I668" s="15">
        <f>IF(Table1[[#This Row],[Salary]]&lt;1000000,Table1[[#This Row],[Salary]]*0.05,Table1[[#This Row],[Salary]]*0.1)</f>
        <v>600157.9656</v>
      </c>
      <c r="J668" s="15">
        <f>Table1[[#This Row],[Salary]]+Table1[[#This Row],[Bonus]]</f>
        <v>6601737.6215999993</v>
      </c>
      <c r="K668" s="25">
        <f>COUNTA(Table1[Employee_ID])</f>
        <v>1000</v>
      </c>
      <c r="L668" s="1">
        <f>SUM(Table1[Salary])</f>
        <v>3119391523.8580012</v>
      </c>
      <c r="M668" s="15">
        <f>AVERAGE(Table1[Salary])</f>
        <v>3119391.5238580015</v>
      </c>
      <c r="N668" s="29">
        <f>SUM(Table1[Bonus])</f>
        <v>308244983.02069992</v>
      </c>
    </row>
    <row r="669" spans="1:14" ht="12.75" customHeight="1" x14ac:dyDescent="0.25">
      <c r="A669" s="2">
        <v>594</v>
      </c>
      <c r="B669" s="10" t="s">
        <v>1000</v>
      </c>
      <c r="C669" s="10" t="s">
        <v>1026</v>
      </c>
      <c r="D669" s="10" t="s">
        <v>21</v>
      </c>
      <c r="E669" s="10" t="s">
        <v>63</v>
      </c>
      <c r="F669" s="10" t="s">
        <v>131</v>
      </c>
      <c r="G669" s="10" t="s">
        <v>29</v>
      </c>
      <c r="H669" s="13">
        <v>4975119.54</v>
      </c>
      <c r="I669" s="15">
        <f>IF(Table1[[#This Row],[Salary]]&lt;1000000,Table1[[#This Row],[Salary]]*0.05,Table1[[#This Row],[Salary]]*0.1)</f>
        <v>497511.95400000003</v>
      </c>
      <c r="J669" s="15">
        <f>Table1[[#This Row],[Salary]]+Table1[[#This Row],[Bonus]]</f>
        <v>5472631.4939999999</v>
      </c>
      <c r="K669" s="25">
        <f>COUNTA(Table1[Employee_ID])</f>
        <v>1000</v>
      </c>
      <c r="L669" s="1">
        <f>SUM(Table1[Salary])</f>
        <v>3119391523.8580012</v>
      </c>
      <c r="M669" s="15">
        <f>AVERAGE(Table1[Salary])</f>
        <v>3119391.5238580015</v>
      </c>
      <c r="N669" s="29">
        <f>SUM(Table1[Bonus])</f>
        <v>308244983.02069992</v>
      </c>
    </row>
    <row r="670" spans="1:14" ht="12.75" customHeight="1" x14ac:dyDescent="0.25">
      <c r="A670" s="2">
        <v>595</v>
      </c>
      <c r="B670" s="10" t="s">
        <v>1027</v>
      </c>
      <c r="C670" s="10" t="s">
        <v>1028</v>
      </c>
      <c r="D670" s="10" t="s">
        <v>88</v>
      </c>
      <c r="E670" s="10" t="s">
        <v>39</v>
      </c>
      <c r="F670" s="10" t="s">
        <v>186</v>
      </c>
      <c r="G670" s="10" t="s">
        <v>56</v>
      </c>
      <c r="H670" s="13">
        <v>2401843.824</v>
      </c>
      <c r="I670" s="15">
        <f>IF(Table1[[#This Row],[Salary]]&lt;1000000,Table1[[#This Row],[Salary]]*0.05,Table1[[#This Row],[Salary]]*0.1)</f>
        <v>240184.3824</v>
      </c>
      <c r="J670" s="15">
        <f>Table1[[#This Row],[Salary]]+Table1[[#This Row],[Bonus]]</f>
        <v>2642028.2064</v>
      </c>
      <c r="K670" s="25">
        <f>COUNTA(Table1[Employee_ID])</f>
        <v>1000</v>
      </c>
      <c r="L670" s="1">
        <f>SUM(Table1[Salary])</f>
        <v>3119391523.8580012</v>
      </c>
      <c r="M670" s="15">
        <f>AVERAGE(Table1[Salary])</f>
        <v>3119391.5238580015</v>
      </c>
      <c r="N670" s="29">
        <f>SUM(Table1[Bonus])</f>
        <v>308244983.02069992</v>
      </c>
    </row>
    <row r="671" spans="1:14" ht="12.75" customHeight="1" x14ac:dyDescent="0.25">
      <c r="A671" s="2">
        <v>597</v>
      </c>
      <c r="B671" s="10" t="s">
        <v>1031</v>
      </c>
      <c r="C671" s="10" t="s">
        <v>456</v>
      </c>
      <c r="D671" s="10" t="s">
        <v>54</v>
      </c>
      <c r="E671" s="10" t="s">
        <v>27</v>
      </c>
      <c r="F671" s="10" t="s">
        <v>106</v>
      </c>
      <c r="G671" s="10" t="s">
        <v>56</v>
      </c>
      <c r="H671" s="13">
        <v>4724856.2960000001</v>
      </c>
      <c r="I671" s="15">
        <f>IF(Table1[[#This Row],[Salary]]&lt;1000000,Table1[[#This Row],[Salary]]*0.05,Table1[[#This Row],[Salary]]*0.1)</f>
        <v>472485.62960000004</v>
      </c>
      <c r="J671" s="15">
        <f>Table1[[#This Row],[Salary]]+Table1[[#This Row],[Bonus]]</f>
        <v>5197341.9255999997</v>
      </c>
      <c r="K671" s="25">
        <f>COUNTA(Table1[Employee_ID])</f>
        <v>1000</v>
      </c>
      <c r="L671" s="1">
        <f>SUM(Table1[Salary])</f>
        <v>3119391523.8580012</v>
      </c>
      <c r="M671" s="15">
        <f>AVERAGE(Table1[Salary])</f>
        <v>3119391.5238580015</v>
      </c>
      <c r="N671" s="29">
        <f>SUM(Table1[Bonus])</f>
        <v>308244983.02069992</v>
      </c>
    </row>
    <row r="672" spans="1:14" ht="12.75" customHeight="1" x14ac:dyDescent="0.25">
      <c r="A672" s="2">
        <v>598</v>
      </c>
      <c r="B672" s="10" t="s">
        <v>615</v>
      </c>
      <c r="C672" s="10" t="s">
        <v>1032</v>
      </c>
      <c r="D672" s="10" t="s">
        <v>96</v>
      </c>
      <c r="E672" s="10" t="s">
        <v>27</v>
      </c>
      <c r="F672" s="10" t="s">
        <v>28</v>
      </c>
      <c r="G672" s="10" t="s">
        <v>23</v>
      </c>
      <c r="H672" s="13">
        <v>3130500.5439999998</v>
      </c>
      <c r="I672" s="15">
        <f>IF(Table1[[#This Row],[Salary]]&lt;1000000,Table1[[#This Row],[Salary]]*0.05,Table1[[#This Row],[Salary]]*0.1)</f>
        <v>313050.05439999996</v>
      </c>
      <c r="J672" s="15">
        <f>Table1[[#This Row],[Salary]]+Table1[[#This Row],[Bonus]]</f>
        <v>3443550.5983999996</v>
      </c>
      <c r="K672" s="25">
        <f>COUNTA(Table1[Employee_ID])</f>
        <v>1000</v>
      </c>
      <c r="L672" s="1">
        <f>SUM(Table1[Salary])</f>
        <v>3119391523.8580012</v>
      </c>
      <c r="M672" s="15">
        <f>AVERAGE(Table1[Salary])</f>
        <v>3119391.5238580015</v>
      </c>
      <c r="N672" s="29">
        <f>SUM(Table1[Bonus])</f>
        <v>308244983.02069992</v>
      </c>
    </row>
    <row r="673" spans="1:14" ht="12.75" customHeight="1" x14ac:dyDescent="0.25">
      <c r="A673" s="2">
        <v>599</v>
      </c>
      <c r="B673" s="10" t="s">
        <v>178</v>
      </c>
      <c r="C673" s="10" t="s">
        <v>1033</v>
      </c>
      <c r="D673" s="10" t="s">
        <v>99</v>
      </c>
      <c r="E673" s="10" t="s">
        <v>13</v>
      </c>
      <c r="F673" s="10" t="s">
        <v>120</v>
      </c>
      <c r="G673" s="10" t="s">
        <v>29</v>
      </c>
      <c r="H673" s="13">
        <v>4307807.2460000003</v>
      </c>
      <c r="I673" s="15">
        <f>IF(Table1[[#This Row],[Salary]]&lt;1000000,Table1[[#This Row],[Salary]]*0.05,Table1[[#This Row],[Salary]]*0.1)</f>
        <v>430780.72460000007</v>
      </c>
      <c r="J673" s="15">
        <f>Table1[[#This Row],[Salary]]+Table1[[#This Row],[Bonus]]</f>
        <v>4738587.9706000006</v>
      </c>
      <c r="K673" s="25">
        <f>COUNTA(Table1[Employee_ID])</f>
        <v>1000</v>
      </c>
      <c r="L673" s="1">
        <f>SUM(Table1[Salary])</f>
        <v>3119391523.8580012</v>
      </c>
      <c r="M673" s="15">
        <f>AVERAGE(Table1[Salary])</f>
        <v>3119391.5238580015</v>
      </c>
      <c r="N673" s="29">
        <f>SUM(Table1[Bonus])</f>
        <v>308244983.02069992</v>
      </c>
    </row>
    <row r="674" spans="1:14" ht="12.75" customHeight="1" x14ac:dyDescent="0.25">
      <c r="A674" s="2">
        <v>600</v>
      </c>
      <c r="B674" s="10" t="s">
        <v>1034</v>
      </c>
      <c r="C674" s="10" t="s">
        <v>1035</v>
      </c>
      <c r="D674" s="10" t="s">
        <v>96</v>
      </c>
      <c r="E674" s="10" t="s">
        <v>2</v>
      </c>
      <c r="F674" s="10" t="s">
        <v>102</v>
      </c>
      <c r="G674" s="10" t="s">
        <v>71</v>
      </c>
      <c r="H674" s="13">
        <v>3261753.6660000002</v>
      </c>
      <c r="I674" s="15">
        <f>IF(Table1[[#This Row],[Salary]]&lt;1000000,Table1[[#This Row],[Salary]]*0.05,Table1[[#This Row],[Salary]]*0.1)</f>
        <v>326175.36660000007</v>
      </c>
      <c r="J674" s="15">
        <f>Table1[[#This Row],[Salary]]+Table1[[#This Row],[Bonus]]</f>
        <v>3587929.0326000005</v>
      </c>
      <c r="K674" s="25">
        <f>COUNTA(Table1[Employee_ID])</f>
        <v>1000</v>
      </c>
      <c r="L674" s="1">
        <f>SUM(Table1[Salary])</f>
        <v>3119391523.8580012</v>
      </c>
      <c r="M674" s="15">
        <f>AVERAGE(Table1[Salary])</f>
        <v>3119391.5238580015</v>
      </c>
      <c r="N674" s="29">
        <f>SUM(Table1[Bonus])</f>
        <v>308244983.02069992</v>
      </c>
    </row>
    <row r="675" spans="1:14" ht="12.75" customHeight="1" x14ac:dyDescent="0.25">
      <c r="A675" s="2">
        <v>601</v>
      </c>
      <c r="B675" s="10" t="s">
        <v>375</v>
      </c>
      <c r="C675" s="10" t="s">
        <v>98</v>
      </c>
      <c r="D675" s="10" t="s">
        <v>105</v>
      </c>
      <c r="E675" s="10" t="s">
        <v>14</v>
      </c>
      <c r="F675" s="10" t="s">
        <v>222</v>
      </c>
      <c r="G675" s="10" t="s">
        <v>23</v>
      </c>
      <c r="H675" s="13">
        <v>3456855.7820000001</v>
      </c>
      <c r="I675" s="15">
        <f>IF(Table1[[#This Row],[Salary]]&lt;1000000,Table1[[#This Row],[Salary]]*0.05,Table1[[#This Row],[Salary]]*0.1)</f>
        <v>345685.57820000005</v>
      </c>
      <c r="J675" s="15">
        <f>Table1[[#This Row],[Salary]]+Table1[[#This Row],[Bonus]]</f>
        <v>3802541.3602</v>
      </c>
      <c r="K675" s="25">
        <f>COUNTA(Table1[Employee_ID])</f>
        <v>1000</v>
      </c>
      <c r="L675" s="1">
        <f>SUM(Table1[Salary])</f>
        <v>3119391523.8580012</v>
      </c>
      <c r="M675" s="15">
        <f>AVERAGE(Table1[Salary])</f>
        <v>3119391.5238580015</v>
      </c>
      <c r="N675" s="29">
        <f>SUM(Table1[Bonus])</f>
        <v>308244983.02069992</v>
      </c>
    </row>
    <row r="676" spans="1:14" ht="12.75" customHeight="1" x14ac:dyDescent="0.25">
      <c r="A676" s="2">
        <v>602</v>
      </c>
      <c r="B676" s="10" t="s">
        <v>1036</v>
      </c>
      <c r="C676" s="10" t="s">
        <v>562</v>
      </c>
      <c r="D676" s="10" t="s">
        <v>54</v>
      </c>
      <c r="E676" s="10" t="s">
        <v>27</v>
      </c>
      <c r="F676" s="10" t="s">
        <v>85</v>
      </c>
      <c r="G676" s="10" t="s">
        <v>71</v>
      </c>
      <c r="H676" s="13">
        <v>1054547.148</v>
      </c>
      <c r="I676" s="15">
        <f>IF(Table1[[#This Row],[Salary]]&lt;1000000,Table1[[#This Row],[Salary]]*0.05,Table1[[#This Row],[Salary]]*0.1)</f>
        <v>105454.71480000002</v>
      </c>
      <c r="J676" s="15">
        <f>Table1[[#This Row],[Salary]]+Table1[[#This Row],[Bonus]]</f>
        <v>1160001.8628</v>
      </c>
      <c r="K676" s="25">
        <f>COUNTA(Table1[Employee_ID])</f>
        <v>1000</v>
      </c>
      <c r="L676" s="1">
        <f>SUM(Table1[Salary])</f>
        <v>3119391523.8580012</v>
      </c>
      <c r="M676" s="15">
        <f>AVERAGE(Table1[Salary])</f>
        <v>3119391.5238580015</v>
      </c>
      <c r="N676" s="29">
        <f>SUM(Table1[Bonus])</f>
        <v>308244983.02069992</v>
      </c>
    </row>
    <row r="677" spans="1:14" ht="12.75" customHeight="1" x14ac:dyDescent="0.25">
      <c r="A677" s="2">
        <v>603</v>
      </c>
      <c r="B677" s="10" t="s">
        <v>100</v>
      </c>
      <c r="C677" s="10" t="s">
        <v>1037</v>
      </c>
      <c r="D677" s="10" t="s">
        <v>112</v>
      </c>
      <c r="E677" s="10" t="s">
        <v>33</v>
      </c>
      <c r="F677" s="10" t="s">
        <v>34</v>
      </c>
      <c r="G677" s="10" t="s">
        <v>56</v>
      </c>
      <c r="H677" s="13">
        <v>2084869.0560000001</v>
      </c>
      <c r="I677" s="15">
        <f>IF(Table1[[#This Row],[Salary]]&lt;1000000,Table1[[#This Row],[Salary]]*0.05,Table1[[#This Row],[Salary]]*0.1)</f>
        <v>208486.90560000003</v>
      </c>
      <c r="J677" s="15">
        <f>Table1[[#This Row],[Salary]]+Table1[[#This Row],[Bonus]]</f>
        <v>2293355.9616</v>
      </c>
      <c r="K677" s="25">
        <f>COUNTA(Table1[Employee_ID])</f>
        <v>1000</v>
      </c>
      <c r="L677" s="1">
        <f>SUM(Table1[Salary])</f>
        <v>3119391523.8580012</v>
      </c>
      <c r="M677" s="15">
        <f>AVERAGE(Table1[Salary])</f>
        <v>3119391.5238580015</v>
      </c>
      <c r="N677" s="29">
        <f>SUM(Table1[Bonus])</f>
        <v>308244983.02069992</v>
      </c>
    </row>
    <row r="678" spans="1:14" ht="12.75" customHeight="1" x14ac:dyDescent="0.25">
      <c r="A678" s="2">
        <v>604</v>
      </c>
      <c r="B678" s="10" t="s">
        <v>1038</v>
      </c>
      <c r="C678" s="10" t="s">
        <v>1039</v>
      </c>
      <c r="D678" s="10" t="s">
        <v>99</v>
      </c>
      <c r="E678" s="10" t="s">
        <v>63</v>
      </c>
      <c r="F678" s="10" t="s">
        <v>64</v>
      </c>
      <c r="G678" s="10" t="s">
        <v>23</v>
      </c>
      <c r="H678" s="13">
        <v>1679418.2080000001</v>
      </c>
      <c r="I678" s="15">
        <f>IF(Table1[[#This Row],[Salary]]&lt;1000000,Table1[[#This Row],[Salary]]*0.05,Table1[[#This Row],[Salary]]*0.1)</f>
        <v>167941.82080000002</v>
      </c>
      <c r="J678" s="15">
        <f>Table1[[#This Row],[Salary]]+Table1[[#This Row],[Bonus]]</f>
        <v>1847360.0288000002</v>
      </c>
      <c r="K678" s="25">
        <f>COUNTA(Table1[Employee_ID])</f>
        <v>1000</v>
      </c>
      <c r="L678" s="1">
        <f>SUM(Table1[Salary])</f>
        <v>3119391523.8580012</v>
      </c>
      <c r="M678" s="15">
        <f>AVERAGE(Table1[Salary])</f>
        <v>3119391.5238580015</v>
      </c>
      <c r="N678" s="29">
        <f>SUM(Table1[Bonus])</f>
        <v>308244983.02069992</v>
      </c>
    </row>
    <row r="679" spans="1:14" ht="12.75" customHeight="1" x14ac:dyDescent="0.25">
      <c r="A679" s="2">
        <v>605</v>
      </c>
      <c r="B679" s="10" t="s">
        <v>1040</v>
      </c>
      <c r="C679" s="10" t="s">
        <v>1041</v>
      </c>
      <c r="D679" s="10" t="s">
        <v>156</v>
      </c>
      <c r="E679" s="10" t="s">
        <v>13</v>
      </c>
      <c r="F679" s="10" t="s">
        <v>43</v>
      </c>
      <c r="G679" s="10" t="s">
        <v>71</v>
      </c>
      <c r="H679" s="13">
        <v>2384665.1460000002</v>
      </c>
      <c r="I679" s="15">
        <f>IF(Table1[[#This Row],[Salary]]&lt;1000000,Table1[[#This Row],[Salary]]*0.05,Table1[[#This Row],[Salary]]*0.1)</f>
        <v>238466.51460000002</v>
      </c>
      <c r="J679" s="15">
        <f>Table1[[#This Row],[Salary]]+Table1[[#This Row],[Bonus]]</f>
        <v>2623131.6606000001</v>
      </c>
      <c r="K679" s="25">
        <f>COUNTA(Table1[Employee_ID])</f>
        <v>1000</v>
      </c>
      <c r="L679" s="1">
        <f>SUM(Table1[Salary])</f>
        <v>3119391523.8580012</v>
      </c>
      <c r="M679" s="15">
        <f>AVERAGE(Table1[Salary])</f>
        <v>3119391.5238580015</v>
      </c>
      <c r="N679" s="29">
        <f>SUM(Table1[Bonus])</f>
        <v>308244983.02069992</v>
      </c>
    </row>
    <row r="680" spans="1:14" ht="12.75" customHeight="1" x14ac:dyDescent="0.25">
      <c r="A680" s="2">
        <v>606</v>
      </c>
      <c r="B680" s="10" t="s">
        <v>1042</v>
      </c>
      <c r="C680" s="10" t="s">
        <v>1043</v>
      </c>
      <c r="D680" s="10" t="s">
        <v>125</v>
      </c>
      <c r="E680" s="10" t="s">
        <v>14</v>
      </c>
      <c r="F680" s="10" t="s">
        <v>234</v>
      </c>
      <c r="G680" s="10" t="s">
        <v>71</v>
      </c>
      <c r="H680" s="13">
        <v>5609427.0379999997</v>
      </c>
      <c r="I680" s="15">
        <f>IF(Table1[[#This Row],[Salary]]&lt;1000000,Table1[[#This Row],[Salary]]*0.05,Table1[[#This Row],[Salary]]*0.1)</f>
        <v>560942.70380000002</v>
      </c>
      <c r="J680" s="15">
        <f>Table1[[#This Row],[Salary]]+Table1[[#This Row],[Bonus]]</f>
        <v>6170369.7418</v>
      </c>
      <c r="K680" s="25">
        <f>COUNTA(Table1[Employee_ID])</f>
        <v>1000</v>
      </c>
      <c r="L680" s="1">
        <f>SUM(Table1[Salary])</f>
        <v>3119391523.8580012</v>
      </c>
      <c r="M680" s="15">
        <f>AVERAGE(Table1[Salary])</f>
        <v>3119391.5238580015</v>
      </c>
      <c r="N680" s="29">
        <f>SUM(Table1[Bonus])</f>
        <v>308244983.02069992</v>
      </c>
    </row>
    <row r="681" spans="1:14" ht="12.75" customHeight="1" x14ac:dyDescent="0.25">
      <c r="A681" s="2">
        <v>607</v>
      </c>
      <c r="B681" s="10" t="s">
        <v>1044</v>
      </c>
      <c r="C681" s="10" t="s">
        <v>1045</v>
      </c>
      <c r="D681" s="10" t="s">
        <v>174</v>
      </c>
      <c r="E681" s="10" t="s">
        <v>6</v>
      </c>
      <c r="F681" s="10" t="s">
        <v>144</v>
      </c>
      <c r="G681" s="10" t="s">
        <v>23</v>
      </c>
      <c r="H681" s="13">
        <v>5098391.392</v>
      </c>
      <c r="I681" s="15">
        <f>IF(Table1[[#This Row],[Salary]]&lt;1000000,Table1[[#This Row],[Salary]]*0.05,Table1[[#This Row],[Salary]]*0.1)</f>
        <v>509839.13920000003</v>
      </c>
      <c r="J681" s="15">
        <f>Table1[[#This Row],[Salary]]+Table1[[#This Row],[Bonus]]</f>
        <v>5608230.5312000001</v>
      </c>
      <c r="K681" s="25">
        <f>COUNTA(Table1[Employee_ID])</f>
        <v>1000</v>
      </c>
      <c r="L681" s="1">
        <f>SUM(Table1[Salary])</f>
        <v>3119391523.8580012</v>
      </c>
      <c r="M681" s="15">
        <f>AVERAGE(Table1[Salary])</f>
        <v>3119391.5238580015</v>
      </c>
      <c r="N681" s="29">
        <f>SUM(Table1[Bonus])</f>
        <v>308244983.02069992</v>
      </c>
    </row>
    <row r="682" spans="1:14" ht="12.75" customHeight="1" x14ac:dyDescent="0.25">
      <c r="A682" s="2">
        <v>608</v>
      </c>
      <c r="B682" s="10" t="s">
        <v>1046</v>
      </c>
      <c r="C682" s="10" t="s">
        <v>1047</v>
      </c>
      <c r="D682" s="10" t="s">
        <v>303</v>
      </c>
      <c r="E682" s="10" t="s">
        <v>63</v>
      </c>
      <c r="F682" s="10" t="s">
        <v>113</v>
      </c>
      <c r="G682" s="10" t="s">
        <v>29</v>
      </c>
      <c r="H682" s="13">
        <v>1968018.3660000002</v>
      </c>
      <c r="I682" s="15">
        <f>IF(Table1[[#This Row],[Salary]]&lt;1000000,Table1[[#This Row],[Salary]]*0.05,Table1[[#This Row],[Salary]]*0.1)</f>
        <v>196801.83660000004</v>
      </c>
      <c r="J682" s="15">
        <f>Table1[[#This Row],[Salary]]+Table1[[#This Row],[Bonus]]</f>
        <v>2164820.2026000004</v>
      </c>
      <c r="K682" s="25">
        <f>COUNTA(Table1[Employee_ID])</f>
        <v>1000</v>
      </c>
      <c r="L682" s="1">
        <f>SUM(Table1[Salary])</f>
        <v>3119391523.8580012</v>
      </c>
      <c r="M682" s="15">
        <f>AVERAGE(Table1[Salary])</f>
        <v>3119391.5238580015</v>
      </c>
      <c r="N682" s="29">
        <f>SUM(Table1[Bonus])</f>
        <v>308244983.02069992</v>
      </c>
    </row>
    <row r="683" spans="1:14" ht="12.75" customHeight="1" x14ac:dyDescent="0.25">
      <c r="A683" s="2">
        <v>609</v>
      </c>
      <c r="B683" s="10" t="s">
        <v>184</v>
      </c>
      <c r="C683" s="10" t="s">
        <v>1048</v>
      </c>
      <c r="D683" s="10" t="s">
        <v>32</v>
      </c>
      <c r="E683" s="10" t="s">
        <v>33</v>
      </c>
      <c r="F683" s="10" t="s">
        <v>47</v>
      </c>
      <c r="G683" s="10" t="s">
        <v>23</v>
      </c>
      <c r="H683" s="13">
        <v>529140.55200000003</v>
      </c>
      <c r="I683" s="15">
        <f>IF(Table1[[#This Row],[Salary]]&lt;1000000,Table1[[#This Row],[Salary]]*0.05,Table1[[#This Row],[Salary]]*0.1)</f>
        <v>26457.027600000001</v>
      </c>
      <c r="J683" s="15">
        <f>Table1[[#This Row],[Salary]]+Table1[[#This Row],[Bonus]]</f>
        <v>555597.57960000006</v>
      </c>
      <c r="K683" s="25">
        <f>COUNTA(Table1[Employee_ID])</f>
        <v>1000</v>
      </c>
      <c r="L683" s="1">
        <f>SUM(Table1[Salary])</f>
        <v>3119391523.8580012</v>
      </c>
      <c r="M683" s="15">
        <f>AVERAGE(Table1[Salary])</f>
        <v>3119391.5238580015</v>
      </c>
      <c r="N683" s="29">
        <f>SUM(Table1[Bonus])</f>
        <v>308244983.02069992</v>
      </c>
    </row>
    <row r="684" spans="1:14" ht="12.75" customHeight="1" x14ac:dyDescent="0.25">
      <c r="A684" s="2">
        <v>610</v>
      </c>
      <c r="B684" s="10" t="s">
        <v>320</v>
      </c>
      <c r="C684" s="10" t="s">
        <v>1049</v>
      </c>
      <c r="D684" s="10" t="s">
        <v>162</v>
      </c>
      <c r="E684" s="10" t="s">
        <v>6</v>
      </c>
      <c r="F684" s="10" t="s">
        <v>74</v>
      </c>
      <c r="G684" s="10" t="s">
        <v>23</v>
      </c>
      <c r="H684" s="13">
        <v>3556429.85</v>
      </c>
      <c r="I684" s="15">
        <f>IF(Table1[[#This Row],[Salary]]&lt;1000000,Table1[[#This Row],[Salary]]*0.05,Table1[[#This Row],[Salary]]*0.1)</f>
        <v>355642.98500000004</v>
      </c>
      <c r="J684" s="15">
        <f>Table1[[#This Row],[Salary]]+Table1[[#This Row],[Bonus]]</f>
        <v>3912072.835</v>
      </c>
      <c r="K684" s="25">
        <f>COUNTA(Table1[Employee_ID])</f>
        <v>1000</v>
      </c>
      <c r="L684" s="1">
        <f>SUM(Table1[Salary])</f>
        <v>3119391523.8580012</v>
      </c>
      <c r="M684" s="15">
        <f>AVERAGE(Table1[Salary])</f>
        <v>3119391.5238580015</v>
      </c>
      <c r="N684" s="29">
        <f>SUM(Table1[Bonus])</f>
        <v>308244983.02069992</v>
      </c>
    </row>
    <row r="685" spans="1:14" ht="12.75" customHeight="1" x14ac:dyDescent="0.25">
      <c r="A685" s="2">
        <v>611</v>
      </c>
      <c r="B685" s="10" t="s">
        <v>1050</v>
      </c>
      <c r="C685" s="10" t="s">
        <v>1051</v>
      </c>
      <c r="D685" s="10" t="s">
        <v>21</v>
      </c>
      <c r="E685" s="10" t="s">
        <v>14</v>
      </c>
      <c r="F685" s="10" t="s">
        <v>51</v>
      </c>
      <c r="G685" s="10" t="s">
        <v>29</v>
      </c>
      <c r="H685" s="13">
        <v>4780869.7699999996</v>
      </c>
      <c r="I685" s="15">
        <f>IF(Table1[[#This Row],[Salary]]&lt;1000000,Table1[[#This Row],[Salary]]*0.05,Table1[[#This Row],[Salary]]*0.1)</f>
        <v>478086.97699999996</v>
      </c>
      <c r="J685" s="15">
        <f>Table1[[#This Row],[Salary]]+Table1[[#This Row],[Bonus]]</f>
        <v>5258956.7469999995</v>
      </c>
      <c r="K685" s="25">
        <f>COUNTA(Table1[Employee_ID])</f>
        <v>1000</v>
      </c>
      <c r="L685" s="1">
        <f>SUM(Table1[Salary])</f>
        <v>3119391523.8580012</v>
      </c>
      <c r="M685" s="15">
        <f>AVERAGE(Table1[Salary])</f>
        <v>3119391.5238580015</v>
      </c>
      <c r="N685" s="29">
        <f>SUM(Table1[Bonus])</f>
        <v>308244983.02069992</v>
      </c>
    </row>
    <row r="686" spans="1:14" ht="12.75" customHeight="1" x14ac:dyDescent="0.25">
      <c r="A686" s="2">
        <v>613</v>
      </c>
      <c r="B686" s="10" t="s">
        <v>1054</v>
      </c>
      <c r="C686" s="10" t="s">
        <v>1055</v>
      </c>
      <c r="D686" s="10" t="s">
        <v>313</v>
      </c>
      <c r="E686" s="10" t="s">
        <v>2</v>
      </c>
      <c r="F686" s="10" t="s">
        <v>60</v>
      </c>
      <c r="G686" s="10" t="s">
        <v>29</v>
      </c>
      <c r="H686" s="13">
        <v>566860.652</v>
      </c>
      <c r="I686" s="15">
        <f>IF(Table1[[#This Row],[Salary]]&lt;1000000,Table1[[#This Row],[Salary]]*0.05,Table1[[#This Row],[Salary]]*0.1)</f>
        <v>28343.032600000002</v>
      </c>
      <c r="J686" s="15">
        <f>Table1[[#This Row],[Salary]]+Table1[[#This Row],[Bonus]]</f>
        <v>595203.68460000004</v>
      </c>
      <c r="K686" s="25">
        <f>COUNTA(Table1[Employee_ID])</f>
        <v>1000</v>
      </c>
      <c r="L686" s="1">
        <f>SUM(Table1[Salary])</f>
        <v>3119391523.8580012</v>
      </c>
      <c r="M686" s="15">
        <f>AVERAGE(Table1[Salary])</f>
        <v>3119391.5238580015</v>
      </c>
      <c r="N686" s="29">
        <f>SUM(Table1[Bonus])</f>
        <v>308244983.02069992</v>
      </c>
    </row>
    <row r="687" spans="1:14" ht="12.75" customHeight="1" x14ac:dyDescent="0.25">
      <c r="A687" s="2">
        <v>614</v>
      </c>
      <c r="B687" s="10" t="s">
        <v>79</v>
      </c>
      <c r="C687" s="10" t="s">
        <v>1056</v>
      </c>
      <c r="D687" s="10" t="s">
        <v>316</v>
      </c>
      <c r="E687" s="10" t="s">
        <v>27</v>
      </c>
      <c r="F687" s="10" t="s">
        <v>106</v>
      </c>
      <c r="G687" s="10" t="s">
        <v>29</v>
      </c>
      <c r="H687" s="13">
        <v>2230755.4779999997</v>
      </c>
      <c r="I687" s="15">
        <f>IF(Table1[[#This Row],[Salary]]&lt;1000000,Table1[[#This Row],[Salary]]*0.05,Table1[[#This Row],[Salary]]*0.1)</f>
        <v>223075.54779999997</v>
      </c>
      <c r="J687" s="15">
        <f>Table1[[#This Row],[Salary]]+Table1[[#This Row],[Bonus]]</f>
        <v>2453831.0257999995</v>
      </c>
      <c r="K687" s="25">
        <f>COUNTA(Table1[Employee_ID])</f>
        <v>1000</v>
      </c>
      <c r="L687" s="1">
        <f>SUM(Table1[Salary])</f>
        <v>3119391523.8580012</v>
      </c>
      <c r="M687" s="15">
        <f>AVERAGE(Table1[Salary])</f>
        <v>3119391.5238580015</v>
      </c>
      <c r="N687" s="29">
        <f>SUM(Table1[Bonus])</f>
        <v>308244983.02069992</v>
      </c>
    </row>
    <row r="688" spans="1:14" ht="12.75" customHeight="1" x14ac:dyDescent="0.25">
      <c r="A688" s="2">
        <v>615</v>
      </c>
      <c r="B688" s="10" t="s">
        <v>1044</v>
      </c>
      <c r="C688" s="10" t="s">
        <v>1057</v>
      </c>
      <c r="D688" s="10" t="s">
        <v>26</v>
      </c>
      <c r="E688" s="10" t="s">
        <v>33</v>
      </c>
      <c r="F688" s="10" t="s">
        <v>55</v>
      </c>
      <c r="G688" s="10" t="s">
        <v>71</v>
      </c>
      <c r="H688" s="13">
        <v>2372804.594</v>
      </c>
      <c r="I688" s="15">
        <f>IF(Table1[[#This Row],[Salary]]&lt;1000000,Table1[[#This Row],[Salary]]*0.05,Table1[[#This Row],[Salary]]*0.1)</f>
        <v>237280.45940000002</v>
      </c>
      <c r="J688" s="15">
        <f>Table1[[#This Row],[Salary]]+Table1[[#This Row],[Bonus]]</f>
        <v>2610085.0534000001</v>
      </c>
      <c r="K688" s="25">
        <f>COUNTA(Table1[Employee_ID])</f>
        <v>1000</v>
      </c>
      <c r="L688" s="1">
        <f>SUM(Table1[Salary])</f>
        <v>3119391523.8580012</v>
      </c>
      <c r="M688" s="15">
        <f>AVERAGE(Table1[Salary])</f>
        <v>3119391.5238580015</v>
      </c>
      <c r="N688" s="29">
        <f>SUM(Table1[Bonus])</f>
        <v>308244983.02069992</v>
      </c>
    </row>
    <row r="689" spans="1:14" ht="12.75" customHeight="1" x14ac:dyDescent="0.25">
      <c r="A689" s="2">
        <v>616</v>
      </c>
      <c r="B689" s="10" t="s">
        <v>1058</v>
      </c>
      <c r="C689" s="10" t="s">
        <v>101</v>
      </c>
      <c r="D689" s="10" t="s">
        <v>128</v>
      </c>
      <c r="E689" s="10" t="s">
        <v>2</v>
      </c>
      <c r="F689" s="10" t="s">
        <v>74</v>
      </c>
      <c r="G689" s="10" t="s">
        <v>71</v>
      </c>
      <c r="H689" s="13">
        <v>5119501.8220000006</v>
      </c>
      <c r="I689" s="15">
        <f>IF(Table1[[#This Row],[Salary]]&lt;1000000,Table1[[#This Row],[Salary]]*0.05,Table1[[#This Row],[Salary]]*0.1)</f>
        <v>511950.1822000001</v>
      </c>
      <c r="J689" s="15">
        <f>Table1[[#This Row],[Salary]]+Table1[[#This Row],[Bonus]]</f>
        <v>5631452.0042000003</v>
      </c>
      <c r="K689" s="25">
        <f>COUNTA(Table1[Employee_ID])</f>
        <v>1000</v>
      </c>
      <c r="L689" s="1">
        <f>SUM(Table1[Salary])</f>
        <v>3119391523.8580012</v>
      </c>
      <c r="M689" s="15">
        <f>AVERAGE(Table1[Salary])</f>
        <v>3119391.5238580015</v>
      </c>
      <c r="N689" s="29">
        <f>SUM(Table1[Bonus])</f>
        <v>308244983.02069992</v>
      </c>
    </row>
    <row r="690" spans="1:14" ht="12.75" customHeight="1" x14ac:dyDescent="0.25">
      <c r="A690" s="2">
        <v>617</v>
      </c>
      <c r="B690" s="10" t="s">
        <v>1050</v>
      </c>
      <c r="C690" s="10" t="s">
        <v>1059</v>
      </c>
      <c r="D690" s="10" t="s">
        <v>118</v>
      </c>
      <c r="E690" s="10" t="s">
        <v>10</v>
      </c>
      <c r="F690" s="10" t="s">
        <v>78</v>
      </c>
      <c r="G690" s="10" t="s">
        <v>35</v>
      </c>
      <c r="H690" s="13">
        <v>629642.75599999994</v>
      </c>
      <c r="I690" s="15">
        <f>IF(Table1[[#This Row],[Salary]]&lt;1000000,Table1[[#This Row],[Salary]]*0.05,Table1[[#This Row],[Salary]]*0.1)</f>
        <v>31482.137799999997</v>
      </c>
      <c r="J690" s="15">
        <f>Table1[[#This Row],[Salary]]+Table1[[#This Row],[Bonus]]</f>
        <v>661124.89379999996</v>
      </c>
      <c r="K690" s="25">
        <f>COUNTA(Table1[Employee_ID])</f>
        <v>1000</v>
      </c>
      <c r="L690" s="1">
        <f>SUM(Table1[Salary])</f>
        <v>3119391523.8580012</v>
      </c>
      <c r="M690" s="15">
        <f>AVERAGE(Table1[Salary])</f>
        <v>3119391.5238580015</v>
      </c>
      <c r="N690" s="29">
        <f>SUM(Table1[Bonus])</f>
        <v>308244983.02069992</v>
      </c>
    </row>
    <row r="691" spans="1:14" ht="12.75" customHeight="1" x14ac:dyDescent="0.25">
      <c r="A691" s="2">
        <v>618</v>
      </c>
      <c r="B691" s="10" t="s">
        <v>465</v>
      </c>
      <c r="C691" s="10" t="s">
        <v>1060</v>
      </c>
      <c r="D691" s="10" t="s">
        <v>324</v>
      </c>
      <c r="E691" s="10" t="s">
        <v>13</v>
      </c>
      <c r="F691" s="10" t="s">
        <v>67</v>
      </c>
      <c r="G691" s="10" t="s">
        <v>23</v>
      </c>
      <c r="H691" s="13">
        <v>1228305.6339999998</v>
      </c>
      <c r="I691" s="15">
        <f>IF(Table1[[#This Row],[Salary]]&lt;1000000,Table1[[#This Row],[Salary]]*0.05,Table1[[#This Row],[Salary]]*0.1)</f>
        <v>122830.56339999998</v>
      </c>
      <c r="J691" s="15">
        <f>Table1[[#This Row],[Salary]]+Table1[[#This Row],[Bonus]]</f>
        <v>1351136.1973999999</v>
      </c>
      <c r="K691" s="25">
        <f>COUNTA(Table1[Employee_ID])</f>
        <v>1000</v>
      </c>
      <c r="L691" s="1">
        <f>SUM(Table1[Salary])</f>
        <v>3119391523.8580012</v>
      </c>
      <c r="M691" s="15">
        <f>AVERAGE(Table1[Salary])</f>
        <v>3119391.5238580015</v>
      </c>
      <c r="N691" s="29">
        <f>SUM(Table1[Bonus])</f>
        <v>308244983.02069992</v>
      </c>
    </row>
    <row r="692" spans="1:14" ht="12.75" customHeight="1" x14ac:dyDescent="0.25">
      <c r="A692" s="2">
        <v>621</v>
      </c>
      <c r="B692" s="10" t="s">
        <v>100</v>
      </c>
      <c r="C692" s="10" t="s">
        <v>1064</v>
      </c>
      <c r="D692" s="10" t="s">
        <v>26</v>
      </c>
      <c r="E692" s="10" t="s">
        <v>33</v>
      </c>
      <c r="F692" s="10" t="s">
        <v>34</v>
      </c>
      <c r="G692" s="10" t="s">
        <v>29</v>
      </c>
      <c r="H692" s="13">
        <v>1523610.2919999999</v>
      </c>
      <c r="I692" s="15">
        <f>IF(Table1[[#This Row],[Salary]]&lt;1000000,Table1[[#This Row],[Salary]]*0.05,Table1[[#This Row],[Salary]]*0.1)</f>
        <v>152361.02919999999</v>
      </c>
      <c r="J692" s="15">
        <f>Table1[[#This Row],[Salary]]+Table1[[#This Row],[Bonus]]</f>
        <v>1675971.3211999999</v>
      </c>
      <c r="K692" s="25">
        <f>COUNTA(Table1[Employee_ID])</f>
        <v>1000</v>
      </c>
      <c r="L692" s="1">
        <f>SUM(Table1[Salary])</f>
        <v>3119391523.8580012</v>
      </c>
      <c r="M692" s="15">
        <f>AVERAGE(Table1[Salary])</f>
        <v>3119391.5238580015</v>
      </c>
      <c r="N692" s="29">
        <f>SUM(Table1[Bonus])</f>
        <v>308244983.02069992</v>
      </c>
    </row>
    <row r="693" spans="1:14" ht="12.75" customHeight="1" x14ac:dyDescent="0.25">
      <c r="A693" s="2">
        <v>622</v>
      </c>
      <c r="B693" s="10" t="s">
        <v>1065</v>
      </c>
      <c r="C693" s="10" t="s">
        <v>1066</v>
      </c>
      <c r="D693" s="10" t="s">
        <v>32</v>
      </c>
      <c r="E693" s="10" t="s">
        <v>6</v>
      </c>
      <c r="F693" s="10" t="s">
        <v>123</v>
      </c>
      <c r="G693" s="10" t="s">
        <v>35</v>
      </c>
      <c r="H693" s="13">
        <v>350660.93200000003</v>
      </c>
      <c r="I693" s="15">
        <f>IF(Table1[[#This Row],[Salary]]&lt;1000000,Table1[[#This Row],[Salary]]*0.05,Table1[[#This Row],[Salary]]*0.1)</f>
        <v>17533.046600000001</v>
      </c>
      <c r="J693" s="15">
        <f>Table1[[#This Row],[Salary]]+Table1[[#This Row],[Bonus]]</f>
        <v>368193.97860000003</v>
      </c>
      <c r="K693" s="25">
        <f>COUNTA(Table1[Employee_ID])</f>
        <v>1000</v>
      </c>
      <c r="L693" s="1">
        <f>SUM(Table1[Salary])</f>
        <v>3119391523.8580012</v>
      </c>
      <c r="M693" s="15">
        <f>AVERAGE(Table1[Salary])</f>
        <v>3119391.5238580015</v>
      </c>
      <c r="N693" s="29">
        <f>SUM(Table1[Bonus])</f>
        <v>308244983.02069992</v>
      </c>
    </row>
    <row r="694" spans="1:14" ht="12.75" customHeight="1" x14ac:dyDescent="0.25">
      <c r="A694" s="2">
        <v>623</v>
      </c>
      <c r="B694" s="10" t="s">
        <v>1067</v>
      </c>
      <c r="C694" s="10" t="s">
        <v>1068</v>
      </c>
      <c r="D694" s="10" t="s">
        <v>38</v>
      </c>
      <c r="E694" s="10" t="s">
        <v>14</v>
      </c>
      <c r="F694" s="10" t="s">
        <v>222</v>
      </c>
      <c r="G694" s="10" t="s">
        <v>71</v>
      </c>
      <c r="H694" s="13">
        <v>2991224.176</v>
      </c>
      <c r="I694" s="15">
        <f>IF(Table1[[#This Row],[Salary]]&lt;1000000,Table1[[#This Row],[Salary]]*0.05,Table1[[#This Row],[Salary]]*0.1)</f>
        <v>299122.41759999999</v>
      </c>
      <c r="J694" s="15">
        <f>Table1[[#This Row],[Salary]]+Table1[[#This Row],[Bonus]]</f>
        <v>3290346.5935999998</v>
      </c>
      <c r="K694" s="25">
        <f>COUNTA(Table1[Employee_ID])</f>
        <v>1000</v>
      </c>
      <c r="L694" s="1">
        <f>SUM(Table1[Salary])</f>
        <v>3119391523.8580012</v>
      </c>
      <c r="M694" s="15">
        <f>AVERAGE(Table1[Salary])</f>
        <v>3119391.5238580015</v>
      </c>
      <c r="N694" s="29">
        <f>SUM(Table1[Bonus])</f>
        <v>308244983.02069992</v>
      </c>
    </row>
    <row r="695" spans="1:14" ht="12.75" customHeight="1" x14ac:dyDescent="0.25">
      <c r="A695" s="2">
        <v>624</v>
      </c>
      <c r="B695" s="10" t="s">
        <v>1069</v>
      </c>
      <c r="C695" s="10" t="s">
        <v>1045</v>
      </c>
      <c r="D695" s="10" t="s">
        <v>32</v>
      </c>
      <c r="E695" s="10" t="s">
        <v>33</v>
      </c>
      <c r="F695" s="10" t="s">
        <v>47</v>
      </c>
      <c r="G695" s="10" t="s">
        <v>56</v>
      </c>
      <c r="H695" s="13">
        <v>4923122.9359999998</v>
      </c>
      <c r="I695" s="15">
        <f>IF(Table1[[#This Row],[Salary]]&lt;1000000,Table1[[#This Row],[Salary]]*0.05,Table1[[#This Row],[Salary]]*0.1)</f>
        <v>492312.29359999998</v>
      </c>
      <c r="J695" s="15">
        <f>Table1[[#This Row],[Salary]]+Table1[[#This Row],[Bonus]]</f>
        <v>5415435.2295999993</v>
      </c>
      <c r="K695" s="25">
        <f>COUNTA(Table1[Employee_ID])</f>
        <v>1000</v>
      </c>
      <c r="L695" s="1">
        <f>SUM(Table1[Salary])</f>
        <v>3119391523.8580012</v>
      </c>
      <c r="M695" s="15">
        <f>AVERAGE(Table1[Salary])</f>
        <v>3119391.5238580015</v>
      </c>
      <c r="N695" s="29">
        <f>SUM(Table1[Bonus])</f>
        <v>308244983.02069992</v>
      </c>
    </row>
    <row r="696" spans="1:14" ht="12.75" customHeight="1" x14ac:dyDescent="0.25">
      <c r="A696" s="2">
        <v>625</v>
      </c>
      <c r="B696" s="10" t="s">
        <v>1070</v>
      </c>
      <c r="C696" s="10" t="s">
        <v>1071</v>
      </c>
      <c r="D696" s="10" t="s">
        <v>46</v>
      </c>
      <c r="E696" s="10" t="s">
        <v>27</v>
      </c>
      <c r="F696" s="10" t="s">
        <v>28</v>
      </c>
      <c r="G696" s="10" t="s">
        <v>56</v>
      </c>
      <c r="H696" s="13">
        <v>5161667.88</v>
      </c>
      <c r="I696" s="15">
        <f>IF(Table1[[#This Row],[Salary]]&lt;1000000,Table1[[#This Row],[Salary]]*0.05,Table1[[#This Row],[Salary]]*0.1)</f>
        <v>516166.788</v>
      </c>
      <c r="J696" s="15">
        <f>Table1[[#This Row],[Salary]]+Table1[[#This Row],[Bonus]]</f>
        <v>5677834.6679999996</v>
      </c>
      <c r="K696" s="25">
        <f>COUNTA(Table1[Employee_ID])</f>
        <v>1000</v>
      </c>
      <c r="L696" s="1">
        <f>SUM(Table1[Salary])</f>
        <v>3119391523.8580012</v>
      </c>
      <c r="M696" s="15">
        <f>AVERAGE(Table1[Salary])</f>
        <v>3119391.5238580015</v>
      </c>
      <c r="N696" s="29">
        <f>SUM(Table1[Bonus])</f>
        <v>308244983.02069992</v>
      </c>
    </row>
    <row r="697" spans="1:14" ht="12.75" customHeight="1" x14ac:dyDescent="0.25">
      <c r="A697" s="2">
        <v>626</v>
      </c>
      <c r="B697" s="10" t="s">
        <v>695</v>
      </c>
      <c r="C697" s="10" t="s">
        <v>1072</v>
      </c>
      <c r="D697" s="10" t="s">
        <v>21</v>
      </c>
      <c r="E697" s="10" t="s">
        <v>33</v>
      </c>
      <c r="F697" s="10" t="s">
        <v>55</v>
      </c>
      <c r="G697" s="10" t="s">
        <v>29</v>
      </c>
      <c r="H697" s="13">
        <v>2174190.486</v>
      </c>
      <c r="I697" s="15">
        <f>IF(Table1[[#This Row],[Salary]]&lt;1000000,Table1[[#This Row],[Salary]]*0.05,Table1[[#This Row],[Salary]]*0.1)</f>
        <v>217419.04860000001</v>
      </c>
      <c r="J697" s="15">
        <f>Table1[[#This Row],[Salary]]+Table1[[#This Row],[Bonus]]</f>
        <v>2391609.5345999999</v>
      </c>
      <c r="K697" s="25">
        <f>COUNTA(Table1[Employee_ID])</f>
        <v>1000</v>
      </c>
      <c r="L697" s="1">
        <f>SUM(Table1[Salary])</f>
        <v>3119391523.8580012</v>
      </c>
      <c r="M697" s="15">
        <f>AVERAGE(Table1[Salary])</f>
        <v>3119391.5238580015</v>
      </c>
      <c r="N697" s="29">
        <f>SUM(Table1[Bonus])</f>
        <v>308244983.02069992</v>
      </c>
    </row>
    <row r="698" spans="1:14" ht="12.75" customHeight="1" x14ac:dyDescent="0.25">
      <c r="A698" s="2">
        <v>627</v>
      </c>
      <c r="B698" s="10" t="s">
        <v>1073</v>
      </c>
      <c r="C698" s="10" t="s">
        <v>1074</v>
      </c>
      <c r="D698" s="10" t="s">
        <v>54</v>
      </c>
      <c r="E698" s="10" t="s">
        <v>13</v>
      </c>
      <c r="F698" s="10" t="s">
        <v>120</v>
      </c>
      <c r="G698" s="10" t="s">
        <v>56</v>
      </c>
      <c r="H698" s="13">
        <v>1953955.24</v>
      </c>
      <c r="I698" s="15">
        <f>IF(Table1[[#This Row],[Salary]]&lt;1000000,Table1[[#This Row],[Salary]]*0.05,Table1[[#This Row],[Salary]]*0.1)</f>
        <v>195395.524</v>
      </c>
      <c r="J698" s="15">
        <f>Table1[[#This Row],[Salary]]+Table1[[#This Row],[Bonus]]</f>
        <v>2149350.764</v>
      </c>
      <c r="K698" s="25">
        <f>COUNTA(Table1[Employee_ID])</f>
        <v>1000</v>
      </c>
      <c r="L698" s="1">
        <f>SUM(Table1[Salary])</f>
        <v>3119391523.8580012</v>
      </c>
      <c r="M698" s="15">
        <f>AVERAGE(Table1[Salary])</f>
        <v>3119391.5238580015</v>
      </c>
      <c r="N698" s="29">
        <f>SUM(Table1[Bonus])</f>
        <v>308244983.02069992</v>
      </c>
    </row>
    <row r="699" spans="1:14" ht="12.75" customHeight="1" x14ac:dyDescent="0.25">
      <c r="A699" s="2">
        <v>628</v>
      </c>
      <c r="B699" s="10" t="s">
        <v>1075</v>
      </c>
      <c r="C699" s="10" t="s">
        <v>1076</v>
      </c>
      <c r="D699" s="10" t="s">
        <v>59</v>
      </c>
      <c r="E699" s="10" t="s">
        <v>14</v>
      </c>
      <c r="F699" s="10" t="s">
        <v>234</v>
      </c>
      <c r="G699" s="10" t="s">
        <v>23</v>
      </c>
      <c r="H699" s="13">
        <v>4258672.0060000001</v>
      </c>
      <c r="I699" s="15">
        <f>IF(Table1[[#This Row],[Salary]]&lt;1000000,Table1[[#This Row],[Salary]]*0.05,Table1[[#This Row],[Salary]]*0.1)</f>
        <v>425867.20060000004</v>
      </c>
      <c r="J699" s="15">
        <f>Table1[[#This Row],[Salary]]+Table1[[#This Row],[Bonus]]</f>
        <v>4684539.2066000002</v>
      </c>
      <c r="K699" s="25">
        <f>COUNTA(Table1[Employee_ID])</f>
        <v>1000</v>
      </c>
      <c r="L699" s="1">
        <f>SUM(Table1[Salary])</f>
        <v>3119391523.8580012</v>
      </c>
      <c r="M699" s="15">
        <f>AVERAGE(Table1[Salary])</f>
        <v>3119391.5238580015</v>
      </c>
      <c r="N699" s="29">
        <f>SUM(Table1[Bonus])</f>
        <v>308244983.02069992</v>
      </c>
    </row>
    <row r="700" spans="1:14" ht="12.75" customHeight="1" x14ac:dyDescent="0.25">
      <c r="A700" s="2">
        <v>630</v>
      </c>
      <c r="B700" s="10" t="s">
        <v>345</v>
      </c>
      <c r="C700" s="10" t="s">
        <v>1078</v>
      </c>
      <c r="D700" s="10" t="s">
        <v>46</v>
      </c>
      <c r="E700" s="10" t="s">
        <v>27</v>
      </c>
      <c r="F700" s="10" t="s">
        <v>85</v>
      </c>
      <c r="G700" s="10" t="s">
        <v>29</v>
      </c>
      <c r="H700" s="13">
        <v>840526.68199999991</v>
      </c>
      <c r="I700" s="15">
        <f>IF(Table1[[#This Row],[Salary]]&lt;1000000,Table1[[#This Row],[Salary]]*0.05,Table1[[#This Row],[Salary]]*0.1)</f>
        <v>42026.3341</v>
      </c>
      <c r="J700" s="15">
        <f>Table1[[#This Row],[Salary]]+Table1[[#This Row],[Bonus]]</f>
        <v>882553.01609999989</v>
      </c>
      <c r="K700" s="25">
        <f>COUNTA(Table1[Employee_ID])</f>
        <v>1000</v>
      </c>
      <c r="L700" s="1">
        <f>SUM(Table1[Salary])</f>
        <v>3119391523.8580012</v>
      </c>
      <c r="M700" s="15">
        <f>AVERAGE(Table1[Salary])</f>
        <v>3119391.5238580015</v>
      </c>
      <c r="N700" s="29">
        <f>SUM(Table1[Bonus])</f>
        <v>308244983.02069992</v>
      </c>
    </row>
    <row r="701" spans="1:14" ht="12.75" customHeight="1" x14ac:dyDescent="0.25">
      <c r="A701" s="2">
        <v>631</v>
      </c>
      <c r="B701" s="10" t="s">
        <v>666</v>
      </c>
      <c r="C701" s="10" t="s">
        <v>1079</v>
      </c>
      <c r="D701" s="10" t="s">
        <v>59</v>
      </c>
      <c r="E701" s="10" t="s">
        <v>33</v>
      </c>
      <c r="F701" s="10" t="s">
        <v>34</v>
      </c>
      <c r="G701" s="10" t="s">
        <v>23</v>
      </c>
      <c r="H701" s="13">
        <v>4077130.47</v>
      </c>
      <c r="I701" s="15">
        <f>IF(Table1[[#This Row],[Salary]]&lt;1000000,Table1[[#This Row],[Salary]]*0.05,Table1[[#This Row],[Salary]]*0.1)</f>
        <v>407713.04700000002</v>
      </c>
      <c r="J701" s="15">
        <f>Table1[[#This Row],[Salary]]+Table1[[#This Row],[Bonus]]</f>
        <v>4484843.517</v>
      </c>
      <c r="K701" s="25">
        <f>COUNTA(Table1[Employee_ID])</f>
        <v>1000</v>
      </c>
      <c r="L701" s="1">
        <f>SUM(Table1[Salary])</f>
        <v>3119391523.8580012</v>
      </c>
      <c r="M701" s="15">
        <f>AVERAGE(Table1[Salary])</f>
        <v>3119391.5238580015</v>
      </c>
      <c r="N701" s="29">
        <f>SUM(Table1[Bonus])</f>
        <v>308244983.02069992</v>
      </c>
    </row>
    <row r="702" spans="1:14" ht="12.75" customHeight="1" x14ac:dyDescent="0.25">
      <c r="A702" s="2">
        <v>632</v>
      </c>
      <c r="B702" s="10" t="s">
        <v>19</v>
      </c>
      <c r="C702" s="10" t="s">
        <v>1080</v>
      </c>
      <c r="D702" s="10" t="s">
        <v>46</v>
      </c>
      <c r="E702" s="10" t="s">
        <v>2</v>
      </c>
      <c r="F702" s="10" t="s">
        <v>102</v>
      </c>
      <c r="G702" s="10" t="s">
        <v>23</v>
      </c>
      <c r="H702" s="13">
        <v>4102805.79</v>
      </c>
      <c r="I702" s="15">
        <f>IF(Table1[[#This Row],[Salary]]&lt;1000000,Table1[[#This Row],[Salary]]*0.05,Table1[[#This Row],[Salary]]*0.1)</f>
        <v>410280.57900000003</v>
      </c>
      <c r="J702" s="15">
        <f>Table1[[#This Row],[Salary]]+Table1[[#This Row],[Bonus]]</f>
        <v>4513086.3689999999</v>
      </c>
      <c r="K702" s="25">
        <f>COUNTA(Table1[Employee_ID])</f>
        <v>1000</v>
      </c>
      <c r="L702" s="1">
        <f>SUM(Table1[Salary])</f>
        <v>3119391523.8580012</v>
      </c>
      <c r="M702" s="15">
        <f>AVERAGE(Table1[Salary])</f>
        <v>3119391.5238580015</v>
      </c>
      <c r="N702" s="29">
        <f>SUM(Table1[Bonus])</f>
        <v>308244983.02069992</v>
      </c>
    </row>
    <row r="703" spans="1:14" ht="12.75" customHeight="1" x14ac:dyDescent="0.25">
      <c r="A703" s="2">
        <v>633</v>
      </c>
      <c r="B703" s="10" t="s">
        <v>1081</v>
      </c>
      <c r="C703" s="10" t="s">
        <v>1082</v>
      </c>
      <c r="D703" s="10" t="s">
        <v>77</v>
      </c>
      <c r="E703" s="10" t="s">
        <v>14</v>
      </c>
      <c r="F703" s="10" t="s">
        <v>51</v>
      </c>
      <c r="G703" s="10" t="s">
        <v>56</v>
      </c>
      <c r="H703" s="13">
        <v>2432657.7060000002</v>
      </c>
      <c r="I703" s="15">
        <f>IF(Table1[[#This Row],[Salary]]&lt;1000000,Table1[[#This Row],[Salary]]*0.05,Table1[[#This Row],[Salary]]*0.1)</f>
        <v>243265.77060000005</v>
      </c>
      <c r="J703" s="15">
        <f>Table1[[#This Row],[Salary]]+Table1[[#This Row],[Bonus]]</f>
        <v>2675923.4766000002</v>
      </c>
      <c r="K703" s="25">
        <f>COUNTA(Table1[Employee_ID])</f>
        <v>1000</v>
      </c>
      <c r="L703" s="1">
        <f>SUM(Table1[Salary])</f>
        <v>3119391523.8580012</v>
      </c>
      <c r="M703" s="15">
        <f>AVERAGE(Table1[Salary])</f>
        <v>3119391.5238580015</v>
      </c>
      <c r="N703" s="29">
        <f>SUM(Table1[Bonus])</f>
        <v>308244983.02069992</v>
      </c>
    </row>
    <row r="704" spans="1:14" ht="12.75" customHeight="1" x14ac:dyDescent="0.25">
      <c r="A704" s="2">
        <v>634</v>
      </c>
      <c r="B704" s="10" t="s">
        <v>1083</v>
      </c>
      <c r="C704" s="10" t="s">
        <v>1084</v>
      </c>
      <c r="D704" s="10" t="s">
        <v>21</v>
      </c>
      <c r="E704" s="10" t="s">
        <v>6</v>
      </c>
      <c r="F704" s="10" t="s">
        <v>144</v>
      </c>
      <c r="G704" s="10" t="s">
        <v>48</v>
      </c>
      <c r="H704" s="13">
        <v>2020702.91</v>
      </c>
      <c r="I704" s="15">
        <f>IF(Table1[[#This Row],[Salary]]&lt;1000000,Table1[[#This Row],[Salary]]*0.05,Table1[[#This Row],[Salary]]*0.1)</f>
        <v>202070.291</v>
      </c>
      <c r="J704" s="15">
        <f>Table1[[#This Row],[Salary]]+Table1[[#This Row],[Bonus]]</f>
        <v>2222773.2009999999</v>
      </c>
      <c r="K704" s="25">
        <f>COUNTA(Table1[Employee_ID])</f>
        <v>1000</v>
      </c>
      <c r="L704" s="1">
        <f>SUM(Table1[Salary])</f>
        <v>3119391523.8580012</v>
      </c>
      <c r="M704" s="15">
        <f>AVERAGE(Table1[Salary])</f>
        <v>3119391.5238580015</v>
      </c>
      <c r="N704" s="29">
        <f>SUM(Table1[Bonus])</f>
        <v>308244983.02069992</v>
      </c>
    </row>
    <row r="705" spans="1:14" ht="12.75" customHeight="1" x14ac:dyDescent="0.25">
      <c r="A705" s="2">
        <v>635</v>
      </c>
      <c r="B705" s="10" t="s">
        <v>1085</v>
      </c>
      <c r="C705" s="10" t="s">
        <v>1086</v>
      </c>
      <c r="D705" s="10" t="s">
        <v>59</v>
      </c>
      <c r="E705" s="10" t="s">
        <v>39</v>
      </c>
      <c r="F705" s="10" t="s">
        <v>189</v>
      </c>
      <c r="G705" s="10" t="s">
        <v>23</v>
      </c>
      <c r="H705" s="13">
        <v>5941003.6240000008</v>
      </c>
      <c r="I705" s="15">
        <f>IF(Table1[[#This Row],[Salary]]&lt;1000000,Table1[[#This Row],[Salary]]*0.05,Table1[[#This Row],[Salary]]*0.1)</f>
        <v>594100.3624000001</v>
      </c>
      <c r="J705" s="15">
        <f>Table1[[#This Row],[Salary]]+Table1[[#This Row],[Bonus]]</f>
        <v>6535103.9864000008</v>
      </c>
      <c r="K705" s="25">
        <f>COUNTA(Table1[Employee_ID])</f>
        <v>1000</v>
      </c>
      <c r="L705" s="1">
        <f>SUM(Table1[Salary])</f>
        <v>3119391523.8580012</v>
      </c>
      <c r="M705" s="15">
        <f>AVERAGE(Table1[Salary])</f>
        <v>3119391.5238580015</v>
      </c>
      <c r="N705" s="29">
        <f>SUM(Table1[Bonus])</f>
        <v>308244983.02069992</v>
      </c>
    </row>
    <row r="706" spans="1:14" ht="12.75" customHeight="1" x14ac:dyDescent="0.25">
      <c r="A706" s="2">
        <v>636</v>
      </c>
      <c r="B706" s="10" t="s">
        <v>815</v>
      </c>
      <c r="C706" s="10" t="s">
        <v>1087</v>
      </c>
      <c r="D706" s="10" t="s">
        <v>21</v>
      </c>
      <c r="E706" s="10" t="s">
        <v>63</v>
      </c>
      <c r="F706" s="10" t="s">
        <v>131</v>
      </c>
      <c r="G706" s="10" t="s">
        <v>35</v>
      </c>
      <c r="H706" s="13">
        <v>1297583.524</v>
      </c>
      <c r="I706" s="15">
        <f>IF(Table1[[#This Row],[Salary]]&lt;1000000,Table1[[#This Row],[Salary]]*0.05,Table1[[#This Row],[Salary]]*0.1)</f>
        <v>129758.3524</v>
      </c>
      <c r="J706" s="15">
        <f>Table1[[#This Row],[Salary]]+Table1[[#This Row],[Bonus]]</f>
        <v>1427341.8764</v>
      </c>
      <c r="K706" s="25">
        <f>COUNTA(Table1[Employee_ID])</f>
        <v>1000</v>
      </c>
      <c r="L706" s="1">
        <f>SUM(Table1[Salary])</f>
        <v>3119391523.8580012</v>
      </c>
      <c r="M706" s="15">
        <f>AVERAGE(Table1[Salary])</f>
        <v>3119391.5238580015</v>
      </c>
      <c r="N706" s="29">
        <f>SUM(Table1[Bonus])</f>
        <v>308244983.02069992</v>
      </c>
    </row>
    <row r="707" spans="1:14" ht="12.75" customHeight="1" x14ac:dyDescent="0.25">
      <c r="A707" s="2">
        <v>637</v>
      </c>
      <c r="B707" s="10" t="s">
        <v>1088</v>
      </c>
      <c r="C707" s="10" t="s">
        <v>1089</v>
      </c>
      <c r="D707" s="10" t="s">
        <v>88</v>
      </c>
      <c r="E707" s="10" t="s">
        <v>13</v>
      </c>
      <c r="F707" s="10" t="s">
        <v>43</v>
      </c>
      <c r="G707" s="10" t="s">
        <v>56</v>
      </c>
      <c r="H707" s="13">
        <v>5227531.7220000001</v>
      </c>
      <c r="I707" s="15">
        <f>IF(Table1[[#This Row],[Salary]]&lt;1000000,Table1[[#This Row],[Salary]]*0.05,Table1[[#This Row],[Salary]]*0.1)</f>
        <v>522753.17220000003</v>
      </c>
      <c r="J707" s="15">
        <f>Table1[[#This Row],[Salary]]+Table1[[#This Row],[Bonus]]</f>
        <v>5750284.8942</v>
      </c>
      <c r="K707" s="25">
        <f>COUNTA(Table1[Employee_ID])</f>
        <v>1000</v>
      </c>
      <c r="L707" s="1">
        <f>SUM(Table1[Salary])</f>
        <v>3119391523.8580012</v>
      </c>
      <c r="M707" s="15">
        <f>AVERAGE(Table1[Salary])</f>
        <v>3119391.5238580015</v>
      </c>
      <c r="N707" s="29">
        <f>SUM(Table1[Bonus])</f>
        <v>308244983.02069992</v>
      </c>
    </row>
    <row r="708" spans="1:14" ht="12.75" customHeight="1" x14ac:dyDescent="0.25">
      <c r="A708" s="2">
        <v>638</v>
      </c>
      <c r="B708" s="10" t="s">
        <v>825</v>
      </c>
      <c r="C708" s="10" t="s">
        <v>1090</v>
      </c>
      <c r="D708" s="10" t="s">
        <v>46</v>
      </c>
      <c r="E708" s="10" t="s">
        <v>14</v>
      </c>
      <c r="F708" s="10" t="s">
        <v>222</v>
      </c>
      <c r="G708" s="10" t="s">
        <v>56</v>
      </c>
      <c r="H708" s="13">
        <v>2286360.852</v>
      </c>
      <c r="I708" s="15">
        <f>IF(Table1[[#This Row],[Salary]]&lt;1000000,Table1[[#This Row],[Salary]]*0.05,Table1[[#This Row],[Salary]]*0.1)</f>
        <v>228636.0852</v>
      </c>
      <c r="J708" s="15">
        <f>Table1[[#This Row],[Salary]]+Table1[[#This Row],[Bonus]]</f>
        <v>2514996.9372</v>
      </c>
      <c r="K708" s="25">
        <f>COUNTA(Table1[Employee_ID])</f>
        <v>1000</v>
      </c>
      <c r="L708" s="1">
        <f>SUM(Table1[Salary])</f>
        <v>3119391523.8580012</v>
      </c>
      <c r="M708" s="15">
        <f>AVERAGE(Table1[Salary])</f>
        <v>3119391.5238580015</v>
      </c>
      <c r="N708" s="29">
        <f>SUM(Table1[Bonus])</f>
        <v>308244983.02069992</v>
      </c>
    </row>
    <row r="709" spans="1:14" ht="12.75" customHeight="1" x14ac:dyDescent="0.25">
      <c r="A709" s="2">
        <v>639</v>
      </c>
      <c r="B709" s="10" t="s">
        <v>1091</v>
      </c>
      <c r="C709" s="10" t="s">
        <v>1092</v>
      </c>
      <c r="D709" s="10" t="s">
        <v>54</v>
      </c>
      <c r="E709" s="10" t="s">
        <v>27</v>
      </c>
      <c r="F709" s="10" t="s">
        <v>106</v>
      </c>
      <c r="G709" s="10" t="s">
        <v>23</v>
      </c>
      <c r="H709" s="13">
        <v>4690809.0959999999</v>
      </c>
      <c r="I709" s="15">
        <f>IF(Table1[[#This Row],[Salary]]&lt;1000000,Table1[[#This Row],[Salary]]*0.05,Table1[[#This Row],[Salary]]*0.1)</f>
        <v>469080.90960000001</v>
      </c>
      <c r="J709" s="15">
        <f>Table1[[#This Row],[Salary]]+Table1[[#This Row],[Bonus]]</f>
        <v>5159890.0055999998</v>
      </c>
      <c r="K709" s="25">
        <f>COUNTA(Table1[Employee_ID])</f>
        <v>1000</v>
      </c>
      <c r="L709" s="1">
        <f>SUM(Table1[Salary])</f>
        <v>3119391523.8580012</v>
      </c>
      <c r="M709" s="15">
        <f>AVERAGE(Table1[Salary])</f>
        <v>3119391.5238580015</v>
      </c>
      <c r="N709" s="29">
        <f>SUM(Table1[Bonus])</f>
        <v>308244983.02069992</v>
      </c>
    </row>
    <row r="710" spans="1:14" ht="12.75" customHeight="1" x14ac:dyDescent="0.25">
      <c r="A710" s="2">
        <v>640</v>
      </c>
      <c r="B710" s="10" t="s">
        <v>1093</v>
      </c>
      <c r="C710" s="10" t="s">
        <v>1094</v>
      </c>
      <c r="D710" s="10" t="s">
        <v>96</v>
      </c>
      <c r="E710" s="10" t="s">
        <v>2</v>
      </c>
      <c r="F710" s="10" t="s">
        <v>60</v>
      </c>
      <c r="G710" s="10" t="s">
        <v>56</v>
      </c>
      <c r="H710" s="13">
        <v>4690705.3220000006</v>
      </c>
      <c r="I710" s="15">
        <f>IF(Table1[[#This Row],[Salary]]&lt;1000000,Table1[[#This Row],[Salary]]*0.05,Table1[[#This Row],[Salary]]*0.1)</f>
        <v>469070.53220000007</v>
      </c>
      <c r="J710" s="15">
        <f>Table1[[#This Row],[Salary]]+Table1[[#This Row],[Bonus]]</f>
        <v>5159775.8542000009</v>
      </c>
      <c r="K710" s="25">
        <f>COUNTA(Table1[Employee_ID])</f>
        <v>1000</v>
      </c>
      <c r="L710" s="1">
        <f>SUM(Table1[Salary])</f>
        <v>3119391523.8580012</v>
      </c>
      <c r="M710" s="15">
        <f>AVERAGE(Table1[Salary])</f>
        <v>3119391.5238580015</v>
      </c>
      <c r="N710" s="29">
        <f>SUM(Table1[Bonus])</f>
        <v>308244983.02069992</v>
      </c>
    </row>
    <row r="711" spans="1:14" ht="12.75" customHeight="1" x14ac:dyDescent="0.25">
      <c r="A711" s="2">
        <v>641</v>
      </c>
      <c r="B711" s="10" t="s">
        <v>1095</v>
      </c>
      <c r="C711" s="10" t="s">
        <v>816</v>
      </c>
      <c r="D711" s="10" t="s">
        <v>99</v>
      </c>
      <c r="E711" s="10" t="s">
        <v>27</v>
      </c>
      <c r="F711" s="10" t="s">
        <v>28</v>
      </c>
      <c r="G711" s="10" t="s">
        <v>29</v>
      </c>
      <c r="H711" s="13">
        <v>4622988.7059999993</v>
      </c>
      <c r="I711" s="15">
        <f>IF(Table1[[#This Row],[Salary]]&lt;1000000,Table1[[#This Row],[Salary]]*0.05,Table1[[#This Row],[Salary]]*0.1)</f>
        <v>462298.87059999997</v>
      </c>
      <c r="J711" s="15">
        <f>Table1[[#This Row],[Salary]]+Table1[[#This Row],[Bonus]]</f>
        <v>5085287.5765999993</v>
      </c>
      <c r="K711" s="25">
        <f>COUNTA(Table1[Employee_ID])</f>
        <v>1000</v>
      </c>
      <c r="L711" s="1">
        <f>SUM(Table1[Salary])</f>
        <v>3119391523.8580012</v>
      </c>
      <c r="M711" s="15">
        <f>AVERAGE(Table1[Salary])</f>
        <v>3119391.5238580015</v>
      </c>
      <c r="N711" s="29">
        <f>SUM(Table1[Bonus])</f>
        <v>308244983.02069992</v>
      </c>
    </row>
    <row r="712" spans="1:14" ht="12.75" customHeight="1" x14ac:dyDescent="0.25">
      <c r="A712" s="2">
        <v>642</v>
      </c>
      <c r="B712" s="10" t="s">
        <v>1096</v>
      </c>
      <c r="C712" s="10" t="s">
        <v>1097</v>
      </c>
      <c r="D712" s="10" t="s">
        <v>96</v>
      </c>
      <c r="E712" s="10" t="s">
        <v>10</v>
      </c>
      <c r="F712" s="10" t="s">
        <v>109</v>
      </c>
      <c r="G712" s="10" t="s">
        <v>48</v>
      </c>
      <c r="H712" s="13">
        <v>4167710.014</v>
      </c>
      <c r="I712" s="15">
        <f>IF(Table1[[#This Row],[Salary]]&lt;1000000,Table1[[#This Row],[Salary]]*0.05,Table1[[#This Row],[Salary]]*0.1)</f>
        <v>416771.00140000001</v>
      </c>
      <c r="J712" s="15">
        <f>Table1[[#This Row],[Salary]]+Table1[[#This Row],[Bonus]]</f>
        <v>4584481.0153999999</v>
      </c>
      <c r="K712" s="25">
        <f>COUNTA(Table1[Employee_ID])</f>
        <v>1000</v>
      </c>
      <c r="L712" s="1">
        <f>SUM(Table1[Salary])</f>
        <v>3119391523.8580012</v>
      </c>
      <c r="M712" s="15">
        <f>AVERAGE(Table1[Salary])</f>
        <v>3119391.5238580015</v>
      </c>
      <c r="N712" s="29">
        <f>SUM(Table1[Bonus])</f>
        <v>308244983.02069992</v>
      </c>
    </row>
    <row r="713" spans="1:14" ht="12.75" customHeight="1" x14ac:dyDescent="0.25">
      <c r="A713" s="2">
        <v>643</v>
      </c>
      <c r="B713" s="10" t="s">
        <v>1098</v>
      </c>
      <c r="C713" s="10" t="s">
        <v>1099</v>
      </c>
      <c r="D713" s="10" t="s">
        <v>105</v>
      </c>
      <c r="E713" s="10" t="s">
        <v>27</v>
      </c>
      <c r="F713" s="10" t="s">
        <v>85</v>
      </c>
      <c r="G713" s="10" t="s">
        <v>35</v>
      </c>
      <c r="H713" s="13">
        <v>5491915.2259999998</v>
      </c>
      <c r="I713" s="15">
        <f>IF(Table1[[#This Row],[Salary]]&lt;1000000,Table1[[#This Row],[Salary]]*0.05,Table1[[#This Row],[Salary]]*0.1)</f>
        <v>549191.52260000003</v>
      </c>
      <c r="J713" s="15">
        <f>Table1[[#This Row],[Salary]]+Table1[[#This Row],[Bonus]]</f>
        <v>6041106.7485999996</v>
      </c>
      <c r="K713" s="25">
        <f>COUNTA(Table1[Employee_ID])</f>
        <v>1000</v>
      </c>
      <c r="L713" s="1">
        <f>SUM(Table1[Salary])</f>
        <v>3119391523.8580012</v>
      </c>
      <c r="M713" s="15">
        <f>AVERAGE(Table1[Salary])</f>
        <v>3119391.5238580015</v>
      </c>
      <c r="N713" s="29">
        <f>SUM(Table1[Bonus])</f>
        <v>308244983.02069992</v>
      </c>
    </row>
    <row r="714" spans="1:14" ht="12.75" customHeight="1" x14ac:dyDescent="0.25">
      <c r="A714" s="2">
        <v>644</v>
      </c>
      <c r="B714" s="10" t="s">
        <v>1100</v>
      </c>
      <c r="C714" s="10" t="s">
        <v>1101</v>
      </c>
      <c r="D714" s="10" t="s">
        <v>54</v>
      </c>
      <c r="E714" s="10" t="s">
        <v>63</v>
      </c>
      <c r="F714" s="10" t="s">
        <v>64</v>
      </c>
      <c r="G714" s="10" t="s">
        <v>23</v>
      </c>
      <c r="H714" s="13">
        <v>1291289.456</v>
      </c>
      <c r="I714" s="15">
        <f>IF(Table1[[#This Row],[Salary]]&lt;1000000,Table1[[#This Row],[Salary]]*0.05,Table1[[#This Row],[Salary]]*0.1)</f>
        <v>129128.94560000001</v>
      </c>
      <c r="J714" s="15">
        <f>Table1[[#This Row],[Salary]]+Table1[[#This Row],[Bonus]]</f>
        <v>1420418.4016</v>
      </c>
      <c r="K714" s="25">
        <f>COUNTA(Table1[Employee_ID])</f>
        <v>1000</v>
      </c>
      <c r="L714" s="1">
        <f>SUM(Table1[Salary])</f>
        <v>3119391523.8580012</v>
      </c>
      <c r="M714" s="15">
        <f>AVERAGE(Table1[Salary])</f>
        <v>3119391.5238580015</v>
      </c>
      <c r="N714" s="29">
        <f>SUM(Table1[Bonus])</f>
        <v>308244983.02069992</v>
      </c>
    </row>
    <row r="715" spans="1:14" ht="12.75" customHeight="1" x14ac:dyDescent="0.25">
      <c r="A715" s="2">
        <v>646</v>
      </c>
      <c r="B715" s="10" t="s">
        <v>1104</v>
      </c>
      <c r="C715" s="10" t="s">
        <v>898</v>
      </c>
      <c r="D715" s="10" t="s">
        <v>377</v>
      </c>
      <c r="E715" s="10" t="s">
        <v>63</v>
      </c>
      <c r="F715" s="10" t="s">
        <v>113</v>
      </c>
      <c r="G715" s="10" t="s">
        <v>71</v>
      </c>
      <c r="H715" s="13">
        <v>974909.348</v>
      </c>
      <c r="I715" s="15">
        <f>IF(Table1[[#This Row],[Salary]]&lt;1000000,Table1[[#This Row],[Salary]]*0.05,Table1[[#This Row],[Salary]]*0.1)</f>
        <v>48745.467400000001</v>
      </c>
      <c r="J715" s="15">
        <f>Table1[[#This Row],[Salary]]+Table1[[#This Row],[Bonus]]</f>
        <v>1023654.8154</v>
      </c>
      <c r="K715" s="25">
        <f>COUNTA(Table1[Employee_ID])</f>
        <v>1000</v>
      </c>
      <c r="L715" s="1">
        <f>SUM(Table1[Salary])</f>
        <v>3119391523.8580012</v>
      </c>
      <c r="M715" s="15">
        <f>AVERAGE(Table1[Salary])</f>
        <v>3119391.5238580015</v>
      </c>
      <c r="N715" s="29">
        <f>SUM(Table1[Bonus])</f>
        <v>308244983.02069992</v>
      </c>
    </row>
    <row r="716" spans="1:14" ht="12.75" customHeight="1" x14ac:dyDescent="0.25">
      <c r="A716" s="2">
        <v>647</v>
      </c>
      <c r="B716" s="10" t="s">
        <v>263</v>
      </c>
      <c r="C716" s="10" t="s">
        <v>1105</v>
      </c>
      <c r="D716" s="10" t="s">
        <v>156</v>
      </c>
      <c r="E716" s="10" t="s">
        <v>27</v>
      </c>
      <c r="F716" s="10" t="s">
        <v>106</v>
      </c>
      <c r="G716" s="10" t="s">
        <v>23</v>
      </c>
      <c r="H716" s="13">
        <v>4952574.93</v>
      </c>
      <c r="I716" s="15">
        <f>IF(Table1[[#This Row],[Salary]]&lt;1000000,Table1[[#This Row],[Salary]]*0.05,Table1[[#This Row],[Salary]]*0.1)</f>
        <v>495257.49300000002</v>
      </c>
      <c r="J716" s="15">
        <f>Table1[[#This Row],[Salary]]+Table1[[#This Row],[Bonus]]</f>
        <v>5447832.4229999995</v>
      </c>
      <c r="K716" s="25">
        <f>COUNTA(Table1[Employee_ID])</f>
        <v>1000</v>
      </c>
      <c r="L716" s="1">
        <f>SUM(Table1[Salary])</f>
        <v>3119391523.8580012</v>
      </c>
      <c r="M716" s="15">
        <f>AVERAGE(Table1[Salary])</f>
        <v>3119391.5238580015</v>
      </c>
      <c r="N716" s="29">
        <f>SUM(Table1[Bonus])</f>
        <v>308244983.02069992</v>
      </c>
    </row>
    <row r="717" spans="1:14" ht="12.75" customHeight="1" x14ac:dyDescent="0.25">
      <c r="A717" s="2">
        <v>648</v>
      </c>
      <c r="B717" s="10" t="s">
        <v>795</v>
      </c>
      <c r="C717" s="10" t="s">
        <v>530</v>
      </c>
      <c r="D717" s="10" t="s">
        <v>174</v>
      </c>
      <c r="E717" s="10" t="s">
        <v>39</v>
      </c>
      <c r="F717" s="10" t="s">
        <v>40</v>
      </c>
      <c r="G717" s="10" t="s">
        <v>71</v>
      </c>
      <c r="H717" s="13">
        <v>4816614.6659999993</v>
      </c>
      <c r="I717" s="15">
        <f>IF(Table1[[#This Row],[Salary]]&lt;1000000,Table1[[#This Row],[Salary]]*0.05,Table1[[#This Row],[Salary]]*0.1)</f>
        <v>481661.46659999993</v>
      </c>
      <c r="J717" s="15">
        <f>Table1[[#This Row],[Salary]]+Table1[[#This Row],[Bonus]]</f>
        <v>5298276.1325999992</v>
      </c>
      <c r="K717" s="25">
        <f>COUNTA(Table1[Employee_ID])</f>
        <v>1000</v>
      </c>
      <c r="L717" s="1">
        <f>SUM(Table1[Salary])</f>
        <v>3119391523.8580012</v>
      </c>
      <c r="M717" s="15">
        <f>AVERAGE(Table1[Salary])</f>
        <v>3119391.5238580015</v>
      </c>
      <c r="N717" s="29">
        <f>SUM(Table1[Bonus])</f>
        <v>308244983.02069992</v>
      </c>
    </row>
    <row r="718" spans="1:14" ht="12.75" customHeight="1" x14ac:dyDescent="0.25">
      <c r="A718" s="2">
        <v>649</v>
      </c>
      <c r="B718" s="10" t="s">
        <v>1106</v>
      </c>
      <c r="C718" s="10" t="s">
        <v>1107</v>
      </c>
      <c r="D718" s="10" t="s">
        <v>174</v>
      </c>
      <c r="E718" s="10" t="s">
        <v>33</v>
      </c>
      <c r="F718" s="10" t="s">
        <v>47</v>
      </c>
      <c r="G718" s="10" t="s">
        <v>29</v>
      </c>
      <c r="H718" s="13">
        <v>1292609.368</v>
      </c>
      <c r="I718" s="15">
        <f>IF(Table1[[#This Row],[Salary]]&lt;1000000,Table1[[#This Row],[Salary]]*0.05,Table1[[#This Row],[Salary]]*0.1)</f>
        <v>129260.93680000001</v>
      </c>
      <c r="J718" s="15">
        <f>Table1[[#This Row],[Salary]]+Table1[[#This Row],[Bonus]]</f>
        <v>1421870.3048</v>
      </c>
      <c r="K718" s="25">
        <f>COUNTA(Table1[Employee_ID])</f>
        <v>1000</v>
      </c>
      <c r="L718" s="1">
        <f>SUM(Table1[Salary])</f>
        <v>3119391523.8580012</v>
      </c>
      <c r="M718" s="15">
        <f>AVERAGE(Table1[Salary])</f>
        <v>3119391.5238580015</v>
      </c>
      <c r="N718" s="29">
        <f>SUM(Table1[Bonus])</f>
        <v>308244983.02069992</v>
      </c>
    </row>
    <row r="719" spans="1:14" ht="12.75" customHeight="1" x14ac:dyDescent="0.25">
      <c r="A719" s="2">
        <v>650</v>
      </c>
      <c r="B719" s="10" t="s">
        <v>44</v>
      </c>
      <c r="C719" s="10" t="s">
        <v>869</v>
      </c>
      <c r="D719" s="10" t="s">
        <v>59</v>
      </c>
      <c r="E719" s="10" t="s">
        <v>14</v>
      </c>
      <c r="F719" s="10" t="s">
        <v>234</v>
      </c>
      <c r="G719" s="10" t="s">
        <v>23</v>
      </c>
      <c r="H719" s="13">
        <v>2623775.6</v>
      </c>
      <c r="I719" s="15">
        <f>IF(Table1[[#This Row],[Salary]]&lt;1000000,Table1[[#This Row],[Salary]]*0.05,Table1[[#This Row],[Salary]]*0.1)</f>
        <v>262377.56</v>
      </c>
      <c r="J719" s="15">
        <f>Table1[[#This Row],[Salary]]+Table1[[#This Row],[Bonus]]</f>
        <v>2886153.16</v>
      </c>
      <c r="K719" s="25">
        <f>COUNTA(Table1[Employee_ID])</f>
        <v>1000</v>
      </c>
      <c r="L719" s="1">
        <f>SUM(Table1[Salary])</f>
        <v>3119391523.8580012</v>
      </c>
      <c r="M719" s="15">
        <f>AVERAGE(Table1[Salary])</f>
        <v>3119391.5238580015</v>
      </c>
      <c r="N719" s="29">
        <f>SUM(Table1[Bonus])</f>
        <v>308244983.02069992</v>
      </c>
    </row>
    <row r="720" spans="1:14" ht="12.75" customHeight="1" x14ac:dyDescent="0.25">
      <c r="A720" s="2">
        <v>651</v>
      </c>
      <c r="B720" s="10" t="s">
        <v>858</v>
      </c>
      <c r="C720" s="10" t="s">
        <v>1108</v>
      </c>
      <c r="D720" s="10" t="s">
        <v>324</v>
      </c>
      <c r="E720" s="10" t="s">
        <v>39</v>
      </c>
      <c r="F720" s="10" t="s">
        <v>186</v>
      </c>
      <c r="G720" s="10" t="s">
        <v>29</v>
      </c>
      <c r="H720" s="13">
        <v>4272542.7420000006</v>
      </c>
      <c r="I720" s="15">
        <f>IF(Table1[[#This Row],[Salary]]&lt;1000000,Table1[[#This Row],[Salary]]*0.05,Table1[[#This Row],[Salary]]*0.1)</f>
        <v>427254.2742000001</v>
      </c>
      <c r="J720" s="15">
        <f>Table1[[#This Row],[Salary]]+Table1[[#This Row],[Bonus]]</f>
        <v>4699797.0162000004</v>
      </c>
      <c r="K720" s="25">
        <f>COUNTA(Table1[Employee_ID])</f>
        <v>1000</v>
      </c>
      <c r="L720" s="1">
        <f>SUM(Table1[Salary])</f>
        <v>3119391523.8580012</v>
      </c>
      <c r="M720" s="15">
        <f>AVERAGE(Table1[Salary])</f>
        <v>3119391.5238580015</v>
      </c>
      <c r="N720" s="29">
        <f>SUM(Table1[Bonus])</f>
        <v>308244983.02069992</v>
      </c>
    </row>
    <row r="721" spans="1:14" ht="12.75" customHeight="1" x14ac:dyDescent="0.25">
      <c r="A721" s="2">
        <v>652</v>
      </c>
      <c r="B721" s="10" t="s">
        <v>31</v>
      </c>
      <c r="C721" s="10" t="s">
        <v>1109</v>
      </c>
      <c r="D721" s="10" t="s">
        <v>177</v>
      </c>
      <c r="E721" s="10" t="s">
        <v>63</v>
      </c>
      <c r="F721" s="10" t="s">
        <v>131</v>
      </c>
      <c r="G721" s="10" t="s">
        <v>29</v>
      </c>
      <c r="H721" s="13">
        <v>377095.31799999997</v>
      </c>
      <c r="I721" s="15">
        <f>IF(Table1[[#This Row],[Salary]]&lt;1000000,Table1[[#This Row],[Salary]]*0.05,Table1[[#This Row],[Salary]]*0.1)</f>
        <v>18854.765899999999</v>
      </c>
      <c r="J721" s="15">
        <f>Table1[[#This Row],[Salary]]+Table1[[#This Row],[Bonus]]</f>
        <v>395950.08389999997</v>
      </c>
      <c r="K721" s="25">
        <f>COUNTA(Table1[Employee_ID])</f>
        <v>1000</v>
      </c>
      <c r="L721" s="1">
        <f>SUM(Table1[Salary])</f>
        <v>3119391523.8580012</v>
      </c>
      <c r="M721" s="15">
        <f>AVERAGE(Table1[Salary])</f>
        <v>3119391.5238580015</v>
      </c>
      <c r="N721" s="29">
        <f>SUM(Table1[Bonus])</f>
        <v>308244983.02069992</v>
      </c>
    </row>
    <row r="722" spans="1:14" ht="12.75" customHeight="1" x14ac:dyDescent="0.25">
      <c r="A722" s="2">
        <v>653</v>
      </c>
      <c r="B722" s="10" t="s">
        <v>1065</v>
      </c>
      <c r="C722" s="10" t="s">
        <v>1110</v>
      </c>
      <c r="D722" s="10" t="s">
        <v>324</v>
      </c>
      <c r="E722" s="10" t="s">
        <v>10</v>
      </c>
      <c r="F722" s="10" t="s">
        <v>131</v>
      </c>
      <c r="G722" s="10" t="s">
        <v>56</v>
      </c>
      <c r="H722" s="13">
        <v>1260677.2919999999</v>
      </c>
      <c r="I722" s="15">
        <f>IF(Table1[[#This Row],[Salary]]&lt;1000000,Table1[[#This Row],[Salary]]*0.05,Table1[[#This Row],[Salary]]*0.1)</f>
        <v>126067.7292</v>
      </c>
      <c r="J722" s="15">
        <f>Table1[[#This Row],[Salary]]+Table1[[#This Row],[Bonus]]</f>
        <v>1386745.0211999998</v>
      </c>
      <c r="K722" s="25">
        <f>COUNTA(Table1[Employee_ID])</f>
        <v>1000</v>
      </c>
      <c r="L722" s="1">
        <f>SUM(Table1[Salary])</f>
        <v>3119391523.8580012</v>
      </c>
      <c r="M722" s="15">
        <f>AVERAGE(Table1[Salary])</f>
        <v>3119391.5238580015</v>
      </c>
      <c r="N722" s="29">
        <f>SUM(Table1[Bonus])</f>
        <v>308244983.02069992</v>
      </c>
    </row>
    <row r="723" spans="1:14" ht="12.75" customHeight="1" x14ac:dyDescent="0.25">
      <c r="A723" s="2">
        <v>654</v>
      </c>
      <c r="B723" s="10" t="s">
        <v>187</v>
      </c>
      <c r="C723" s="10" t="s">
        <v>1111</v>
      </c>
      <c r="D723" s="10" t="s">
        <v>32</v>
      </c>
      <c r="E723" s="10" t="s">
        <v>2</v>
      </c>
      <c r="F723" s="10" t="s">
        <v>74</v>
      </c>
      <c r="G723" s="10" t="s">
        <v>56</v>
      </c>
      <c r="H723" s="13">
        <v>5349010.2659999998</v>
      </c>
      <c r="I723" s="15">
        <f>IF(Table1[[#This Row],[Salary]]&lt;1000000,Table1[[#This Row],[Salary]]*0.05,Table1[[#This Row],[Salary]]*0.1)</f>
        <v>534901.02659999998</v>
      </c>
      <c r="J723" s="15">
        <f>Table1[[#This Row],[Salary]]+Table1[[#This Row],[Bonus]]</f>
        <v>5883911.2926000003</v>
      </c>
      <c r="K723" s="25">
        <f>COUNTA(Table1[Employee_ID])</f>
        <v>1000</v>
      </c>
      <c r="L723" s="1">
        <f>SUM(Table1[Salary])</f>
        <v>3119391523.8580012</v>
      </c>
      <c r="M723" s="15">
        <f>AVERAGE(Table1[Salary])</f>
        <v>3119391.5238580015</v>
      </c>
      <c r="N723" s="29">
        <f>SUM(Table1[Bonus])</f>
        <v>308244983.02069992</v>
      </c>
    </row>
    <row r="724" spans="1:14" ht="12.75" customHeight="1" x14ac:dyDescent="0.25">
      <c r="A724" s="2">
        <v>656</v>
      </c>
      <c r="B724" s="10" t="s">
        <v>1114</v>
      </c>
      <c r="C724" s="10" t="s">
        <v>1115</v>
      </c>
      <c r="D724" s="10" t="s">
        <v>96</v>
      </c>
      <c r="E724" s="10" t="s">
        <v>6</v>
      </c>
      <c r="F724" s="10" t="s">
        <v>74</v>
      </c>
      <c r="G724" s="10" t="s">
        <v>35</v>
      </c>
      <c r="H724" s="13">
        <v>5128244.49</v>
      </c>
      <c r="I724" s="15">
        <f>IF(Table1[[#This Row],[Salary]]&lt;1000000,Table1[[#This Row],[Salary]]*0.05,Table1[[#This Row],[Salary]]*0.1)</f>
        <v>512824.44900000002</v>
      </c>
      <c r="J724" s="15">
        <f>Table1[[#This Row],[Salary]]+Table1[[#This Row],[Bonus]]</f>
        <v>5641068.9390000002</v>
      </c>
      <c r="K724" s="25">
        <f>COUNTA(Table1[Employee_ID])</f>
        <v>1000</v>
      </c>
      <c r="L724" s="1">
        <f>SUM(Table1[Salary])</f>
        <v>3119391523.8580012</v>
      </c>
      <c r="M724" s="15">
        <f>AVERAGE(Table1[Salary])</f>
        <v>3119391.5238580015</v>
      </c>
      <c r="N724" s="29">
        <f>SUM(Table1[Bonus])</f>
        <v>308244983.02069992</v>
      </c>
    </row>
    <row r="725" spans="1:14" ht="12.75" customHeight="1" x14ac:dyDescent="0.25">
      <c r="A725" s="2">
        <v>658</v>
      </c>
      <c r="B725" s="10" t="s">
        <v>1116</v>
      </c>
      <c r="C725" s="10" t="s">
        <v>1118</v>
      </c>
      <c r="D725" s="10" t="s">
        <v>88</v>
      </c>
      <c r="E725" s="10" t="s">
        <v>33</v>
      </c>
      <c r="F725" s="10" t="s">
        <v>55</v>
      </c>
      <c r="G725" s="10" t="s">
        <v>35</v>
      </c>
      <c r="H725" s="13">
        <v>5506690.7779999999</v>
      </c>
      <c r="I725" s="15">
        <f>IF(Table1[[#This Row],[Salary]]&lt;1000000,Table1[[#This Row],[Salary]]*0.05,Table1[[#This Row],[Salary]]*0.1)</f>
        <v>550669.07779999997</v>
      </c>
      <c r="J725" s="15">
        <f>Table1[[#This Row],[Salary]]+Table1[[#This Row],[Bonus]]</f>
        <v>6057359.8558</v>
      </c>
      <c r="K725" s="25">
        <f>COUNTA(Table1[Employee_ID])</f>
        <v>1000</v>
      </c>
      <c r="L725" s="1">
        <f>SUM(Table1[Salary])</f>
        <v>3119391523.8580012</v>
      </c>
      <c r="M725" s="15">
        <f>AVERAGE(Table1[Salary])</f>
        <v>3119391.5238580015</v>
      </c>
      <c r="N725" s="29">
        <f>SUM(Table1[Bonus])</f>
        <v>308244983.02069992</v>
      </c>
    </row>
    <row r="726" spans="1:14" ht="12.75" customHeight="1" x14ac:dyDescent="0.25">
      <c r="A726" s="2">
        <v>660</v>
      </c>
      <c r="B726" s="10" t="s">
        <v>166</v>
      </c>
      <c r="C726" s="10" t="s">
        <v>568</v>
      </c>
      <c r="D726" s="10" t="s">
        <v>137</v>
      </c>
      <c r="E726" s="10" t="s">
        <v>27</v>
      </c>
      <c r="F726" s="10" t="s">
        <v>28</v>
      </c>
      <c r="G726" s="10" t="s">
        <v>71</v>
      </c>
      <c r="H726" s="13">
        <v>3456699.5379999997</v>
      </c>
      <c r="I726" s="15">
        <f>IF(Table1[[#This Row],[Salary]]&lt;1000000,Table1[[#This Row],[Salary]]*0.05,Table1[[#This Row],[Salary]]*0.1)</f>
        <v>345669.95380000002</v>
      </c>
      <c r="J726" s="15">
        <f>Table1[[#This Row],[Salary]]+Table1[[#This Row],[Bonus]]</f>
        <v>3802369.4918</v>
      </c>
      <c r="K726" s="25">
        <f>COUNTA(Table1[Employee_ID])</f>
        <v>1000</v>
      </c>
      <c r="L726" s="1">
        <f>SUM(Table1[Salary])</f>
        <v>3119391523.8580012</v>
      </c>
      <c r="M726" s="15">
        <f>AVERAGE(Table1[Salary])</f>
        <v>3119391.5238580015</v>
      </c>
      <c r="N726" s="29">
        <f>SUM(Table1[Bonus])</f>
        <v>308244983.02069992</v>
      </c>
    </row>
    <row r="727" spans="1:14" ht="12.75" customHeight="1" x14ac:dyDescent="0.25">
      <c r="A727" s="2">
        <v>662</v>
      </c>
      <c r="B727" s="10" t="s">
        <v>274</v>
      </c>
      <c r="C727" s="10" t="s">
        <v>1121</v>
      </c>
      <c r="D727" s="10" t="s">
        <v>112</v>
      </c>
      <c r="E727" s="10" t="s">
        <v>27</v>
      </c>
      <c r="F727" s="10" t="s">
        <v>85</v>
      </c>
      <c r="G727" s="10" t="s">
        <v>29</v>
      </c>
      <c r="H727" s="13">
        <v>1218046</v>
      </c>
      <c r="I727" s="15">
        <f>IF(Table1[[#This Row],[Salary]]&lt;1000000,Table1[[#This Row],[Salary]]*0.05,Table1[[#This Row],[Salary]]*0.1)</f>
        <v>121804.6</v>
      </c>
      <c r="J727" s="15">
        <f>Table1[[#This Row],[Salary]]+Table1[[#This Row],[Bonus]]</f>
        <v>1339850.6000000001</v>
      </c>
      <c r="K727" s="25">
        <f>COUNTA(Table1[Employee_ID])</f>
        <v>1000</v>
      </c>
      <c r="L727" s="1">
        <f>SUM(Table1[Salary])</f>
        <v>3119391523.8580012</v>
      </c>
      <c r="M727" s="15">
        <f>AVERAGE(Table1[Salary])</f>
        <v>3119391.5238580015</v>
      </c>
      <c r="N727" s="29">
        <f>SUM(Table1[Bonus])</f>
        <v>308244983.02069992</v>
      </c>
    </row>
    <row r="728" spans="1:14" ht="12.75" customHeight="1" x14ac:dyDescent="0.25">
      <c r="A728" s="2">
        <v>664</v>
      </c>
      <c r="B728" s="10" t="s">
        <v>525</v>
      </c>
      <c r="C728" s="10" t="s">
        <v>1122</v>
      </c>
      <c r="D728" s="10" t="s">
        <v>146</v>
      </c>
      <c r="E728" s="10" t="s">
        <v>33</v>
      </c>
      <c r="F728" s="10" t="s">
        <v>34</v>
      </c>
      <c r="G728" s="10" t="s">
        <v>23</v>
      </c>
      <c r="H728" s="13">
        <v>5371216.7359999996</v>
      </c>
      <c r="I728" s="15">
        <f>IF(Table1[[#This Row],[Salary]]&lt;1000000,Table1[[#This Row],[Salary]]*0.05,Table1[[#This Row],[Salary]]*0.1)</f>
        <v>537121.67359999998</v>
      </c>
      <c r="J728" s="15">
        <f>Table1[[#This Row],[Salary]]+Table1[[#This Row],[Bonus]]</f>
        <v>5908338.4095999999</v>
      </c>
      <c r="K728" s="25">
        <f>COUNTA(Table1[Employee_ID])</f>
        <v>1000</v>
      </c>
      <c r="L728" s="1">
        <f>SUM(Table1[Salary])</f>
        <v>3119391523.8580012</v>
      </c>
      <c r="M728" s="15">
        <f>AVERAGE(Table1[Salary])</f>
        <v>3119391.5238580015</v>
      </c>
      <c r="N728" s="29">
        <f>SUM(Table1[Bonus])</f>
        <v>308244983.02069992</v>
      </c>
    </row>
    <row r="729" spans="1:14" ht="12.75" customHeight="1" x14ac:dyDescent="0.25">
      <c r="A729" s="2">
        <v>665</v>
      </c>
      <c r="B729" s="10" t="s">
        <v>758</v>
      </c>
      <c r="C729" s="10" t="s">
        <v>1118</v>
      </c>
      <c r="D729" s="10" t="s">
        <v>59</v>
      </c>
      <c r="E729" s="10" t="s">
        <v>33</v>
      </c>
      <c r="F729" s="10" t="s">
        <v>47</v>
      </c>
      <c r="G729" s="10" t="s">
        <v>71</v>
      </c>
      <c r="H729" s="13">
        <v>1745431.298</v>
      </c>
      <c r="I729" s="15">
        <f>IF(Table1[[#This Row],[Salary]]&lt;1000000,Table1[[#This Row],[Salary]]*0.05,Table1[[#This Row],[Salary]]*0.1)</f>
        <v>174543.1298</v>
      </c>
      <c r="J729" s="15">
        <f>Table1[[#This Row],[Salary]]+Table1[[#This Row],[Bonus]]</f>
        <v>1919974.4277999999</v>
      </c>
      <c r="K729" s="25">
        <f>COUNTA(Table1[Employee_ID])</f>
        <v>1000</v>
      </c>
      <c r="L729" s="1">
        <f>SUM(Table1[Salary])</f>
        <v>3119391523.8580012</v>
      </c>
      <c r="M729" s="15">
        <f>AVERAGE(Table1[Salary])</f>
        <v>3119391.5238580015</v>
      </c>
      <c r="N729" s="29">
        <f>SUM(Table1[Bonus])</f>
        <v>308244983.02069992</v>
      </c>
    </row>
    <row r="730" spans="1:14" ht="12.75" customHeight="1" x14ac:dyDescent="0.25">
      <c r="A730" s="2">
        <v>666</v>
      </c>
      <c r="B730" s="10" t="s">
        <v>1096</v>
      </c>
      <c r="C730" s="10" t="s">
        <v>1113</v>
      </c>
      <c r="D730" s="10" t="s">
        <v>46</v>
      </c>
      <c r="E730" s="10" t="s">
        <v>33</v>
      </c>
      <c r="F730" s="10" t="s">
        <v>55</v>
      </c>
      <c r="G730" s="10" t="s">
        <v>29</v>
      </c>
      <c r="H730" s="13">
        <v>4374686.6739999996</v>
      </c>
      <c r="I730" s="15">
        <f>IF(Table1[[#This Row],[Salary]]&lt;1000000,Table1[[#This Row],[Salary]]*0.05,Table1[[#This Row],[Salary]]*0.1)</f>
        <v>437468.66739999998</v>
      </c>
      <c r="J730" s="15">
        <f>Table1[[#This Row],[Salary]]+Table1[[#This Row],[Bonus]]</f>
        <v>4812155.3413999993</v>
      </c>
      <c r="K730" s="25">
        <f>COUNTA(Table1[Employee_ID])</f>
        <v>1000</v>
      </c>
      <c r="L730" s="1">
        <f>SUM(Table1[Salary])</f>
        <v>3119391523.8580012</v>
      </c>
      <c r="M730" s="15">
        <f>AVERAGE(Table1[Salary])</f>
        <v>3119391.5238580015</v>
      </c>
      <c r="N730" s="29">
        <f>SUM(Table1[Bonus])</f>
        <v>308244983.02069992</v>
      </c>
    </row>
    <row r="731" spans="1:14" ht="12.75" customHeight="1" x14ac:dyDescent="0.25">
      <c r="A731" s="2">
        <v>668</v>
      </c>
      <c r="B731" s="10" t="s">
        <v>263</v>
      </c>
      <c r="C731" s="10" t="s">
        <v>1115</v>
      </c>
      <c r="D731" s="10" t="s">
        <v>363</v>
      </c>
      <c r="E731" s="10" t="s">
        <v>33</v>
      </c>
      <c r="F731" s="10" t="s">
        <v>34</v>
      </c>
      <c r="G731" s="10" t="s">
        <v>71</v>
      </c>
      <c r="H731" s="13">
        <v>1523295.4720000001</v>
      </c>
      <c r="I731" s="15">
        <f>IF(Table1[[#This Row],[Salary]]&lt;1000000,Table1[[#This Row],[Salary]]*0.05,Table1[[#This Row],[Salary]]*0.1)</f>
        <v>152329.5472</v>
      </c>
      <c r="J731" s="15">
        <f>Table1[[#This Row],[Salary]]+Table1[[#This Row],[Bonus]]</f>
        <v>1675625.0192</v>
      </c>
      <c r="K731" s="25">
        <f>COUNTA(Table1[Employee_ID])</f>
        <v>1000</v>
      </c>
      <c r="L731" s="1">
        <f>SUM(Table1[Salary])</f>
        <v>3119391523.8580012</v>
      </c>
      <c r="M731" s="15">
        <f>AVERAGE(Table1[Salary])</f>
        <v>3119391.5238580015</v>
      </c>
      <c r="N731" s="29">
        <f>SUM(Table1[Bonus])</f>
        <v>308244983.02069992</v>
      </c>
    </row>
    <row r="732" spans="1:14" ht="12.75" customHeight="1" x14ac:dyDescent="0.25">
      <c r="A732" s="2">
        <v>669</v>
      </c>
      <c r="B732" s="10" t="s">
        <v>1065</v>
      </c>
      <c r="C732" s="10" t="s">
        <v>1123</v>
      </c>
      <c r="D732" s="10" t="s">
        <v>118</v>
      </c>
      <c r="E732" s="10" t="s">
        <v>33</v>
      </c>
      <c r="F732" s="10" t="s">
        <v>47</v>
      </c>
      <c r="G732" s="10" t="s">
        <v>23</v>
      </c>
      <c r="H732" s="13">
        <v>2583758.48</v>
      </c>
      <c r="I732" s="15">
        <f>IF(Table1[[#This Row],[Salary]]&lt;1000000,Table1[[#This Row],[Salary]]*0.05,Table1[[#This Row],[Salary]]*0.1)</f>
        <v>258375.848</v>
      </c>
      <c r="J732" s="15">
        <f>Table1[[#This Row],[Salary]]+Table1[[#This Row],[Bonus]]</f>
        <v>2842134.3279999997</v>
      </c>
      <c r="K732" s="25">
        <f>COUNTA(Table1[Employee_ID])</f>
        <v>1000</v>
      </c>
      <c r="L732" s="1">
        <f>SUM(Table1[Salary])</f>
        <v>3119391523.8580012</v>
      </c>
      <c r="M732" s="15">
        <f>AVERAGE(Table1[Salary])</f>
        <v>3119391.5238580015</v>
      </c>
      <c r="N732" s="29">
        <f>SUM(Table1[Bonus])</f>
        <v>308244983.02069992</v>
      </c>
    </row>
    <row r="733" spans="1:14" ht="12.75" customHeight="1" x14ac:dyDescent="0.25">
      <c r="A733" s="2">
        <v>670</v>
      </c>
      <c r="B733" s="10" t="s">
        <v>1106</v>
      </c>
      <c r="C733" s="10" t="s">
        <v>898</v>
      </c>
      <c r="D733" s="10" t="s">
        <v>143</v>
      </c>
      <c r="E733" s="10" t="s">
        <v>10</v>
      </c>
      <c r="F733" s="10" t="s">
        <v>78</v>
      </c>
      <c r="G733" s="10" t="s">
        <v>23</v>
      </c>
      <c r="H733" s="13">
        <v>1858740.8460000001</v>
      </c>
      <c r="I733" s="15">
        <f>IF(Table1[[#This Row],[Salary]]&lt;1000000,Table1[[#This Row],[Salary]]*0.05,Table1[[#This Row],[Salary]]*0.1)</f>
        <v>185874.08460000003</v>
      </c>
      <c r="J733" s="15">
        <f>Table1[[#This Row],[Salary]]+Table1[[#This Row],[Bonus]]</f>
        <v>2044614.9306000001</v>
      </c>
      <c r="K733" s="25">
        <f>COUNTA(Table1[Employee_ID])</f>
        <v>1000</v>
      </c>
      <c r="L733" s="1">
        <f>SUM(Table1[Salary])</f>
        <v>3119391523.8580012</v>
      </c>
      <c r="M733" s="15">
        <f>AVERAGE(Table1[Salary])</f>
        <v>3119391.5238580015</v>
      </c>
      <c r="N733" s="29">
        <f>SUM(Table1[Bonus])</f>
        <v>308244983.02069992</v>
      </c>
    </row>
    <row r="734" spans="1:14" ht="12.75" customHeight="1" x14ac:dyDescent="0.25">
      <c r="A734" s="2">
        <v>673</v>
      </c>
      <c r="B734" s="10" t="s">
        <v>795</v>
      </c>
      <c r="C734" s="10" t="s">
        <v>1117</v>
      </c>
      <c r="D734" s="10" t="s">
        <v>156</v>
      </c>
      <c r="E734" s="10" t="s">
        <v>27</v>
      </c>
      <c r="F734" s="10" t="s">
        <v>106</v>
      </c>
      <c r="G734" s="10" t="s">
        <v>71</v>
      </c>
      <c r="H734" s="13">
        <v>1556872.774</v>
      </c>
      <c r="I734" s="15">
        <f>IF(Table1[[#This Row],[Salary]]&lt;1000000,Table1[[#This Row],[Salary]]*0.05,Table1[[#This Row],[Salary]]*0.1)</f>
        <v>155687.27739999999</v>
      </c>
      <c r="J734" s="15">
        <f>Table1[[#This Row],[Salary]]+Table1[[#This Row],[Bonus]]</f>
        <v>1712560.0514</v>
      </c>
      <c r="K734" s="25">
        <f>COUNTA(Table1[Employee_ID])</f>
        <v>1000</v>
      </c>
      <c r="L734" s="1">
        <f>SUM(Table1[Salary])</f>
        <v>3119391523.8580012</v>
      </c>
      <c r="M734" s="15">
        <f>AVERAGE(Table1[Salary])</f>
        <v>3119391.5238580015</v>
      </c>
      <c r="N734" s="29">
        <f>SUM(Table1[Bonus])</f>
        <v>308244983.02069992</v>
      </c>
    </row>
    <row r="735" spans="1:14" ht="12.75" customHeight="1" x14ac:dyDescent="0.25">
      <c r="A735" s="2">
        <v>674</v>
      </c>
      <c r="B735" s="10" t="s">
        <v>1124</v>
      </c>
      <c r="C735" s="10" t="s">
        <v>1110</v>
      </c>
      <c r="D735" s="10" t="s">
        <v>125</v>
      </c>
      <c r="E735" s="10" t="s">
        <v>14</v>
      </c>
      <c r="F735" s="10" t="s">
        <v>51</v>
      </c>
      <c r="G735" s="10" t="s">
        <v>23</v>
      </c>
      <c r="H735" s="13">
        <v>5279050.2659999998</v>
      </c>
      <c r="I735" s="15">
        <f>IF(Table1[[#This Row],[Salary]]&lt;1000000,Table1[[#This Row],[Salary]]*0.05,Table1[[#This Row],[Salary]]*0.1)</f>
        <v>527905.02659999998</v>
      </c>
      <c r="J735" s="15">
        <f>Table1[[#This Row],[Salary]]+Table1[[#This Row],[Bonus]]</f>
        <v>5806955.2926000003</v>
      </c>
      <c r="K735" s="25">
        <f>COUNTA(Table1[Employee_ID])</f>
        <v>1000</v>
      </c>
      <c r="L735" s="1">
        <f>SUM(Table1[Salary])</f>
        <v>3119391523.8580012</v>
      </c>
      <c r="M735" s="15">
        <f>AVERAGE(Table1[Salary])</f>
        <v>3119391.5238580015</v>
      </c>
      <c r="N735" s="29">
        <f>SUM(Table1[Bonus])</f>
        <v>308244983.02069992</v>
      </c>
    </row>
    <row r="736" spans="1:14" ht="12.75" customHeight="1" x14ac:dyDescent="0.25">
      <c r="A736" s="2">
        <v>675</v>
      </c>
      <c r="B736" s="10" t="s">
        <v>1069</v>
      </c>
      <c r="C736" s="10" t="s">
        <v>1077</v>
      </c>
      <c r="D736" s="10" t="s">
        <v>112</v>
      </c>
      <c r="E736" s="10" t="s">
        <v>39</v>
      </c>
      <c r="F736" s="10" t="s">
        <v>189</v>
      </c>
      <c r="G736" s="10" t="s">
        <v>56</v>
      </c>
      <c r="H736" s="13">
        <v>2134593.1260000002</v>
      </c>
      <c r="I736" s="15">
        <f>IF(Table1[[#This Row],[Salary]]&lt;1000000,Table1[[#This Row],[Salary]]*0.05,Table1[[#This Row],[Salary]]*0.1)</f>
        <v>213459.31260000003</v>
      </c>
      <c r="J736" s="15">
        <f>Table1[[#This Row],[Salary]]+Table1[[#This Row],[Bonus]]</f>
        <v>2348052.4386</v>
      </c>
      <c r="K736" s="25">
        <f>COUNTA(Table1[Employee_ID])</f>
        <v>1000</v>
      </c>
      <c r="L736" s="1">
        <f>SUM(Table1[Salary])</f>
        <v>3119391523.8580012</v>
      </c>
      <c r="M736" s="15">
        <f>AVERAGE(Table1[Salary])</f>
        <v>3119391.5238580015</v>
      </c>
      <c r="N736" s="29">
        <f>SUM(Table1[Bonus])</f>
        <v>308244983.02069992</v>
      </c>
    </row>
    <row r="737" spans="1:14" ht="12.75" customHeight="1" x14ac:dyDescent="0.25">
      <c r="A737" s="2">
        <v>676</v>
      </c>
      <c r="B737" s="10" t="s">
        <v>825</v>
      </c>
      <c r="C737" s="10" t="s">
        <v>1079</v>
      </c>
      <c r="D737" s="10" t="s">
        <v>96</v>
      </c>
      <c r="E737" s="10" t="s">
        <v>39</v>
      </c>
      <c r="F737" s="10" t="s">
        <v>40</v>
      </c>
      <c r="G737" s="10" t="s">
        <v>23</v>
      </c>
      <c r="H737" s="13">
        <v>5998833.7259999998</v>
      </c>
      <c r="I737" s="15">
        <f>IF(Table1[[#This Row],[Salary]]&lt;1000000,Table1[[#This Row],[Salary]]*0.05,Table1[[#This Row],[Salary]]*0.1)</f>
        <v>599883.3726</v>
      </c>
      <c r="J737" s="15">
        <f>Table1[[#This Row],[Salary]]+Table1[[#This Row],[Bonus]]</f>
        <v>6598717.0986000001</v>
      </c>
      <c r="K737" s="25">
        <f>COUNTA(Table1[Employee_ID])</f>
        <v>1000</v>
      </c>
      <c r="L737" s="1">
        <f>SUM(Table1[Salary])</f>
        <v>3119391523.8580012</v>
      </c>
      <c r="M737" s="15">
        <f>AVERAGE(Table1[Salary])</f>
        <v>3119391.5238580015</v>
      </c>
      <c r="N737" s="29">
        <f>SUM(Table1[Bonus])</f>
        <v>308244983.02069992</v>
      </c>
    </row>
    <row r="738" spans="1:14" ht="12.75" customHeight="1" x14ac:dyDescent="0.25">
      <c r="A738" s="2">
        <v>677</v>
      </c>
      <c r="B738" s="10" t="s">
        <v>1085</v>
      </c>
      <c r="C738" s="10" t="s">
        <v>1109</v>
      </c>
      <c r="D738" s="10" t="s">
        <v>118</v>
      </c>
      <c r="E738" s="10" t="s">
        <v>6</v>
      </c>
      <c r="F738" s="10" t="s">
        <v>123</v>
      </c>
      <c r="G738" s="10" t="s">
        <v>48</v>
      </c>
      <c r="H738" s="13">
        <v>1635281.61</v>
      </c>
      <c r="I738" s="15">
        <f>IF(Table1[[#This Row],[Salary]]&lt;1000000,Table1[[#This Row],[Salary]]*0.05,Table1[[#This Row],[Salary]]*0.1)</f>
        <v>163528.16100000002</v>
      </c>
      <c r="J738" s="15">
        <f>Table1[[#This Row],[Salary]]+Table1[[#This Row],[Bonus]]</f>
        <v>1798809.7710000002</v>
      </c>
      <c r="K738" s="25">
        <f>COUNTA(Table1[Employee_ID])</f>
        <v>1000</v>
      </c>
      <c r="L738" s="1">
        <f>SUM(Table1[Salary])</f>
        <v>3119391523.8580012</v>
      </c>
      <c r="M738" s="15">
        <f>AVERAGE(Table1[Salary])</f>
        <v>3119391.5238580015</v>
      </c>
      <c r="N738" s="29">
        <f>SUM(Table1[Bonus])</f>
        <v>308244983.02069992</v>
      </c>
    </row>
    <row r="739" spans="1:14" ht="12.75" customHeight="1" x14ac:dyDescent="0.25">
      <c r="A739" s="2">
        <v>678</v>
      </c>
      <c r="B739" s="10" t="s">
        <v>19</v>
      </c>
      <c r="C739" s="10" t="s">
        <v>1089</v>
      </c>
      <c r="D739" s="10" t="s">
        <v>88</v>
      </c>
      <c r="E739" s="10" t="s">
        <v>13</v>
      </c>
      <c r="F739" s="10" t="s">
        <v>67</v>
      </c>
      <c r="G739" s="10" t="s">
        <v>23</v>
      </c>
      <c r="H739" s="13">
        <v>725036.71400000004</v>
      </c>
      <c r="I739" s="15">
        <f>IF(Table1[[#This Row],[Salary]]&lt;1000000,Table1[[#This Row],[Salary]]*0.05,Table1[[#This Row],[Salary]]*0.1)</f>
        <v>36251.835700000003</v>
      </c>
      <c r="J739" s="15">
        <f>Table1[[#This Row],[Salary]]+Table1[[#This Row],[Bonus]]</f>
        <v>761288.54970000009</v>
      </c>
      <c r="K739" s="25">
        <f>COUNTA(Table1[Employee_ID])</f>
        <v>1000</v>
      </c>
      <c r="L739" s="1">
        <f>SUM(Table1[Salary])</f>
        <v>3119391523.8580012</v>
      </c>
      <c r="M739" s="15">
        <f>AVERAGE(Table1[Salary])</f>
        <v>3119391.5238580015</v>
      </c>
      <c r="N739" s="29">
        <f>SUM(Table1[Bonus])</f>
        <v>308244983.02069992</v>
      </c>
    </row>
    <row r="740" spans="1:14" ht="12.75" customHeight="1" x14ac:dyDescent="0.25">
      <c r="A740" s="2">
        <v>679</v>
      </c>
      <c r="B740" s="10" t="s">
        <v>1102</v>
      </c>
      <c r="C740" s="10" t="s">
        <v>1072</v>
      </c>
      <c r="D740" s="10" t="s">
        <v>26</v>
      </c>
      <c r="E740" s="10" t="s">
        <v>39</v>
      </c>
      <c r="F740" s="10" t="s">
        <v>186</v>
      </c>
      <c r="G740" s="10" t="s">
        <v>71</v>
      </c>
      <c r="H740" s="13">
        <v>1239974.9619999998</v>
      </c>
      <c r="I740" s="15">
        <f>IF(Table1[[#This Row],[Salary]]&lt;1000000,Table1[[#This Row],[Salary]]*0.05,Table1[[#This Row],[Salary]]*0.1)</f>
        <v>123997.49619999999</v>
      </c>
      <c r="J740" s="15">
        <f>Table1[[#This Row],[Salary]]+Table1[[#This Row],[Bonus]]</f>
        <v>1363972.4581999998</v>
      </c>
      <c r="K740" s="25">
        <f>COUNTA(Table1[Employee_ID])</f>
        <v>1000</v>
      </c>
      <c r="L740" s="1">
        <f>SUM(Table1[Salary])</f>
        <v>3119391523.8580012</v>
      </c>
      <c r="M740" s="15">
        <f>AVERAGE(Table1[Salary])</f>
        <v>3119391.5238580015</v>
      </c>
      <c r="N740" s="29">
        <f>SUM(Table1[Bonus])</f>
        <v>308244983.02069992</v>
      </c>
    </row>
    <row r="741" spans="1:14" ht="12.75" customHeight="1" x14ac:dyDescent="0.25">
      <c r="A741" s="2">
        <v>680</v>
      </c>
      <c r="B741" s="10" t="s">
        <v>666</v>
      </c>
      <c r="C741" s="10" t="s">
        <v>1097</v>
      </c>
      <c r="D741" s="10" t="s">
        <v>125</v>
      </c>
      <c r="E741" s="10" t="s">
        <v>6</v>
      </c>
      <c r="F741" s="10" t="s">
        <v>144</v>
      </c>
      <c r="G741" s="10" t="s">
        <v>56</v>
      </c>
      <c r="H741" s="13">
        <v>5045022.4059999995</v>
      </c>
      <c r="I741" s="15">
        <f>IF(Table1[[#This Row],[Salary]]&lt;1000000,Table1[[#This Row],[Salary]]*0.05,Table1[[#This Row],[Salary]]*0.1)</f>
        <v>504502.24059999996</v>
      </c>
      <c r="J741" s="15">
        <f>Table1[[#This Row],[Salary]]+Table1[[#This Row],[Bonus]]</f>
        <v>5549524.6465999996</v>
      </c>
      <c r="K741" s="25">
        <f>COUNTA(Table1[Employee_ID])</f>
        <v>1000</v>
      </c>
      <c r="L741" s="1">
        <f>SUM(Table1[Salary])</f>
        <v>3119391523.8580012</v>
      </c>
      <c r="M741" s="15">
        <f>AVERAGE(Table1[Salary])</f>
        <v>3119391.5238580015</v>
      </c>
      <c r="N741" s="29">
        <f>SUM(Table1[Bonus])</f>
        <v>308244983.02069992</v>
      </c>
    </row>
    <row r="742" spans="1:14" ht="12.75" customHeight="1" x14ac:dyDescent="0.25">
      <c r="A742" s="2">
        <v>683</v>
      </c>
      <c r="B742" s="10" t="s">
        <v>1091</v>
      </c>
      <c r="C742" s="10" t="s">
        <v>1107</v>
      </c>
      <c r="D742" s="10" t="s">
        <v>134</v>
      </c>
      <c r="E742" s="10" t="s">
        <v>27</v>
      </c>
      <c r="F742" s="10" t="s">
        <v>28</v>
      </c>
      <c r="G742" s="10" t="s">
        <v>23</v>
      </c>
      <c r="H742" s="13">
        <v>3657425.2720000003</v>
      </c>
      <c r="I742" s="15">
        <f>IF(Table1[[#This Row],[Salary]]&lt;1000000,Table1[[#This Row],[Salary]]*0.05,Table1[[#This Row],[Salary]]*0.1)</f>
        <v>365742.52720000007</v>
      </c>
      <c r="J742" s="15">
        <f>Table1[[#This Row],[Salary]]+Table1[[#This Row],[Bonus]]</f>
        <v>4023167.7992000002</v>
      </c>
      <c r="K742" s="25">
        <f>COUNTA(Table1[Employee_ID])</f>
        <v>1000</v>
      </c>
      <c r="L742" s="1">
        <f>SUM(Table1[Salary])</f>
        <v>3119391523.8580012</v>
      </c>
      <c r="M742" s="15">
        <f>AVERAGE(Table1[Salary])</f>
        <v>3119391.5238580015</v>
      </c>
      <c r="N742" s="29">
        <f>SUM(Table1[Bonus])</f>
        <v>308244983.02069992</v>
      </c>
    </row>
    <row r="743" spans="1:14" ht="12.75" customHeight="1" x14ac:dyDescent="0.25">
      <c r="A743" s="2">
        <v>684</v>
      </c>
      <c r="B743" s="10" t="s">
        <v>1065</v>
      </c>
      <c r="C743" s="10" t="s">
        <v>1086</v>
      </c>
      <c r="D743" s="10" t="s">
        <v>137</v>
      </c>
      <c r="E743" s="10" t="s">
        <v>27</v>
      </c>
      <c r="F743" s="10" t="s">
        <v>85</v>
      </c>
      <c r="G743" s="10" t="s">
        <v>56</v>
      </c>
      <c r="H743" s="13">
        <v>5737221.8040000005</v>
      </c>
      <c r="I743" s="15">
        <f>IF(Table1[[#This Row],[Salary]]&lt;1000000,Table1[[#This Row],[Salary]]*0.05,Table1[[#This Row],[Salary]]*0.1)</f>
        <v>573722.18040000007</v>
      </c>
      <c r="J743" s="15">
        <f>Table1[[#This Row],[Salary]]+Table1[[#This Row],[Bonus]]</f>
        <v>6310943.9844000004</v>
      </c>
      <c r="K743" s="25">
        <f>COUNTA(Table1[Employee_ID])</f>
        <v>1000</v>
      </c>
      <c r="L743" s="1">
        <f>SUM(Table1[Salary])</f>
        <v>3119391523.8580012</v>
      </c>
      <c r="M743" s="15">
        <f>AVERAGE(Table1[Salary])</f>
        <v>3119391.5238580015</v>
      </c>
      <c r="N743" s="29">
        <f>SUM(Table1[Bonus])</f>
        <v>308244983.02069992</v>
      </c>
    </row>
    <row r="744" spans="1:14" ht="12.75" customHeight="1" x14ac:dyDescent="0.25">
      <c r="A744" s="2">
        <v>685</v>
      </c>
      <c r="B744" s="10" t="s">
        <v>1104</v>
      </c>
      <c r="C744" s="10" t="s">
        <v>1105</v>
      </c>
      <c r="D744" s="10" t="s">
        <v>140</v>
      </c>
      <c r="E744" s="10" t="s">
        <v>27</v>
      </c>
      <c r="F744" s="10" t="s">
        <v>106</v>
      </c>
      <c r="G744" s="10" t="s">
        <v>56</v>
      </c>
      <c r="H744" s="13">
        <v>3356156.5239999997</v>
      </c>
      <c r="I744" s="15">
        <f>IF(Table1[[#This Row],[Salary]]&lt;1000000,Table1[[#This Row],[Salary]]*0.05,Table1[[#This Row],[Salary]]*0.1)</f>
        <v>335615.65240000002</v>
      </c>
      <c r="J744" s="15">
        <f>Table1[[#This Row],[Salary]]+Table1[[#This Row],[Bonus]]</f>
        <v>3691772.1763999998</v>
      </c>
      <c r="K744" s="25">
        <f>COUNTA(Table1[Employee_ID])</f>
        <v>1000</v>
      </c>
      <c r="L744" s="1">
        <f>SUM(Table1[Salary])</f>
        <v>3119391523.8580012</v>
      </c>
      <c r="M744" s="15">
        <f>AVERAGE(Table1[Salary])</f>
        <v>3119391.5238580015</v>
      </c>
      <c r="N744" s="29">
        <f>SUM(Table1[Bonus])</f>
        <v>308244983.02069992</v>
      </c>
    </row>
    <row r="745" spans="1:14" ht="12.75" customHeight="1" x14ac:dyDescent="0.25">
      <c r="A745" s="2">
        <v>686</v>
      </c>
      <c r="B745" s="10" t="s">
        <v>1071</v>
      </c>
      <c r="C745" s="10" t="s">
        <v>1100</v>
      </c>
      <c r="D745" s="10" t="s">
        <v>143</v>
      </c>
      <c r="E745" s="10" t="s">
        <v>33</v>
      </c>
      <c r="F745" s="10" t="s">
        <v>55</v>
      </c>
      <c r="G745" s="10" t="s">
        <v>56</v>
      </c>
      <c r="H745" s="13">
        <v>635652.31999999995</v>
      </c>
      <c r="I745" s="15">
        <f>IF(Table1[[#This Row],[Salary]]&lt;1000000,Table1[[#This Row],[Salary]]*0.05,Table1[[#This Row],[Salary]]*0.1)</f>
        <v>31782.615999999998</v>
      </c>
      <c r="J745" s="15">
        <f>Table1[[#This Row],[Salary]]+Table1[[#This Row],[Bonus]]</f>
        <v>667434.93599999999</v>
      </c>
      <c r="K745" s="25">
        <f>COUNTA(Table1[Employee_ID])</f>
        <v>1000</v>
      </c>
      <c r="L745" s="1">
        <f>SUM(Table1[Salary])</f>
        <v>3119391523.8580012</v>
      </c>
      <c r="M745" s="15">
        <f>AVERAGE(Table1[Salary])</f>
        <v>3119391.5238580015</v>
      </c>
      <c r="N745" s="29">
        <f>SUM(Table1[Bonus])</f>
        <v>308244983.02069992</v>
      </c>
    </row>
    <row r="746" spans="1:14" ht="12.75" customHeight="1" x14ac:dyDescent="0.25">
      <c r="A746" s="2">
        <v>687</v>
      </c>
      <c r="B746" s="10" t="s">
        <v>1095</v>
      </c>
      <c r="C746" s="10" t="s">
        <v>1099</v>
      </c>
      <c r="D746" s="10" t="s">
        <v>146</v>
      </c>
      <c r="E746" s="10" t="s">
        <v>27</v>
      </c>
      <c r="F746" s="10" t="s">
        <v>28</v>
      </c>
      <c r="G746" s="10" t="s">
        <v>23</v>
      </c>
      <c r="H746" s="13">
        <v>1070144.73</v>
      </c>
      <c r="I746" s="15">
        <f>IF(Table1[[#This Row],[Salary]]&lt;1000000,Table1[[#This Row],[Salary]]*0.05,Table1[[#This Row],[Salary]]*0.1)</f>
        <v>107014.473</v>
      </c>
      <c r="J746" s="15">
        <f>Table1[[#This Row],[Salary]]+Table1[[#This Row],[Bonus]]</f>
        <v>1177159.203</v>
      </c>
      <c r="K746" s="25">
        <f>COUNTA(Table1[Employee_ID])</f>
        <v>1000</v>
      </c>
      <c r="L746" s="1">
        <f>SUM(Table1[Salary])</f>
        <v>3119391523.8580012</v>
      </c>
      <c r="M746" s="15">
        <f>AVERAGE(Table1[Salary])</f>
        <v>3119391.5238580015</v>
      </c>
      <c r="N746" s="29">
        <f>SUM(Table1[Bonus])</f>
        <v>308244983.02069992</v>
      </c>
    </row>
    <row r="747" spans="1:14" ht="12.75" customHeight="1" x14ac:dyDescent="0.25">
      <c r="A747" s="2">
        <v>688</v>
      </c>
      <c r="B747" s="10" t="s">
        <v>815</v>
      </c>
      <c r="C747" s="10" t="s">
        <v>1074</v>
      </c>
      <c r="D747" s="10" t="s">
        <v>149</v>
      </c>
      <c r="E747" s="10" t="s">
        <v>13</v>
      </c>
      <c r="F747" s="10" t="s">
        <v>120</v>
      </c>
      <c r="G747" s="10" t="s">
        <v>23</v>
      </c>
      <c r="H747" s="13">
        <v>382384.29399999999</v>
      </c>
      <c r="I747" s="15">
        <f>IF(Table1[[#This Row],[Salary]]&lt;1000000,Table1[[#This Row],[Salary]]*0.05,Table1[[#This Row],[Salary]]*0.1)</f>
        <v>19119.2147</v>
      </c>
      <c r="J747" s="15">
        <f>Table1[[#This Row],[Salary]]+Table1[[#This Row],[Bonus]]</f>
        <v>401503.50870000001</v>
      </c>
      <c r="K747" s="25">
        <f>COUNTA(Table1[Employee_ID])</f>
        <v>1000</v>
      </c>
      <c r="L747" s="1">
        <f>SUM(Table1[Salary])</f>
        <v>3119391523.8580012</v>
      </c>
      <c r="M747" s="15">
        <f>AVERAGE(Table1[Salary])</f>
        <v>3119391.5238580015</v>
      </c>
      <c r="N747" s="29">
        <f>SUM(Table1[Bonus])</f>
        <v>308244983.02069992</v>
      </c>
    </row>
    <row r="748" spans="1:14" ht="12.75" customHeight="1" x14ac:dyDescent="0.25">
      <c r="A748" s="2">
        <v>689</v>
      </c>
      <c r="B748" s="10" t="s">
        <v>1101</v>
      </c>
      <c r="C748" s="10" t="s">
        <v>869</v>
      </c>
      <c r="D748" s="10" t="s">
        <v>88</v>
      </c>
      <c r="E748" s="10" t="s">
        <v>39</v>
      </c>
      <c r="F748" s="10" t="s">
        <v>189</v>
      </c>
      <c r="G748" s="10" t="s">
        <v>29</v>
      </c>
      <c r="H748" s="13">
        <v>2601585.4539999999</v>
      </c>
      <c r="I748" s="15">
        <f>IF(Table1[[#This Row],[Salary]]&lt;1000000,Table1[[#This Row],[Salary]]*0.05,Table1[[#This Row],[Salary]]*0.1)</f>
        <v>260158.5454</v>
      </c>
      <c r="J748" s="15">
        <f>Table1[[#This Row],[Salary]]+Table1[[#This Row],[Bonus]]</f>
        <v>2861743.9994000001</v>
      </c>
      <c r="K748" s="25">
        <f>COUNTA(Table1[Employee_ID])</f>
        <v>1000</v>
      </c>
      <c r="L748" s="1">
        <f>SUM(Table1[Salary])</f>
        <v>3119391523.8580012</v>
      </c>
      <c r="M748" s="15">
        <f>AVERAGE(Table1[Salary])</f>
        <v>3119391.5238580015</v>
      </c>
      <c r="N748" s="29">
        <f>SUM(Table1[Bonus])</f>
        <v>308244983.02069992</v>
      </c>
    </row>
    <row r="749" spans="1:14" ht="12.75" customHeight="1" x14ac:dyDescent="0.25">
      <c r="A749" s="2">
        <v>690</v>
      </c>
      <c r="B749" s="10" t="s">
        <v>19</v>
      </c>
      <c r="C749" s="10" t="s">
        <v>1067</v>
      </c>
      <c r="D749" s="10" t="s">
        <v>26</v>
      </c>
      <c r="E749" s="10" t="s">
        <v>27</v>
      </c>
      <c r="F749" s="10" t="s">
        <v>85</v>
      </c>
      <c r="G749" s="10" t="s">
        <v>23</v>
      </c>
      <c r="H749" s="13">
        <v>3538207.602</v>
      </c>
      <c r="I749" s="15">
        <f>IF(Table1[[#This Row],[Salary]]&lt;1000000,Table1[[#This Row],[Salary]]*0.05,Table1[[#This Row],[Salary]]*0.1)</f>
        <v>353820.76020000002</v>
      </c>
      <c r="J749" s="15">
        <f>Table1[[#This Row],[Salary]]+Table1[[#This Row],[Bonus]]</f>
        <v>3892028.3621999999</v>
      </c>
      <c r="K749" s="25">
        <f>COUNTA(Table1[Employee_ID])</f>
        <v>1000</v>
      </c>
      <c r="L749" s="1">
        <f>SUM(Table1[Salary])</f>
        <v>3119391523.8580012</v>
      </c>
      <c r="M749" s="15">
        <f>AVERAGE(Table1[Salary])</f>
        <v>3119391.5238580015</v>
      </c>
      <c r="N749" s="29">
        <f>SUM(Table1[Bonus])</f>
        <v>308244983.02069992</v>
      </c>
    </row>
    <row r="750" spans="1:14" ht="12.75" customHeight="1" x14ac:dyDescent="0.25">
      <c r="A750" s="2">
        <v>691</v>
      </c>
      <c r="B750" s="10" t="s">
        <v>345</v>
      </c>
      <c r="C750" s="10" t="s">
        <v>1103</v>
      </c>
      <c r="D750" s="10" t="s">
        <v>156</v>
      </c>
      <c r="E750" s="10" t="s">
        <v>27</v>
      </c>
      <c r="F750" s="10" t="s">
        <v>106</v>
      </c>
      <c r="G750" s="10" t="s">
        <v>35</v>
      </c>
      <c r="H750" s="13">
        <v>1125683.642</v>
      </c>
      <c r="I750" s="15">
        <f>IF(Table1[[#This Row],[Salary]]&lt;1000000,Table1[[#This Row],[Salary]]*0.05,Table1[[#This Row],[Salary]]*0.1)</f>
        <v>112568.36420000001</v>
      </c>
      <c r="J750" s="15">
        <f>Table1[[#This Row],[Salary]]+Table1[[#This Row],[Bonus]]</f>
        <v>1238252.0061999999</v>
      </c>
      <c r="K750" s="25">
        <f>COUNTA(Table1[Employee_ID])</f>
        <v>1000</v>
      </c>
      <c r="L750" s="1">
        <f>SUM(Table1[Salary])</f>
        <v>3119391523.8580012</v>
      </c>
      <c r="M750" s="15">
        <f>AVERAGE(Table1[Salary])</f>
        <v>3119391.5238580015</v>
      </c>
      <c r="N750" s="29">
        <f>SUM(Table1[Bonus])</f>
        <v>308244983.02069992</v>
      </c>
    </row>
    <row r="751" spans="1:14" ht="12.75" customHeight="1" x14ac:dyDescent="0.25">
      <c r="A751" s="2">
        <v>692</v>
      </c>
      <c r="B751" s="10" t="s">
        <v>1073</v>
      </c>
      <c r="C751" s="10" t="s">
        <v>1094</v>
      </c>
      <c r="D751" s="10" t="s">
        <v>159</v>
      </c>
      <c r="E751" s="10" t="s">
        <v>33</v>
      </c>
      <c r="F751" s="10" t="s">
        <v>34</v>
      </c>
      <c r="G751" s="10" t="s">
        <v>56</v>
      </c>
      <c r="H751" s="13">
        <v>802916.18599999999</v>
      </c>
      <c r="I751" s="15">
        <f>IF(Table1[[#This Row],[Salary]]&lt;1000000,Table1[[#This Row],[Salary]]*0.05,Table1[[#This Row],[Salary]]*0.1)</f>
        <v>40145.809300000001</v>
      </c>
      <c r="J751" s="15">
        <f>Table1[[#This Row],[Salary]]+Table1[[#This Row],[Bonus]]</f>
        <v>843061.99529999995</v>
      </c>
      <c r="K751" s="25">
        <f>COUNTA(Table1[Employee_ID])</f>
        <v>1000</v>
      </c>
      <c r="L751" s="1">
        <f>SUM(Table1[Salary])</f>
        <v>3119391523.8580012</v>
      </c>
      <c r="M751" s="15">
        <f>AVERAGE(Table1[Salary])</f>
        <v>3119391.5238580015</v>
      </c>
      <c r="N751" s="29">
        <f>SUM(Table1[Bonus])</f>
        <v>308244983.02069992</v>
      </c>
    </row>
    <row r="752" spans="1:14" ht="12.75" customHeight="1" x14ac:dyDescent="0.25">
      <c r="A752" s="2">
        <v>693</v>
      </c>
      <c r="B752" s="10" t="s">
        <v>530</v>
      </c>
      <c r="C752" s="10" t="s">
        <v>1125</v>
      </c>
      <c r="D752" s="10" t="s">
        <v>162</v>
      </c>
      <c r="E752" s="10" t="s">
        <v>27</v>
      </c>
      <c r="F752" s="10" t="s">
        <v>28</v>
      </c>
      <c r="G752" s="10" t="s">
        <v>48</v>
      </c>
      <c r="H752" s="13">
        <v>3088212.0559999999</v>
      </c>
      <c r="I752" s="15">
        <f>IF(Table1[[#This Row],[Salary]]&lt;1000000,Table1[[#This Row],[Salary]]*0.05,Table1[[#This Row],[Salary]]*0.1)</f>
        <v>308821.20559999999</v>
      </c>
      <c r="J752" s="15">
        <f>Table1[[#This Row],[Salary]]+Table1[[#This Row],[Bonus]]</f>
        <v>3397033.2615999999</v>
      </c>
      <c r="K752" s="25">
        <f>COUNTA(Table1[Employee_ID])</f>
        <v>1000</v>
      </c>
      <c r="L752" s="1">
        <f>SUM(Table1[Salary])</f>
        <v>3119391523.8580012</v>
      </c>
      <c r="M752" s="15">
        <f>AVERAGE(Table1[Salary])</f>
        <v>3119391.5238580015</v>
      </c>
      <c r="N752" s="29">
        <f>SUM(Table1[Bonus])</f>
        <v>308244983.02069992</v>
      </c>
    </row>
    <row r="753" spans="1:14" ht="12.75" customHeight="1" x14ac:dyDescent="0.25">
      <c r="A753" s="2">
        <v>694</v>
      </c>
      <c r="B753" s="10" t="s">
        <v>1070</v>
      </c>
      <c r="C753" s="10" t="s">
        <v>1119</v>
      </c>
      <c r="D753" s="10" t="s">
        <v>165</v>
      </c>
      <c r="E753" s="10" t="s">
        <v>14</v>
      </c>
      <c r="F753" s="10" t="s">
        <v>222</v>
      </c>
      <c r="G753" s="10" t="s">
        <v>35</v>
      </c>
      <c r="H753" s="13">
        <v>1505292.432</v>
      </c>
      <c r="I753" s="15">
        <f>IF(Table1[[#This Row],[Salary]]&lt;1000000,Table1[[#This Row],[Salary]]*0.05,Table1[[#This Row],[Salary]]*0.1)</f>
        <v>150529.2432</v>
      </c>
      <c r="J753" s="15">
        <f>Table1[[#This Row],[Salary]]+Table1[[#This Row],[Bonus]]</f>
        <v>1655821.6751999999</v>
      </c>
      <c r="K753" s="25">
        <f>COUNTA(Table1[Employee_ID])</f>
        <v>1000</v>
      </c>
      <c r="L753" s="1">
        <f>SUM(Table1[Salary])</f>
        <v>3119391523.8580012</v>
      </c>
      <c r="M753" s="15">
        <f>AVERAGE(Table1[Salary])</f>
        <v>3119391.5238580015</v>
      </c>
      <c r="N753" s="29">
        <f>SUM(Table1[Bonus])</f>
        <v>308244983.02069992</v>
      </c>
    </row>
    <row r="754" spans="1:14" ht="12.75" customHeight="1" x14ac:dyDescent="0.25">
      <c r="A754" s="2">
        <v>695</v>
      </c>
      <c r="B754" s="10" t="s">
        <v>656</v>
      </c>
      <c r="C754" s="10" t="s">
        <v>1084</v>
      </c>
      <c r="D754" s="10" t="s">
        <v>156</v>
      </c>
      <c r="E754" s="10" t="s">
        <v>39</v>
      </c>
      <c r="F754" s="10" t="s">
        <v>40</v>
      </c>
      <c r="G754" s="10" t="s">
        <v>56</v>
      </c>
      <c r="H754" s="13">
        <v>2345380.2739999997</v>
      </c>
      <c r="I754" s="15">
        <f>IF(Table1[[#This Row],[Salary]]&lt;1000000,Table1[[#This Row],[Salary]]*0.05,Table1[[#This Row],[Salary]]*0.1)</f>
        <v>234538.02739999999</v>
      </c>
      <c r="J754" s="15">
        <f>Table1[[#This Row],[Salary]]+Table1[[#This Row],[Bonus]]</f>
        <v>2579918.3013999998</v>
      </c>
      <c r="K754" s="25">
        <f>COUNTA(Table1[Employee_ID])</f>
        <v>1000</v>
      </c>
      <c r="L754" s="1">
        <f>SUM(Table1[Salary])</f>
        <v>3119391523.8580012</v>
      </c>
      <c r="M754" s="15">
        <f>AVERAGE(Table1[Salary])</f>
        <v>3119391.5238580015</v>
      </c>
      <c r="N754" s="29">
        <f>SUM(Table1[Bonus])</f>
        <v>308244983.02069992</v>
      </c>
    </row>
    <row r="755" spans="1:14" ht="12.75" customHeight="1" x14ac:dyDescent="0.25">
      <c r="A755" s="2">
        <v>696</v>
      </c>
      <c r="B755" s="10" t="s">
        <v>1075</v>
      </c>
      <c r="C755" s="10" t="s">
        <v>1126</v>
      </c>
      <c r="D755" s="10" t="s">
        <v>21</v>
      </c>
      <c r="E755" s="10" t="s">
        <v>27</v>
      </c>
      <c r="F755" s="10" t="s">
        <v>85</v>
      </c>
      <c r="G755" s="10" t="s">
        <v>35</v>
      </c>
      <c r="H755" s="13">
        <v>1301930.372</v>
      </c>
      <c r="I755" s="15">
        <f>IF(Table1[[#This Row],[Salary]]&lt;1000000,Table1[[#This Row],[Salary]]*0.05,Table1[[#This Row],[Salary]]*0.1)</f>
        <v>130193.03720000001</v>
      </c>
      <c r="J755" s="15">
        <f>Table1[[#This Row],[Salary]]+Table1[[#This Row],[Bonus]]</f>
        <v>1432123.4091999999</v>
      </c>
      <c r="K755" s="25">
        <f>COUNTA(Table1[Employee_ID])</f>
        <v>1000</v>
      </c>
      <c r="L755" s="1">
        <f>SUM(Table1[Salary])</f>
        <v>3119391523.8580012</v>
      </c>
      <c r="M755" s="15">
        <f>AVERAGE(Table1[Salary])</f>
        <v>3119391.5238580015</v>
      </c>
      <c r="N755" s="29">
        <f>SUM(Table1[Bonus])</f>
        <v>308244983.02069992</v>
      </c>
    </row>
    <row r="756" spans="1:14" ht="12.75" customHeight="1" x14ac:dyDescent="0.25">
      <c r="A756" s="2">
        <v>697</v>
      </c>
      <c r="B756" s="10" t="s">
        <v>1095</v>
      </c>
      <c r="C756" s="10" t="s">
        <v>1100</v>
      </c>
      <c r="D756" s="10" t="s">
        <v>128</v>
      </c>
      <c r="E756" s="10" t="s">
        <v>2</v>
      </c>
      <c r="F756" s="10" t="s">
        <v>102</v>
      </c>
      <c r="G756" s="10" t="s">
        <v>23</v>
      </c>
      <c r="H756" s="13">
        <v>4175757.7460000003</v>
      </c>
      <c r="I756" s="15">
        <f>IF(Table1[[#This Row],[Salary]]&lt;1000000,Table1[[#This Row],[Salary]]*0.05,Table1[[#This Row],[Salary]]*0.1)</f>
        <v>417575.77460000006</v>
      </c>
      <c r="J756" s="15">
        <f>Table1[[#This Row],[Salary]]+Table1[[#This Row],[Bonus]]</f>
        <v>4593333.5206000004</v>
      </c>
      <c r="K756" s="25">
        <f>COUNTA(Table1[Employee_ID])</f>
        <v>1000</v>
      </c>
      <c r="L756" s="1">
        <f>SUM(Table1[Salary])</f>
        <v>3119391523.8580012</v>
      </c>
      <c r="M756" s="15">
        <f>AVERAGE(Table1[Salary])</f>
        <v>3119391.5238580015</v>
      </c>
      <c r="N756" s="29">
        <f>SUM(Table1[Bonus])</f>
        <v>308244983.02069992</v>
      </c>
    </row>
    <row r="757" spans="1:14" ht="12.75" customHeight="1" x14ac:dyDescent="0.25">
      <c r="A757" s="2">
        <v>698</v>
      </c>
      <c r="B757" s="10" t="s">
        <v>1127</v>
      </c>
      <c r="C757" s="10" t="s">
        <v>1128</v>
      </c>
      <c r="D757" s="10" t="s">
        <v>174</v>
      </c>
      <c r="E757" s="10" t="s">
        <v>27</v>
      </c>
      <c r="F757" s="10" t="s">
        <v>106</v>
      </c>
      <c r="G757" s="10" t="s">
        <v>48</v>
      </c>
      <c r="H757" s="13">
        <v>4763907.9679999994</v>
      </c>
      <c r="I757" s="15">
        <f>IF(Table1[[#This Row],[Salary]]&lt;1000000,Table1[[#This Row],[Salary]]*0.05,Table1[[#This Row],[Salary]]*0.1)</f>
        <v>476390.79679999995</v>
      </c>
      <c r="J757" s="15">
        <f>Table1[[#This Row],[Salary]]+Table1[[#This Row],[Bonus]]</f>
        <v>5240298.7647999991</v>
      </c>
      <c r="K757" s="25">
        <f>COUNTA(Table1[Employee_ID])</f>
        <v>1000</v>
      </c>
      <c r="L757" s="1">
        <f>SUM(Table1[Salary])</f>
        <v>3119391523.8580012</v>
      </c>
      <c r="M757" s="15">
        <f>AVERAGE(Table1[Salary])</f>
        <v>3119391.5238580015</v>
      </c>
      <c r="N757" s="29">
        <f>SUM(Table1[Bonus])</f>
        <v>308244983.02069992</v>
      </c>
    </row>
    <row r="758" spans="1:14" ht="12.75" customHeight="1" x14ac:dyDescent="0.25">
      <c r="A758" s="2">
        <v>699</v>
      </c>
      <c r="B758" s="10" t="s">
        <v>345</v>
      </c>
      <c r="C758" s="10" t="s">
        <v>1082</v>
      </c>
      <c r="D758" s="10" t="s">
        <v>177</v>
      </c>
      <c r="E758" s="10" t="s">
        <v>33</v>
      </c>
      <c r="F758" s="10" t="s">
        <v>47</v>
      </c>
      <c r="G758" s="10" t="s">
        <v>23</v>
      </c>
      <c r="H758" s="13">
        <v>3752296.8620000002</v>
      </c>
      <c r="I758" s="15">
        <f>IF(Table1[[#This Row],[Salary]]&lt;1000000,Table1[[#This Row],[Salary]]*0.05,Table1[[#This Row],[Salary]]*0.1)</f>
        <v>375229.68620000005</v>
      </c>
      <c r="J758" s="15">
        <f>Table1[[#This Row],[Salary]]+Table1[[#This Row],[Bonus]]</f>
        <v>4127526.5482000001</v>
      </c>
      <c r="K758" s="25">
        <f>COUNTA(Table1[Employee_ID])</f>
        <v>1000</v>
      </c>
      <c r="L758" s="1">
        <f>SUM(Table1[Salary])</f>
        <v>3119391523.8580012</v>
      </c>
      <c r="M758" s="15">
        <f>AVERAGE(Table1[Salary])</f>
        <v>3119391.5238580015</v>
      </c>
      <c r="N758" s="29">
        <f>SUM(Table1[Bonus])</f>
        <v>308244983.02069992</v>
      </c>
    </row>
    <row r="759" spans="1:14" ht="12.75" customHeight="1" x14ac:dyDescent="0.25">
      <c r="A759" s="2">
        <v>700</v>
      </c>
      <c r="B759" s="10" t="s">
        <v>1124</v>
      </c>
      <c r="C759" s="10" t="s">
        <v>1129</v>
      </c>
      <c r="D759" s="10" t="s">
        <v>180</v>
      </c>
      <c r="E759" s="10" t="s">
        <v>27</v>
      </c>
      <c r="F759" s="10" t="s">
        <v>28</v>
      </c>
      <c r="G759" s="10" t="s">
        <v>56</v>
      </c>
      <c r="H759" s="13">
        <v>1810706.31</v>
      </c>
      <c r="I759" s="15">
        <f>IF(Table1[[#This Row],[Salary]]&lt;1000000,Table1[[#This Row],[Salary]]*0.05,Table1[[#This Row],[Salary]]*0.1)</f>
        <v>181070.63100000002</v>
      </c>
      <c r="J759" s="15">
        <f>Table1[[#This Row],[Salary]]+Table1[[#This Row],[Bonus]]</f>
        <v>1991776.9410000001</v>
      </c>
      <c r="K759" s="25">
        <f>COUNTA(Table1[Employee_ID])</f>
        <v>1000</v>
      </c>
      <c r="L759" s="1">
        <f>SUM(Table1[Salary])</f>
        <v>3119391523.8580012</v>
      </c>
      <c r="M759" s="15">
        <f>AVERAGE(Table1[Salary])</f>
        <v>3119391.5238580015</v>
      </c>
      <c r="N759" s="29">
        <f>SUM(Table1[Bonus])</f>
        <v>308244983.02069992</v>
      </c>
    </row>
    <row r="760" spans="1:14" ht="12.75" customHeight="1" x14ac:dyDescent="0.25">
      <c r="A760" s="2">
        <v>703</v>
      </c>
      <c r="B760" s="10" t="s">
        <v>1131</v>
      </c>
      <c r="C760" s="10" t="s">
        <v>1084</v>
      </c>
      <c r="D760" s="10" t="s">
        <v>99</v>
      </c>
      <c r="E760" s="10" t="s">
        <v>27</v>
      </c>
      <c r="F760" s="10" t="s">
        <v>85</v>
      </c>
      <c r="G760" s="10" t="s">
        <v>23</v>
      </c>
      <c r="H760" s="13">
        <v>5182430.8420000002</v>
      </c>
      <c r="I760" s="15">
        <f>IF(Table1[[#This Row],[Salary]]&lt;1000000,Table1[[#This Row],[Salary]]*0.05,Table1[[#This Row],[Salary]]*0.1)</f>
        <v>518243.08420000004</v>
      </c>
      <c r="J760" s="15">
        <f>Table1[[#This Row],[Salary]]+Table1[[#This Row],[Bonus]]</f>
        <v>5700673.9262000006</v>
      </c>
      <c r="K760" s="25">
        <f>COUNTA(Table1[Employee_ID])</f>
        <v>1000</v>
      </c>
      <c r="L760" s="1">
        <f>SUM(Table1[Salary])</f>
        <v>3119391523.8580012</v>
      </c>
      <c r="M760" s="15">
        <f>AVERAGE(Table1[Salary])</f>
        <v>3119391.5238580015</v>
      </c>
      <c r="N760" s="29">
        <f>SUM(Table1[Bonus])</f>
        <v>308244983.02069992</v>
      </c>
    </row>
    <row r="761" spans="1:14" ht="12.75" customHeight="1" x14ac:dyDescent="0.25">
      <c r="A761" s="2">
        <v>704</v>
      </c>
      <c r="B761" s="10" t="s">
        <v>1096</v>
      </c>
      <c r="C761" s="10" t="s">
        <v>1089</v>
      </c>
      <c r="D761" s="10" t="s">
        <v>125</v>
      </c>
      <c r="E761" s="10" t="s">
        <v>33</v>
      </c>
      <c r="F761" s="10" t="s">
        <v>55</v>
      </c>
      <c r="G761" s="10" t="s">
        <v>23</v>
      </c>
      <c r="H761" s="13">
        <v>1558633.4339999999</v>
      </c>
      <c r="I761" s="15">
        <f>IF(Table1[[#This Row],[Salary]]&lt;1000000,Table1[[#This Row],[Salary]]*0.05,Table1[[#This Row],[Salary]]*0.1)</f>
        <v>155863.34339999998</v>
      </c>
      <c r="J761" s="15">
        <f>Table1[[#This Row],[Salary]]+Table1[[#This Row],[Bonus]]</f>
        <v>1714496.7773999998</v>
      </c>
      <c r="K761" s="25">
        <f>COUNTA(Table1[Employee_ID])</f>
        <v>1000</v>
      </c>
      <c r="L761" s="1">
        <f>SUM(Table1[Salary])</f>
        <v>3119391523.8580012</v>
      </c>
      <c r="M761" s="15">
        <f>AVERAGE(Table1[Salary])</f>
        <v>3119391.5238580015</v>
      </c>
      <c r="N761" s="29">
        <f>SUM(Table1[Bonus])</f>
        <v>308244983.02069992</v>
      </c>
    </row>
    <row r="762" spans="1:14" ht="12.75" customHeight="1" x14ac:dyDescent="0.25">
      <c r="A762" s="2">
        <v>707</v>
      </c>
      <c r="B762" s="10" t="s">
        <v>758</v>
      </c>
      <c r="C762" s="10" t="s">
        <v>1132</v>
      </c>
      <c r="D762" s="10" t="s">
        <v>112</v>
      </c>
      <c r="E762" s="10" t="s">
        <v>27</v>
      </c>
      <c r="F762" s="10" t="s">
        <v>106</v>
      </c>
      <c r="G762" s="10" t="s">
        <v>71</v>
      </c>
      <c r="H762" s="13">
        <v>1183123.1339999998</v>
      </c>
      <c r="I762" s="15">
        <f>IF(Table1[[#This Row],[Salary]]&lt;1000000,Table1[[#This Row],[Salary]]*0.05,Table1[[#This Row],[Salary]]*0.1)</f>
        <v>118312.31339999998</v>
      </c>
      <c r="J762" s="15">
        <f>Table1[[#This Row],[Salary]]+Table1[[#This Row],[Bonus]]</f>
        <v>1301435.4473999999</v>
      </c>
      <c r="K762" s="25">
        <f>COUNTA(Table1[Employee_ID])</f>
        <v>1000</v>
      </c>
      <c r="L762" s="1">
        <f>SUM(Table1[Salary])</f>
        <v>3119391523.8580012</v>
      </c>
      <c r="M762" s="15">
        <f>AVERAGE(Table1[Salary])</f>
        <v>3119391.5238580015</v>
      </c>
      <c r="N762" s="29">
        <f>SUM(Table1[Bonus])</f>
        <v>308244983.02069992</v>
      </c>
    </row>
    <row r="763" spans="1:14" ht="12.75" customHeight="1" x14ac:dyDescent="0.25">
      <c r="A763" s="2">
        <v>710</v>
      </c>
      <c r="B763" s="10" t="s">
        <v>1112</v>
      </c>
      <c r="C763" s="10" t="s">
        <v>1107</v>
      </c>
      <c r="D763" s="10" t="s">
        <v>59</v>
      </c>
      <c r="E763" s="10" t="s">
        <v>27</v>
      </c>
      <c r="F763" s="10" t="s">
        <v>28</v>
      </c>
      <c r="G763" s="10" t="s">
        <v>29</v>
      </c>
      <c r="H763" s="13">
        <v>564057.58799999999</v>
      </c>
      <c r="I763" s="15">
        <f>IF(Table1[[#This Row],[Salary]]&lt;1000000,Table1[[#This Row],[Salary]]*0.05,Table1[[#This Row],[Salary]]*0.1)</f>
        <v>28202.879400000002</v>
      </c>
      <c r="J763" s="15">
        <f>Table1[[#This Row],[Salary]]+Table1[[#This Row],[Bonus]]</f>
        <v>592260.46739999996</v>
      </c>
      <c r="K763" s="25">
        <f>COUNTA(Table1[Employee_ID])</f>
        <v>1000</v>
      </c>
      <c r="L763" s="1">
        <f>SUM(Table1[Salary])</f>
        <v>3119391523.8580012</v>
      </c>
      <c r="M763" s="15">
        <f>AVERAGE(Table1[Salary])</f>
        <v>3119391.5238580015</v>
      </c>
      <c r="N763" s="29">
        <f>SUM(Table1[Bonus])</f>
        <v>308244983.02069992</v>
      </c>
    </row>
    <row r="764" spans="1:14" ht="12.75" customHeight="1" x14ac:dyDescent="0.25">
      <c r="A764" s="2">
        <v>711</v>
      </c>
      <c r="B764" s="10" t="s">
        <v>815</v>
      </c>
      <c r="C764" s="10" t="s">
        <v>1076</v>
      </c>
      <c r="D764" s="10" t="s">
        <v>324</v>
      </c>
      <c r="E764" s="10" t="s">
        <v>27</v>
      </c>
      <c r="F764" s="10" t="s">
        <v>85</v>
      </c>
      <c r="G764" s="10" t="s">
        <v>56</v>
      </c>
      <c r="H764" s="13">
        <v>3050247.0959999999</v>
      </c>
      <c r="I764" s="15">
        <f>IF(Table1[[#This Row],[Salary]]&lt;1000000,Table1[[#This Row],[Salary]]*0.05,Table1[[#This Row],[Salary]]*0.1)</f>
        <v>305024.7096</v>
      </c>
      <c r="J764" s="15">
        <f>Table1[[#This Row],[Salary]]+Table1[[#This Row],[Bonus]]</f>
        <v>3355271.8056000001</v>
      </c>
      <c r="K764" s="25">
        <f>COUNTA(Table1[Employee_ID])</f>
        <v>1000</v>
      </c>
      <c r="L764" s="1">
        <f>SUM(Table1[Salary])</f>
        <v>3119391523.8580012</v>
      </c>
      <c r="M764" s="15">
        <f>AVERAGE(Table1[Salary])</f>
        <v>3119391.5238580015</v>
      </c>
      <c r="N764" s="29">
        <f>SUM(Table1[Bonus])</f>
        <v>308244983.02069992</v>
      </c>
    </row>
    <row r="765" spans="1:14" ht="12.75" customHeight="1" x14ac:dyDescent="0.25">
      <c r="A765" s="2">
        <v>713</v>
      </c>
      <c r="B765" s="10" t="s">
        <v>1091</v>
      </c>
      <c r="C765" s="10" t="s">
        <v>1121</v>
      </c>
      <c r="D765" s="10" t="s">
        <v>324</v>
      </c>
      <c r="E765" s="10" t="s">
        <v>27</v>
      </c>
      <c r="F765" s="10" t="s">
        <v>106</v>
      </c>
      <c r="G765" s="10" t="s">
        <v>23</v>
      </c>
      <c r="H765" s="13">
        <v>662494.80599999998</v>
      </c>
      <c r="I765" s="15">
        <f>IF(Table1[[#This Row],[Salary]]&lt;1000000,Table1[[#This Row],[Salary]]*0.05,Table1[[#This Row],[Salary]]*0.1)</f>
        <v>33124.740299999998</v>
      </c>
      <c r="J765" s="15">
        <f>Table1[[#This Row],[Salary]]+Table1[[#This Row],[Bonus]]</f>
        <v>695619.54629999993</v>
      </c>
      <c r="K765" s="25">
        <f>COUNTA(Table1[Employee_ID])</f>
        <v>1000</v>
      </c>
      <c r="L765" s="1">
        <f>SUM(Table1[Salary])</f>
        <v>3119391523.8580012</v>
      </c>
      <c r="M765" s="15">
        <f>AVERAGE(Table1[Salary])</f>
        <v>3119391.5238580015</v>
      </c>
      <c r="N765" s="29">
        <f>SUM(Table1[Bonus])</f>
        <v>308244983.02069992</v>
      </c>
    </row>
    <row r="766" spans="1:14" ht="12.75" customHeight="1" x14ac:dyDescent="0.25">
      <c r="A766" s="2">
        <v>714</v>
      </c>
      <c r="B766" s="10" t="s">
        <v>1106</v>
      </c>
      <c r="C766" s="10" t="s">
        <v>1119</v>
      </c>
      <c r="D766" s="10" t="s">
        <v>488</v>
      </c>
      <c r="E766" s="10" t="s">
        <v>2</v>
      </c>
      <c r="F766" s="10" t="s">
        <v>60</v>
      </c>
      <c r="G766" s="10" t="s">
        <v>23</v>
      </c>
      <c r="H766" s="13">
        <v>2653854.9020000002</v>
      </c>
      <c r="I766" s="15">
        <f>IF(Table1[[#This Row],[Salary]]&lt;1000000,Table1[[#This Row],[Salary]]*0.05,Table1[[#This Row],[Salary]]*0.1)</f>
        <v>265385.49020000006</v>
      </c>
      <c r="J766" s="15">
        <f>Table1[[#This Row],[Salary]]+Table1[[#This Row],[Bonus]]</f>
        <v>2919240.3922000001</v>
      </c>
      <c r="K766" s="25">
        <f>COUNTA(Table1[Employee_ID])</f>
        <v>1000</v>
      </c>
      <c r="L766" s="1">
        <f>SUM(Table1[Salary])</f>
        <v>3119391523.8580012</v>
      </c>
      <c r="M766" s="15">
        <f>AVERAGE(Table1[Salary])</f>
        <v>3119391.5238580015</v>
      </c>
      <c r="N766" s="29">
        <f>SUM(Table1[Bonus])</f>
        <v>308244983.02069992</v>
      </c>
    </row>
    <row r="767" spans="1:14" ht="12.75" customHeight="1" x14ac:dyDescent="0.25">
      <c r="A767" s="2">
        <v>715</v>
      </c>
      <c r="B767" s="10" t="s">
        <v>1071</v>
      </c>
      <c r="C767" s="10" t="s">
        <v>1094</v>
      </c>
      <c r="D767" s="10" t="s">
        <v>32</v>
      </c>
      <c r="E767" s="10" t="s">
        <v>14</v>
      </c>
      <c r="F767" s="10" t="s">
        <v>234</v>
      </c>
      <c r="G767" s="10" t="s">
        <v>48</v>
      </c>
      <c r="H767" s="13">
        <v>325099.88</v>
      </c>
      <c r="I767" s="15">
        <f>IF(Table1[[#This Row],[Salary]]&lt;1000000,Table1[[#This Row],[Salary]]*0.05,Table1[[#This Row],[Salary]]*0.1)</f>
        <v>16254.994000000001</v>
      </c>
      <c r="J767" s="15">
        <f>Table1[[#This Row],[Salary]]+Table1[[#This Row],[Bonus]]</f>
        <v>341354.87400000001</v>
      </c>
      <c r="K767" s="25">
        <f>COUNTA(Table1[Employee_ID])</f>
        <v>1000</v>
      </c>
      <c r="L767" s="1">
        <f>SUM(Table1[Salary])</f>
        <v>3119391523.8580012</v>
      </c>
      <c r="M767" s="15">
        <f>AVERAGE(Table1[Salary])</f>
        <v>3119391.5238580015</v>
      </c>
      <c r="N767" s="29">
        <f>SUM(Table1[Bonus])</f>
        <v>308244983.02069992</v>
      </c>
    </row>
    <row r="768" spans="1:14" ht="12.75" customHeight="1" x14ac:dyDescent="0.25">
      <c r="A768" s="2">
        <v>717</v>
      </c>
      <c r="B768" s="10" t="s">
        <v>525</v>
      </c>
      <c r="C768" s="10" t="s">
        <v>1099</v>
      </c>
      <c r="D768" s="10" t="s">
        <v>125</v>
      </c>
      <c r="E768" s="10" t="s">
        <v>10</v>
      </c>
      <c r="F768" s="10" t="s">
        <v>109</v>
      </c>
      <c r="G768" s="10" t="s">
        <v>71</v>
      </c>
      <c r="H768" s="13">
        <v>2264034.284</v>
      </c>
      <c r="I768" s="15">
        <f>IF(Table1[[#This Row],[Salary]]&lt;1000000,Table1[[#This Row],[Salary]]*0.05,Table1[[#This Row],[Salary]]*0.1)</f>
        <v>226403.4284</v>
      </c>
      <c r="J768" s="15">
        <f>Table1[[#This Row],[Salary]]+Table1[[#This Row],[Bonus]]</f>
        <v>2490437.7124000001</v>
      </c>
      <c r="K768" s="25">
        <f>COUNTA(Table1[Employee_ID])</f>
        <v>1000</v>
      </c>
      <c r="L768" s="1">
        <f>SUM(Table1[Salary])</f>
        <v>3119391523.8580012</v>
      </c>
      <c r="M768" s="15">
        <f>AVERAGE(Table1[Salary])</f>
        <v>3119391.5238580015</v>
      </c>
      <c r="N768" s="29">
        <f>SUM(Table1[Bonus])</f>
        <v>308244983.02069992</v>
      </c>
    </row>
    <row r="769" spans="1:14" ht="12.75" customHeight="1" x14ac:dyDescent="0.25">
      <c r="A769" s="2">
        <v>718</v>
      </c>
      <c r="B769" s="10" t="s">
        <v>1065</v>
      </c>
      <c r="C769" s="10" t="s">
        <v>1110</v>
      </c>
      <c r="D769" s="10" t="s">
        <v>77</v>
      </c>
      <c r="E769" s="10" t="s">
        <v>39</v>
      </c>
      <c r="F769" s="10" t="s">
        <v>186</v>
      </c>
      <c r="G769" s="10" t="s">
        <v>29</v>
      </c>
      <c r="H769" s="13">
        <v>1074369.148</v>
      </c>
      <c r="I769" s="15">
        <f>IF(Table1[[#This Row],[Salary]]&lt;1000000,Table1[[#This Row],[Salary]]*0.05,Table1[[#This Row],[Salary]]*0.1)</f>
        <v>107436.91480000001</v>
      </c>
      <c r="J769" s="15">
        <f>Table1[[#This Row],[Salary]]+Table1[[#This Row],[Bonus]]</f>
        <v>1181806.0628</v>
      </c>
      <c r="K769" s="25">
        <f>COUNTA(Table1[Employee_ID])</f>
        <v>1000</v>
      </c>
      <c r="L769" s="1">
        <f>SUM(Table1[Salary])</f>
        <v>3119391523.8580012</v>
      </c>
      <c r="M769" s="15">
        <f>AVERAGE(Table1[Salary])</f>
        <v>3119391.5238580015</v>
      </c>
      <c r="N769" s="29">
        <f>SUM(Table1[Bonus])</f>
        <v>308244983.02069992</v>
      </c>
    </row>
    <row r="770" spans="1:14" ht="12.75" customHeight="1" x14ac:dyDescent="0.25">
      <c r="A770" s="2">
        <v>719</v>
      </c>
      <c r="B770" s="10" t="s">
        <v>1114</v>
      </c>
      <c r="C770" s="10" t="s">
        <v>1067</v>
      </c>
      <c r="D770" s="10" t="s">
        <v>128</v>
      </c>
      <c r="E770" s="10" t="s">
        <v>13</v>
      </c>
      <c r="F770" s="10" t="s">
        <v>43</v>
      </c>
      <c r="G770" s="10" t="s">
        <v>35</v>
      </c>
      <c r="H770" s="13">
        <v>2274823.2820000001</v>
      </c>
      <c r="I770" s="15">
        <f>IF(Table1[[#This Row],[Salary]]&lt;1000000,Table1[[#This Row],[Salary]]*0.05,Table1[[#This Row],[Salary]]*0.1)</f>
        <v>227482.32820000002</v>
      </c>
      <c r="J770" s="15">
        <f>Table1[[#This Row],[Salary]]+Table1[[#This Row],[Bonus]]</f>
        <v>2502305.6102</v>
      </c>
      <c r="K770" s="25">
        <f>COUNTA(Table1[Employee_ID])</f>
        <v>1000</v>
      </c>
      <c r="L770" s="1">
        <f>SUM(Table1[Salary])</f>
        <v>3119391523.8580012</v>
      </c>
      <c r="M770" s="15">
        <f>AVERAGE(Table1[Salary])</f>
        <v>3119391.5238580015</v>
      </c>
      <c r="N770" s="29">
        <f>SUM(Table1[Bonus])</f>
        <v>308244983.02069992</v>
      </c>
    </row>
    <row r="771" spans="1:14" ht="12.75" customHeight="1" x14ac:dyDescent="0.25">
      <c r="A771" s="2">
        <v>720</v>
      </c>
      <c r="B771" s="10" t="s">
        <v>858</v>
      </c>
      <c r="C771" s="10" t="s">
        <v>1072</v>
      </c>
      <c r="D771" s="10" t="s">
        <v>377</v>
      </c>
      <c r="E771" s="10" t="s">
        <v>6</v>
      </c>
      <c r="F771" s="10" t="s">
        <v>74</v>
      </c>
      <c r="G771" s="10" t="s">
        <v>23</v>
      </c>
      <c r="H771" s="13">
        <v>5990177.3420000002</v>
      </c>
      <c r="I771" s="15">
        <f>IF(Table1[[#This Row],[Salary]]&lt;1000000,Table1[[#This Row],[Salary]]*0.05,Table1[[#This Row],[Salary]]*0.1)</f>
        <v>599017.73420000006</v>
      </c>
      <c r="J771" s="15">
        <f>Table1[[#This Row],[Salary]]+Table1[[#This Row],[Bonus]]</f>
        <v>6589195.0762</v>
      </c>
      <c r="K771" s="25">
        <f>COUNTA(Table1[Employee_ID])</f>
        <v>1000</v>
      </c>
      <c r="L771" s="1">
        <f>SUM(Table1[Salary])</f>
        <v>3119391523.8580012</v>
      </c>
      <c r="M771" s="15">
        <f>AVERAGE(Table1[Salary])</f>
        <v>3119391.5238580015</v>
      </c>
      <c r="N771" s="29">
        <f>SUM(Table1[Bonus])</f>
        <v>308244983.02069992</v>
      </c>
    </row>
    <row r="772" spans="1:14" ht="12.75" customHeight="1" x14ac:dyDescent="0.25">
      <c r="A772" s="2">
        <v>721</v>
      </c>
      <c r="B772" s="10" t="s">
        <v>44</v>
      </c>
      <c r="C772" s="10" t="s">
        <v>1115</v>
      </c>
      <c r="D772" s="10" t="s">
        <v>140</v>
      </c>
      <c r="E772" s="10" t="s">
        <v>13</v>
      </c>
      <c r="F772" s="10" t="s">
        <v>67</v>
      </c>
      <c r="G772" s="10" t="s">
        <v>48</v>
      </c>
      <c r="H772" s="13">
        <v>1808279.8639999998</v>
      </c>
      <c r="I772" s="15">
        <f>IF(Table1[[#This Row],[Salary]]&lt;1000000,Table1[[#This Row],[Salary]]*0.05,Table1[[#This Row],[Salary]]*0.1)</f>
        <v>180827.98639999999</v>
      </c>
      <c r="J772" s="15">
        <f>Table1[[#This Row],[Salary]]+Table1[[#This Row],[Bonus]]</f>
        <v>1989107.8503999999</v>
      </c>
      <c r="K772" s="25">
        <f>COUNTA(Table1[Employee_ID])</f>
        <v>1000</v>
      </c>
      <c r="L772" s="1">
        <f>SUM(Table1[Salary])</f>
        <v>3119391523.8580012</v>
      </c>
      <c r="M772" s="15">
        <f>AVERAGE(Table1[Salary])</f>
        <v>3119391.5238580015</v>
      </c>
      <c r="N772" s="29">
        <f>SUM(Table1[Bonus])</f>
        <v>308244983.02069992</v>
      </c>
    </row>
    <row r="773" spans="1:14" ht="12.75" customHeight="1" x14ac:dyDescent="0.25">
      <c r="A773" s="2">
        <v>722</v>
      </c>
      <c r="B773" s="10" t="s">
        <v>263</v>
      </c>
      <c r="C773" s="10" t="s">
        <v>1074</v>
      </c>
      <c r="D773" s="10" t="s">
        <v>32</v>
      </c>
      <c r="E773" s="10" t="s">
        <v>6</v>
      </c>
      <c r="F773" s="10" t="s">
        <v>123</v>
      </c>
      <c r="G773" s="10" t="s">
        <v>71</v>
      </c>
      <c r="H773" s="13">
        <v>4383149.5020000003</v>
      </c>
      <c r="I773" s="15">
        <f>IF(Table1[[#This Row],[Salary]]&lt;1000000,Table1[[#This Row],[Salary]]*0.05,Table1[[#This Row],[Salary]]*0.1)</f>
        <v>438314.95020000008</v>
      </c>
      <c r="J773" s="15">
        <f>Table1[[#This Row],[Salary]]+Table1[[#This Row],[Bonus]]</f>
        <v>4821464.4522000002</v>
      </c>
      <c r="K773" s="25">
        <f>COUNTA(Table1[Employee_ID])</f>
        <v>1000</v>
      </c>
      <c r="L773" s="1">
        <f>SUM(Table1[Salary])</f>
        <v>3119391523.8580012</v>
      </c>
      <c r="M773" s="15">
        <f>AVERAGE(Table1[Salary])</f>
        <v>3119391.5238580015</v>
      </c>
      <c r="N773" s="29">
        <f>SUM(Table1[Bonus])</f>
        <v>308244983.02069992</v>
      </c>
    </row>
    <row r="774" spans="1:14" ht="12.75" customHeight="1" x14ac:dyDescent="0.25">
      <c r="A774" s="2">
        <v>723</v>
      </c>
      <c r="B774" s="10" t="s">
        <v>1120</v>
      </c>
      <c r="C774" s="10" t="s">
        <v>568</v>
      </c>
      <c r="D774" s="10" t="s">
        <v>316</v>
      </c>
      <c r="E774" s="10" t="s">
        <v>39</v>
      </c>
      <c r="F774" s="10" t="s">
        <v>189</v>
      </c>
      <c r="G774" s="10" t="s">
        <v>23</v>
      </c>
      <c r="H774" s="13">
        <v>3113277.5579999997</v>
      </c>
      <c r="I774" s="15">
        <f>IF(Table1[[#This Row],[Salary]]&lt;1000000,Table1[[#This Row],[Salary]]*0.05,Table1[[#This Row],[Salary]]*0.1)</f>
        <v>311327.75579999998</v>
      </c>
      <c r="J774" s="15">
        <f>Table1[[#This Row],[Salary]]+Table1[[#This Row],[Bonus]]</f>
        <v>3424605.3137999997</v>
      </c>
      <c r="K774" s="25">
        <f>COUNTA(Table1[Employee_ID])</f>
        <v>1000</v>
      </c>
      <c r="L774" s="1">
        <f>SUM(Table1[Salary])</f>
        <v>3119391523.8580012</v>
      </c>
      <c r="M774" s="15">
        <f>AVERAGE(Table1[Salary])</f>
        <v>3119391.5238580015</v>
      </c>
      <c r="N774" s="29">
        <f>SUM(Table1[Bonus])</f>
        <v>308244983.02069992</v>
      </c>
    </row>
    <row r="775" spans="1:14" ht="12.75" customHeight="1" x14ac:dyDescent="0.25">
      <c r="A775" s="2">
        <v>724</v>
      </c>
      <c r="B775" s="10" t="s">
        <v>1065</v>
      </c>
      <c r="C775" s="10" t="s">
        <v>1113</v>
      </c>
      <c r="D775" s="10" t="s">
        <v>174</v>
      </c>
      <c r="E775" s="10" t="s">
        <v>2</v>
      </c>
      <c r="F775" s="10" t="s">
        <v>74</v>
      </c>
      <c r="G775" s="10" t="s">
        <v>35</v>
      </c>
      <c r="H775" s="13">
        <v>4911728.784</v>
      </c>
      <c r="I775" s="15">
        <f>IF(Table1[[#This Row],[Salary]]&lt;1000000,Table1[[#This Row],[Salary]]*0.05,Table1[[#This Row],[Salary]]*0.1)</f>
        <v>491172.87840000005</v>
      </c>
      <c r="J775" s="15">
        <f>Table1[[#This Row],[Salary]]+Table1[[#This Row],[Bonus]]</f>
        <v>5402901.6623999998</v>
      </c>
      <c r="K775" s="25">
        <f>COUNTA(Table1[Employee_ID])</f>
        <v>1000</v>
      </c>
      <c r="L775" s="1">
        <f>SUM(Table1[Salary])</f>
        <v>3119391523.8580012</v>
      </c>
      <c r="M775" s="15">
        <f>AVERAGE(Table1[Salary])</f>
        <v>3119391.5238580015</v>
      </c>
      <c r="N775" s="29">
        <f>SUM(Table1[Bonus])</f>
        <v>308244983.02069992</v>
      </c>
    </row>
    <row r="776" spans="1:14" ht="12.75" customHeight="1" x14ac:dyDescent="0.25">
      <c r="A776" s="2">
        <v>725</v>
      </c>
      <c r="B776" s="10" t="s">
        <v>1101</v>
      </c>
      <c r="C776" s="10" t="s">
        <v>1111</v>
      </c>
      <c r="D776" s="10" t="s">
        <v>183</v>
      </c>
      <c r="E776" s="10" t="s">
        <v>39</v>
      </c>
      <c r="F776" s="10" t="s">
        <v>40</v>
      </c>
      <c r="G776" s="10" t="s">
        <v>29</v>
      </c>
      <c r="H776" s="13">
        <v>5477094.2000000002</v>
      </c>
      <c r="I776" s="15">
        <f>IF(Table1[[#This Row],[Salary]]&lt;1000000,Table1[[#This Row],[Salary]]*0.05,Table1[[#This Row],[Salary]]*0.1)</f>
        <v>547709.42000000004</v>
      </c>
      <c r="J776" s="15">
        <f>Table1[[#This Row],[Salary]]+Table1[[#This Row],[Bonus]]</f>
        <v>6024803.6200000001</v>
      </c>
      <c r="K776" s="25">
        <f>COUNTA(Table1[Employee_ID])</f>
        <v>1000</v>
      </c>
      <c r="L776" s="1">
        <f>SUM(Table1[Salary])</f>
        <v>3119391523.8580012</v>
      </c>
      <c r="M776" s="15">
        <f>AVERAGE(Table1[Salary])</f>
        <v>3119391.5238580015</v>
      </c>
      <c r="N776" s="29">
        <f>SUM(Table1[Bonus])</f>
        <v>308244983.02069992</v>
      </c>
    </row>
    <row r="777" spans="1:14" ht="12.75" customHeight="1" x14ac:dyDescent="0.25">
      <c r="A777" s="2">
        <v>727</v>
      </c>
      <c r="B777" s="10" t="s">
        <v>1133</v>
      </c>
      <c r="C777" s="10" t="s">
        <v>1118</v>
      </c>
      <c r="D777" s="10" t="s">
        <v>46</v>
      </c>
      <c r="E777" s="10" t="s">
        <v>6</v>
      </c>
      <c r="F777" s="10" t="s">
        <v>144</v>
      </c>
      <c r="G777" s="10" t="s">
        <v>29</v>
      </c>
      <c r="H777" s="13">
        <v>4156023.196</v>
      </c>
      <c r="I777" s="15">
        <f>IF(Table1[[#This Row],[Salary]]&lt;1000000,Table1[[#This Row],[Salary]]*0.05,Table1[[#This Row],[Salary]]*0.1)</f>
        <v>415602.31960000005</v>
      </c>
      <c r="J777" s="15">
        <f>Table1[[#This Row],[Salary]]+Table1[[#This Row],[Bonus]]</f>
        <v>4571625.5155999996</v>
      </c>
      <c r="K777" s="25">
        <f>COUNTA(Table1[Employee_ID])</f>
        <v>1000</v>
      </c>
      <c r="L777" s="1">
        <f>SUM(Table1[Salary])</f>
        <v>3119391523.8580012</v>
      </c>
      <c r="M777" s="15">
        <f>AVERAGE(Table1[Salary])</f>
        <v>3119391.5238580015</v>
      </c>
      <c r="N777" s="29">
        <f>SUM(Table1[Bonus])</f>
        <v>308244983.02069992</v>
      </c>
    </row>
    <row r="778" spans="1:14" ht="12.75" customHeight="1" x14ac:dyDescent="0.25">
      <c r="A778" s="2">
        <v>728</v>
      </c>
      <c r="B778" s="10" t="s">
        <v>1088</v>
      </c>
      <c r="C778" s="10" t="s">
        <v>1117</v>
      </c>
      <c r="D778" s="10" t="s">
        <v>488</v>
      </c>
      <c r="E778" s="10" t="s">
        <v>2</v>
      </c>
      <c r="F778" s="10" t="s">
        <v>102</v>
      </c>
      <c r="G778" s="10" t="s">
        <v>48</v>
      </c>
      <c r="H778" s="13">
        <v>3363477.838</v>
      </c>
      <c r="I778" s="15">
        <f>IF(Table1[[#This Row],[Salary]]&lt;1000000,Table1[[#This Row],[Salary]]*0.05,Table1[[#This Row],[Salary]]*0.1)</f>
        <v>336347.78380000003</v>
      </c>
      <c r="J778" s="15">
        <f>Table1[[#This Row],[Salary]]+Table1[[#This Row],[Bonus]]</f>
        <v>3699825.6217999998</v>
      </c>
      <c r="K778" s="25">
        <f>COUNTA(Table1[Employee_ID])</f>
        <v>1000</v>
      </c>
      <c r="L778" s="1">
        <f>SUM(Table1[Salary])</f>
        <v>3119391523.8580012</v>
      </c>
      <c r="M778" s="15">
        <f>AVERAGE(Table1[Salary])</f>
        <v>3119391.5238580015</v>
      </c>
      <c r="N778" s="29">
        <f>SUM(Table1[Bonus])</f>
        <v>308244983.02069992</v>
      </c>
    </row>
    <row r="779" spans="1:14" ht="12.75" customHeight="1" x14ac:dyDescent="0.25">
      <c r="A779" s="2">
        <v>729</v>
      </c>
      <c r="B779" s="10" t="s">
        <v>1083</v>
      </c>
      <c r="C779" s="10" t="s">
        <v>1093</v>
      </c>
      <c r="D779" s="10" t="s">
        <v>377</v>
      </c>
      <c r="E779" s="10" t="s">
        <v>33</v>
      </c>
      <c r="F779" s="10" t="s">
        <v>34</v>
      </c>
      <c r="G779" s="10" t="s">
        <v>35</v>
      </c>
      <c r="H779" s="13">
        <v>1984117.328</v>
      </c>
      <c r="I779" s="15">
        <f>IF(Table1[[#This Row],[Salary]]&lt;1000000,Table1[[#This Row],[Salary]]*0.05,Table1[[#This Row],[Salary]]*0.1)</f>
        <v>198411.7328</v>
      </c>
      <c r="J779" s="15">
        <f>Table1[[#This Row],[Salary]]+Table1[[#This Row],[Bonus]]</f>
        <v>2182529.0608000001</v>
      </c>
      <c r="K779" s="25">
        <f>COUNTA(Table1[Employee_ID])</f>
        <v>1000</v>
      </c>
      <c r="L779" s="1">
        <f>SUM(Table1[Salary])</f>
        <v>3119391523.8580012</v>
      </c>
      <c r="M779" s="15">
        <f>AVERAGE(Table1[Salary])</f>
        <v>3119391.5238580015</v>
      </c>
      <c r="N779" s="29">
        <f>SUM(Table1[Bonus])</f>
        <v>308244983.02069992</v>
      </c>
    </row>
    <row r="780" spans="1:14" ht="12.75" customHeight="1" x14ac:dyDescent="0.25">
      <c r="A780" s="2">
        <v>730</v>
      </c>
      <c r="B780" s="10" t="s">
        <v>1134</v>
      </c>
      <c r="C780" s="10" t="s">
        <v>1135</v>
      </c>
      <c r="D780" s="10" t="s">
        <v>159</v>
      </c>
      <c r="E780" s="10" t="s">
        <v>13</v>
      </c>
      <c r="F780" s="10" t="s">
        <v>120</v>
      </c>
      <c r="G780" s="10" t="s">
        <v>35</v>
      </c>
      <c r="H780" s="13">
        <v>1350508.264</v>
      </c>
      <c r="I780" s="15">
        <f>IF(Table1[[#This Row],[Salary]]&lt;1000000,Table1[[#This Row],[Salary]]*0.05,Table1[[#This Row],[Salary]]*0.1)</f>
        <v>135050.82639999999</v>
      </c>
      <c r="J780" s="15">
        <f>Table1[[#This Row],[Salary]]+Table1[[#This Row],[Bonus]]</f>
        <v>1485559.0903999999</v>
      </c>
      <c r="K780" s="25">
        <f>COUNTA(Table1[Employee_ID])</f>
        <v>1000</v>
      </c>
      <c r="L780" s="1">
        <f>SUM(Table1[Salary])</f>
        <v>3119391523.8580012</v>
      </c>
      <c r="M780" s="15">
        <f>AVERAGE(Table1[Salary])</f>
        <v>3119391.5238580015</v>
      </c>
      <c r="N780" s="29">
        <f>SUM(Table1[Bonus])</f>
        <v>308244983.02069992</v>
      </c>
    </row>
    <row r="781" spans="1:14" ht="12.75" customHeight="1" x14ac:dyDescent="0.25">
      <c r="A781" s="2">
        <v>731</v>
      </c>
      <c r="B781" s="10" t="s">
        <v>218</v>
      </c>
      <c r="C781" s="10" t="s">
        <v>1136</v>
      </c>
      <c r="D781" s="10" t="s">
        <v>21</v>
      </c>
      <c r="E781" s="10" t="s">
        <v>10</v>
      </c>
      <c r="F781" s="10" t="s">
        <v>131</v>
      </c>
      <c r="G781" s="10" t="s">
        <v>29</v>
      </c>
      <c r="H781" s="13">
        <v>2328992.1439999999</v>
      </c>
      <c r="I781" s="15">
        <f>IF(Table1[[#This Row],[Salary]]&lt;1000000,Table1[[#This Row],[Salary]]*0.05,Table1[[#This Row],[Salary]]*0.1)</f>
        <v>232899.2144</v>
      </c>
      <c r="J781" s="15">
        <f>Table1[[#This Row],[Salary]]+Table1[[#This Row],[Bonus]]</f>
        <v>2561891.3583999998</v>
      </c>
      <c r="K781" s="25">
        <f>COUNTA(Table1[Employee_ID])</f>
        <v>1000</v>
      </c>
      <c r="L781" s="1">
        <f>SUM(Table1[Salary])</f>
        <v>3119391523.8580012</v>
      </c>
      <c r="M781" s="15">
        <f>AVERAGE(Table1[Salary])</f>
        <v>3119391.5238580015</v>
      </c>
      <c r="N781" s="29">
        <f>SUM(Table1[Bonus])</f>
        <v>308244983.02069992</v>
      </c>
    </row>
    <row r="782" spans="1:14" ht="12.75" customHeight="1" x14ac:dyDescent="0.25">
      <c r="A782" s="2">
        <v>732</v>
      </c>
      <c r="B782" s="10" t="s">
        <v>306</v>
      </c>
      <c r="C782" s="10" t="s">
        <v>816</v>
      </c>
      <c r="D782" s="10" t="s">
        <v>59</v>
      </c>
      <c r="E782" s="10" t="s">
        <v>27</v>
      </c>
      <c r="F782" s="10" t="s">
        <v>28</v>
      </c>
      <c r="G782" s="10" t="s">
        <v>71</v>
      </c>
      <c r="H782" s="13">
        <v>5265902.45</v>
      </c>
      <c r="I782" s="15">
        <f>IF(Table1[[#This Row],[Salary]]&lt;1000000,Table1[[#This Row],[Salary]]*0.05,Table1[[#This Row],[Salary]]*0.1)</f>
        <v>526590.245</v>
      </c>
      <c r="J782" s="15">
        <f>Table1[[#This Row],[Salary]]+Table1[[#This Row],[Bonus]]</f>
        <v>5792492.6950000003</v>
      </c>
      <c r="K782" s="25">
        <f>COUNTA(Table1[Employee_ID])</f>
        <v>1000</v>
      </c>
      <c r="L782" s="1">
        <f>SUM(Table1[Salary])</f>
        <v>3119391523.8580012</v>
      </c>
      <c r="M782" s="15">
        <f>AVERAGE(Table1[Salary])</f>
        <v>3119391.5238580015</v>
      </c>
      <c r="N782" s="29">
        <f>SUM(Table1[Bonus])</f>
        <v>308244983.02069992</v>
      </c>
    </row>
    <row r="783" spans="1:14" ht="12.75" customHeight="1" x14ac:dyDescent="0.25">
      <c r="A783" s="2">
        <v>733</v>
      </c>
      <c r="B783" s="10" t="s">
        <v>1137</v>
      </c>
      <c r="C783" s="10" t="s">
        <v>1090</v>
      </c>
      <c r="D783" s="10" t="s">
        <v>21</v>
      </c>
      <c r="E783" s="10" t="s">
        <v>27</v>
      </c>
      <c r="F783" s="10" t="s">
        <v>85</v>
      </c>
      <c r="G783" s="10" t="s">
        <v>29</v>
      </c>
      <c r="H783" s="13">
        <v>2330011.2279999997</v>
      </c>
      <c r="I783" s="15">
        <f>IF(Table1[[#This Row],[Salary]]&lt;1000000,Table1[[#This Row],[Salary]]*0.05,Table1[[#This Row],[Salary]]*0.1)</f>
        <v>233001.12279999998</v>
      </c>
      <c r="J783" s="15">
        <f>Table1[[#This Row],[Salary]]+Table1[[#This Row],[Bonus]]</f>
        <v>2563012.3507999997</v>
      </c>
      <c r="K783" s="25">
        <f>COUNTA(Table1[Employee_ID])</f>
        <v>1000</v>
      </c>
      <c r="L783" s="1">
        <f>SUM(Table1[Salary])</f>
        <v>3119391523.8580012</v>
      </c>
      <c r="M783" s="15">
        <f>AVERAGE(Table1[Salary])</f>
        <v>3119391.5238580015</v>
      </c>
      <c r="N783" s="29">
        <f>SUM(Table1[Bonus])</f>
        <v>308244983.02069992</v>
      </c>
    </row>
    <row r="784" spans="1:14" ht="12.75" customHeight="1" x14ac:dyDescent="0.25">
      <c r="A784" s="2">
        <v>734</v>
      </c>
      <c r="B784" s="10" t="s">
        <v>1138</v>
      </c>
      <c r="C784" s="10" t="s">
        <v>1139</v>
      </c>
      <c r="D784" s="10" t="s">
        <v>88</v>
      </c>
      <c r="E784" s="10" t="s">
        <v>63</v>
      </c>
      <c r="F784" s="10" t="s">
        <v>64</v>
      </c>
      <c r="G784" s="10" t="s">
        <v>71</v>
      </c>
      <c r="H784" s="13">
        <v>1273444.9919999999</v>
      </c>
      <c r="I784" s="15">
        <f>IF(Table1[[#This Row],[Salary]]&lt;1000000,Table1[[#This Row],[Salary]]*0.05,Table1[[#This Row],[Salary]]*0.1)</f>
        <v>127344.49919999999</v>
      </c>
      <c r="J784" s="15">
        <f>Table1[[#This Row],[Salary]]+Table1[[#This Row],[Bonus]]</f>
        <v>1400789.4911999998</v>
      </c>
      <c r="K784" s="25">
        <f>COUNTA(Table1[Employee_ID])</f>
        <v>1000</v>
      </c>
      <c r="L784" s="1">
        <f>SUM(Table1[Salary])</f>
        <v>3119391523.8580012</v>
      </c>
      <c r="M784" s="15">
        <f>AVERAGE(Table1[Salary])</f>
        <v>3119391.5238580015</v>
      </c>
      <c r="N784" s="29">
        <f>SUM(Table1[Bonus])</f>
        <v>308244983.02069992</v>
      </c>
    </row>
    <row r="785" spans="1:14" ht="12.75" customHeight="1" x14ac:dyDescent="0.25">
      <c r="A785" s="2">
        <v>735</v>
      </c>
      <c r="B785" s="10" t="s">
        <v>178</v>
      </c>
      <c r="C785" s="10" t="s">
        <v>1079</v>
      </c>
      <c r="D785" s="10" t="s">
        <v>46</v>
      </c>
      <c r="E785" s="10" t="s">
        <v>10</v>
      </c>
      <c r="F785" s="10" t="s">
        <v>78</v>
      </c>
      <c r="G785" s="10" t="s">
        <v>56</v>
      </c>
      <c r="H785" s="13">
        <v>1016971.632</v>
      </c>
      <c r="I785" s="15">
        <f>IF(Table1[[#This Row],[Salary]]&lt;1000000,Table1[[#This Row],[Salary]]*0.05,Table1[[#This Row],[Salary]]*0.1)</f>
        <v>101697.16320000001</v>
      </c>
      <c r="J785" s="15">
        <f>Table1[[#This Row],[Salary]]+Table1[[#This Row],[Bonus]]</f>
        <v>1118668.7952000001</v>
      </c>
      <c r="K785" s="25">
        <f>COUNTA(Table1[Employee_ID])</f>
        <v>1000</v>
      </c>
      <c r="L785" s="1">
        <f>SUM(Table1[Salary])</f>
        <v>3119391523.8580012</v>
      </c>
      <c r="M785" s="15">
        <f>AVERAGE(Table1[Salary])</f>
        <v>3119391.5238580015</v>
      </c>
      <c r="N785" s="29">
        <f>SUM(Table1[Bonus])</f>
        <v>308244983.02069992</v>
      </c>
    </row>
    <row r="786" spans="1:14" ht="12.75" customHeight="1" x14ac:dyDescent="0.25">
      <c r="A786" s="2">
        <v>737</v>
      </c>
      <c r="B786" s="10" t="s">
        <v>387</v>
      </c>
      <c r="C786" s="10" t="s">
        <v>1141</v>
      </c>
      <c r="D786" s="10" t="s">
        <v>96</v>
      </c>
      <c r="E786" s="10" t="s">
        <v>6</v>
      </c>
      <c r="F786" s="10" t="s">
        <v>74</v>
      </c>
      <c r="G786" s="10" t="s">
        <v>56</v>
      </c>
      <c r="H786" s="13">
        <v>2676814.608</v>
      </c>
      <c r="I786" s="15">
        <f>IF(Table1[[#This Row],[Salary]]&lt;1000000,Table1[[#This Row],[Salary]]*0.05,Table1[[#This Row],[Salary]]*0.1)</f>
        <v>267681.4608</v>
      </c>
      <c r="J786" s="15">
        <f>Table1[[#This Row],[Salary]]+Table1[[#This Row],[Bonus]]</f>
        <v>2944496.0688</v>
      </c>
      <c r="K786" s="25">
        <f>COUNTA(Table1[Employee_ID])</f>
        <v>1000</v>
      </c>
      <c r="L786" s="1">
        <f>SUM(Table1[Salary])</f>
        <v>3119391523.8580012</v>
      </c>
      <c r="M786" s="15">
        <f>AVERAGE(Table1[Salary])</f>
        <v>3119391.5238580015</v>
      </c>
      <c r="N786" s="29">
        <f>SUM(Table1[Bonus])</f>
        <v>308244983.02069992</v>
      </c>
    </row>
    <row r="787" spans="1:14" ht="12.75" customHeight="1" x14ac:dyDescent="0.25">
      <c r="A787" s="2">
        <v>739</v>
      </c>
      <c r="B787" s="10" t="s">
        <v>204</v>
      </c>
      <c r="C787" s="10" t="s">
        <v>1144</v>
      </c>
      <c r="D787" s="10" t="s">
        <v>96</v>
      </c>
      <c r="E787" s="10" t="s">
        <v>33</v>
      </c>
      <c r="F787" s="10" t="s">
        <v>47</v>
      </c>
      <c r="G787" s="10" t="s">
        <v>48</v>
      </c>
      <c r="H787" s="13">
        <v>4061925.83</v>
      </c>
      <c r="I787" s="15">
        <f>IF(Table1[[#This Row],[Salary]]&lt;1000000,Table1[[#This Row],[Salary]]*0.05,Table1[[#This Row],[Salary]]*0.1)</f>
        <v>406192.58300000004</v>
      </c>
      <c r="J787" s="15">
        <f>Table1[[#This Row],[Salary]]+Table1[[#This Row],[Bonus]]</f>
        <v>4468118.4129999997</v>
      </c>
      <c r="K787" s="25">
        <f>COUNTA(Table1[Employee_ID])</f>
        <v>1000</v>
      </c>
      <c r="L787" s="1">
        <f>SUM(Table1[Salary])</f>
        <v>3119391523.8580012</v>
      </c>
      <c r="M787" s="15">
        <f>AVERAGE(Table1[Salary])</f>
        <v>3119391.5238580015</v>
      </c>
      <c r="N787" s="29">
        <f>SUM(Table1[Bonus])</f>
        <v>308244983.02069992</v>
      </c>
    </row>
    <row r="788" spans="1:14" ht="12.75" customHeight="1" x14ac:dyDescent="0.25">
      <c r="A788" s="2">
        <v>740</v>
      </c>
      <c r="B788" s="10" t="s">
        <v>61</v>
      </c>
      <c r="C788" s="10" t="s">
        <v>1145</v>
      </c>
      <c r="D788" s="10" t="s">
        <v>105</v>
      </c>
      <c r="E788" s="10" t="s">
        <v>27</v>
      </c>
      <c r="F788" s="10" t="s">
        <v>106</v>
      </c>
      <c r="G788" s="10" t="s">
        <v>56</v>
      </c>
      <c r="H788" s="13">
        <v>706317.75</v>
      </c>
      <c r="I788" s="15">
        <f>IF(Table1[[#This Row],[Salary]]&lt;1000000,Table1[[#This Row],[Salary]]*0.05,Table1[[#This Row],[Salary]]*0.1)</f>
        <v>35315.887500000004</v>
      </c>
      <c r="J788" s="15">
        <f>Table1[[#This Row],[Salary]]+Table1[[#This Row],[Bonus]]</f>
        <v>741633.63749999995</v>
      </c>
      <c r="K788" s="25">
        <f>COUNTA(Table1[Employee_ID])</f>
        <v>1000</v>
      </c>
      <c r="L788" s="1">
        <f>SUM(Table1[Salary])</f>
        <v>3119391523.8580012</v>
      </c>
      <c r="M788" s="15">
        <f>AVERAGE(Table1[Salary])</f>
        <v>3119391.5238580015</v>
      </c>
      <c r="N788" s="29">
        <f>SUM(Table1[Bonus])</f>
        <v>308244983.02069992</v>
      </c>
    </row>
    <row r="789" spans="1:14" ht="12.75" customHeight="1" x14ac:dyDescent="0.25">
      <c r="A789" s="2">
        <v>741</v>
      </c>
      <c r="B789" s="10" t="s">
        <v>1146</v>
      </c>
      <c r="C789" s="10" t="s">
        <v>1147</v>
      </c>
      <c r="D789" s="10" t="s">
        <v>54</v>
      </c>
      <c r="E789" s="10" t="s">
        <v>27</v>
      </c>
      <c r="F789" s="10" t="s">
        <v>28</v>
      </c>
      <c r="G789" s="10" t="s">
        <v>29</v>
      </c>
      <c r="H789" s="13">
        <v>639572.41199999989</v>
      </c>
      <c r="I789" s="15">
        <f>IF(Table1[[#This Row],[Salary]]&lt;1000000,Table1[[#This Row],[Salary]]*0.05,Table1[[#This Row],[Salary]]*0.1)</f>
        <v>31978.620599999995</v>
      </c>
      <c r="J789" s="15">
        <f>Table1[[#This Row],[Salary]]+Table1[[#This Row],[Bonus]]</f>
        <v>671551.03259999992</v>
      </c>
      <c r="K789" s="25">
        <f>COUNTA(Table1[Employee_ID])</f>
        <v>1000</v>
      </c>
      <c r="L789" s="1">
        <f>SUM(Table1[Salary])</f>
        <v>3119391523.8580012</v>
      </c>
      <c r="M789" s="15">
        <f>AVERAGE(Table1[Salary])</f>
        <v>3119391.5238580015</v>
      </c>
      <c r="N789" s="29">
        <f>SUM(Table1[Bonus])</f>
        <v>308244983.02069992</v>
      </c>
    </row>
    <row r="790" spans="1:14" ht="12.75" customHeight="1" x14ac:dyDescent="0.25">
      <c r="A790" s="2">
        <v>742</v>
      </c>
      <c r="B790" s="10" t="s">
        <v>1148</v>
      </c>
      <c r="C790" s="10" t="s">
        <v>1149</v>
      </c>
      <c r="D790" s="10" t="s">
        <v>112</v>
      </c>
      <c r="E790" s="10" t="s">
        <v>27</v>
      </c>
      <c r="F790" s="10" t="s">
        <v>85</v>
      </c>
      <c r="G790" s="10" t="s">
        <v>23</v>
      </c>
      <c r="H790" s="13">
        <v>5350880.53</v>
      </c>
      <c r="I790" s="15">
        <f>IF(Table1[[#This Row],[Salary]]&lt;1000000,Table1[[#This Row],[Salary]]*0.05,Table1[[#This Row],[Salary]]*0.1)</f>
        <v>535088.05300000007</v>
      </c>
      <c r="J790" s="15">
        <f>Table1[[#This Row],[Salary]]+Table1[[#This Row],[Bonus]]</f>
        <v>5885968.5830000006</v>
      </c>
      <c r="K790" s="25">
        <f>COUNTA(Table1[Employee_ID])</f>
        <v>1000</v>
      </c>
      <c r="L790" s="1">
        <f>SUM(Table1[Salary])</f>
        <v>3119391523.8580012</v>
      </c>
      <c r="M790" s="15">
        <f>AVERAGE(Table1[Salary])</f>
        <v>3119391.5238580015</v>
      </c>
      <c r="N790" s="29">
        <f>SUM(Table1[Bonus])</f>
        <v>308244983.02069992</v>
      </c>
    </row>
    <row r="791" spans="1:14" ht="12.75" customHeight="1" x14ac:dyDescent="0.25">
      <c r="A791" s="2">
        <v>743</v>
      </c>
      <c r="B791" s="10" t="s">
        <v>524</v>
      </c>
      <c r="C791" s="10" t="s">
        <v>1150</v>
      </c>
      <c r="D791" s="10" t="s">
        <v>377</v>
      </c>
      <c r="E791" s="10" t="s">
        <v>63</v>
      </c>
      <c r="F791" s="10" t="s">
        <v>113</v>
      </c>
      <c r="G791" s="10" t="s">
        <v>23</v>
      </c>
      <c r="H791" s="13">
        <v>4843232.1140000001</v>
      </c>
      <c r="I791" s="15">
        <f>IF(Table1[[#This Row],[Salary]]&lt;1000000,Table1[[#This Row],[Salary]]*0.05,Table1[[#This Row],[Salary]]*0.1)</f>
        <v>484323.21140000003</v>
      </c>
      <c r="J791" s="15">
        <f>Table1[[#This Row],[Salary]]+Table1[[#This Row],[Bonus]]</f>
        <v>5327555.3254000004</v>
      </c>
      <c r="K791" s="25">
        <f>COUNTA(Table1[Employee_ID])</f>
        <v>1000</v>
      </c>
      <c r="L791" s="1">
        <f>SUM(Table1[Salary])</f>
        <v>3119391523.8580012</v>
      </c>
      <c r="M791" s="15">
        <f>AVERAGE(Table1[Salary])</f>
        <v>3119391.5238580015</v>
      </c>
      <c r="N791" s="29">
        <f>SUM(Table1[Bonus])</f>
        <v>308244983.02069992</v>
      </c>
    </row>
    <row r="792" spans="1:14" ht="12.75" customHeight="1" x14ac:dyDescent="0.25">
      <c r="A792" s="2">
        <v>745</v>
      </c>
      <c r="B792" s="10" t="s">
        <v>1153</v>
      </c>
      <c r="C792" s="10" t="s">
        <v>1154</v>
      </c>
      <c r="D792" s="10" t="s">
        <v>174</v>
      </c>
      <c r="E792" s="10" t="s">
        <v>27</v>
      </c>
      <c r="F792" s="10" t="s">
        <v>106</v>
      </c>
      <c r="G792" s="10" t="s">
        <v>29</v>
      </c>
      <c r="H792" s="13">
        <v>3477923.07</v>
      </c>
      <c r="I792" s="15">
        <f>IF(Table1[[#This Row],[Salary]]&lt;1000000,Table1[[#This Row],[Salary]]*0.05,Table1[[#This Row],[Salary]]*0.1)</f>
        <v>347792.30700000003</v>
      </c>
      <c r="J792" s="15">
        <f>Table1[[#This Row],[Salary]]+Table1[[#This Row],[Bonus]]</f>
        <v>3825715.3769999999</v>
      </c>
      <c r="K792" s="25">
        <f>COUNTA(Table1[Employee_ID])</f>
        <v>1000</v>
      </c>
      <c r="L792" s="1">
        <f>SUM(Table1[Salary])</f>
        <v>3119391523.8580012</v>
      </c>
      <c r="M792" s="15">
        <f>AVERAGE(Table1[Salary])</f>
        <v>3119391.5238580015</v>
      </c>
      <c r="N792" s="29">
        <f>SUM(Table1[Bonus])</f>
        <v>308244983.02069992</v>
      </c>
    </row>
    <row r="793" spans="1:14" ht="12.75" customHeight="1" x14ac:dyDescent="0.25">
      <c r="A793" s="2">
        <v>746</v>
      </c>
      <c r="B793" s="10" t="s">
        <v>525</v>
      </c>
      <c r="C793" s="10" t="s">
        <v>1155</v>
      </c>
      <c r="D793" s="10" t="s">
        <v>174</v>
      </c>
      <c r="E793" s="10" t="s">
        <v>27</v>
      </c>
      <c r="F793" s="10" t="s">
        <v>28</v>
      </c>
      <c r="G793" s="10" t="s">
        <v>35</v>
      </c>
      <c r="H793" s="13">
        <v>2086626.2180000001</v>
      </c>
      <c r="I793" s="15">
        <f>IF(Table1[[#This Row],[Salary]]&lt;1000000,Table1[[#This Row],[Salary]]*0.05,Table1[[#This Row],[Salary]]*0.1)</f>
        <v>208662.62180000002</v>
      </c>
      <c r="J793" s="15">
        <f>Table1[[#This Row],[Salary]]+Table1[[#This Row],[Bonus]]</f>
        <v>2295288.8398000002</v>
      </c>
      <c r="K793" s="25">
        <f>COUNTA(Table1[Employee_ID])</f>
        <v>1000</v>
      </c>
      <c r="L793" s="1">
        <f>SUM(Table1[Salary])</f>
        <v>3119391523.8580012</v>
      </c>
      <c r="M793" s="15">
        <f>AVERAGE(Table1[Salary])</f>
        <v>3119391.5238580015</v>
      </c>
      <c r="N793" s="29">
        <f>SUM(Table1[Bonus])</f>
        <v>308244983.02069992</v>
      </c>
    </row>
    <row r="794" spans="1:14" ht="12.75" customHeight="1" x14ac:dyDescent="0.25">
      <c r="A794" s="2">
        <v>747</v>
      </c>
      <c r="B794" s="10" t="s">
        <v>435</v>
      </c>
      <c r="C794" s="10" t="s">
        <v>478</v>
      </c>
      <c r="D794" s="10" t="s">
        <v>59</v>
      </c>
      <c r="E794" s="10" t="s">
        <v>27</v>
      </c>
      <c r="F794" s="10" t="s">
        <v>85</v>
      </c>
      <c r="G794" s="10" t="s">
        <v>23</v>
      </c>
      <c r="H794" s="13">
        <v>4837335.6519999998</v>
      </c>
      <c r="I794" s="15">
        <f>IF(Table1[[#This Row],[Salary]]&lt;1000000,Table1[[#This Row],[Salary]]*0.05,Table1[[#This Row],[Salary]]*0.1)</f>
        <v>483733.56520000001</v>
      </c>
      <c r="J794" s="15">
        <f>Table1[[#This Row],[Salary]]+Table1[[#This Row],[Bonus]]</f>
        <v>5321069.2171999998</v>
      </c>
      <c r="K794" s="25">
        <f>COUNTA(Table1[Employee_ID])</f>
        <v>1000</v>
      </c>
      <c r="L794" s="1">
        <f>SUM(Table1[Salary])</f>
        <v>3119391523.8580012</v>
      </c>
      <c r="M794" s="15">
        <f>AVERAGE(Table1[Salary])</f>
        <v>3119391.5238580015</v>
      </c>
      <c r="N794" s="29">
        <f>SUM(Table1[Bonus])</f>
        <v>308244983.02069992</v>
      </c>
    </row>
    <row r="795" spans="1:14" ht="12.75" customHeight="1" x14ac:dyDescent="0.25">
      <c r="A795" s="2">
        <v>748</v>
      </c>
      <c r="B795" s="10" t="s">
        <v>450</v>
      </c>
      <c r="C795" s="10" t="s">
        <v>1156</v>
      </c>
      <c r="D795" s="10" t="s">
        <v>324</v>
      </c>
      <c r="E795" s="10" t="s">
        <v>27</v>
      </c>
      <c r="F795" s="10" t="s">
        <v>106</v>
      </c>
      <c r="G795" s="10" t="s">
        <v>71</v>
      </c>
      <c r="H795" s="13">
        <v>1283431.7819999999</v>
      </c>
      <c r="I795" s="15">
        <f>IF(Table1[[#This Row],[Salary]]&lt;1000000,Table1[[#This Row],[Salary]]*0.05,Table1[[#This Row],[Salary]]*0.1)</f>
        <v>128343.17819999999</v>
      </c>
      <c r="J795" s="15">
        <f>Table1[[#This Row],[Salary]]+Table1[[#This Row],[Bonus]]</f>
        <v>1411774.9601999999</v>
      </c>
      <c r="K795" s="25">
        <f>COUNTA(Table1[Employee_ID])</f>
        <v>1000</v>
      </c>
      <c r="L795" s="1">
        <f>SUM(Table1[Salary])</f>
        <v>3119391523.8580012</v>
      </c>
      <c r="M795" s="15">
        <f>AVERAGE(Table1[Salary])</f>
        <v>3119391.5238580015</v>
      </c>
      <c r="N795" s="29">
        <f>SUM(Table1[Bonus])</f>
        <v>308244983.02069992</v>
      </c>
    </row>
    <row r="796" spans="1:14" ht="12.75" customHeight="1" x14ac:dyDescent="0.25">
      <c r="A796" s="2">
        <v>749</v>
      </c>
      <c r="B796" s="10" t="s">
        <v>1157</v>
      </c>
      <c r="C796" s="10" t="s">
        <v>1158</v>
      </c>
      <c r="D796" s="10" t="s">
        <v>177</v>
      </c>
      <c r="E796" s="10" t="s">
        <v>13</v>
      </c>
      <c r="F796" s="10" t="s">
        <v>43</v>
      </c>
      <c r="G796" s="10" t="s">
        <v>48</v>
      </c>
      <c r="H796" s="13">
        <v>549385.81000000006</v>
      </c>
      <c r="I796" s="15">
        <f>IF(Table1[[#This Row],[Salary]]&lt;1000000,Table1[[#This Row],[Salary]]*0.05,Table1[[#This Row],[Salary]]*0.1)</f>
        <v>27469.290500000003</v>
      </c>
      <c r="J796" s="15">
        <f>Table1[[#This Row],[Salary]]+Table1[[#This Row],[Bonus]]</f>
        <v>576855.10050000006</v>
      </c>
      <c r="K796" s="25">
        <f>COUNTA(Table1[Employee_ID])</f>
        <v>1000</v>
      </c>
      <c r="L796" s="1">
        <f>SUM(Table1[Salary])</f>
        <v>3119391523.8580012</v>
      </c>
      <c r="M796" s="15">
        <f>AVERAGE(Table1[Salary])</f>
        <v>3119391.5238580015</v>
      </c>
      <c r="N796" s="29">
        <f>SUM(Table1[Bonus])</f>
        <v>308244983.02069992</v>
      </c>
    </row>
    <row r="797" spans="1:14" ht="12.75" customHeight="1" x14ac:dyDescent="0.25">
      <c r="A797" s="2">
        <v>750</v>
      </c>
      <c r="B797" s="10" t="s">
        <v>1159</v>
      </c>
      <c r="C797" s="10" t="s">
        <v>1160</v>
      </c>
      <c r="D797" s="10" t="s">
        <v>324</v>
      </c>
      <c r="E797" s="10" t="s">
        <v>63</v>
      </c>
      <c r="F797" s="10" t="s">
        <v>131</v>
      </c>
      <c r="G797" s="10" t="s">
        <v>56</v>
      </c>
      <c r="H797" s="13">
        <v>3861476.4379999996</v>
      </c>
      <c r="I797" s="15">
        <f>IF(Table1[[#This Row],[Salary]]&lt;1000000,Table1[[#This Row],[Salary]]*0.05,Table1[[#This Row],[Salary]]*0.1)</f>
        <v>386147.64379999996</v>
      </c>
      <c r="J797" s="15">
        <f>Table1[[#This Row],[Salary]]+Table1[[#This Row],[Bonus]]</f>
        <v>4247624.0817999998</v>
      </c>
      <c r="K797" s="25">
        <f>COUNTA(Table1[Employee_ID])</f>
        <v>1000</v>
      </c>
      <c r="L797" s="1">
        <f>SUM(Table1[Salary])</f>
        <v>3119391523.8580012</v>
      </c>
      <c r="M797" s="15">
        <f>AVERAGE(Table1[Salary])</f>
        <v>3119391.5238580015</v>
      </c>
      <c r="N797" s="29">
        <f>SUM(Table1[Bonus])</f>
        <v>308244983.02069992</v>
      </c>
    </row>
    <row r="798" spans="1:14" ht="12.75" customHeight="1" x14ac:dyDescent="0.25">
      <c r="A798" s="2">
        <v>751</v>
      </c>
      <c r="B798" s="10" t="s">
        <v>1161</v>
      </c>
      <c r="C798" s="10" t="s">
        <v>1162</v>
      </c>
      <c r="D798" s="10" t="s">
        <v>32</v>
      </c>
      <c r="E798" s="10" t="s">
        <v>10</v>
      </c>
      <c r="F798" s="10" t="s">
        <v>109</v>
      </c>
      <c r="G798" s="10" t="s">
        <v>23</v>
      </c>
      <c r="H798" s="13">
        <v>2075585.3639999998</v>
      </c>
      <c r="I798" s="15">
        <f>IF(Table1[[#This Row],[Salary]]&lt;1000000,Table1[[#This Row],[Salary]]*0.05,Table1[[#This Row],[Salary]]*0.1)</f>
        <v>207558.53639999998</v>
      </c>
      <c r="J798" s="15">
        <f>Table1[[#This Row],[Salary]]+Table1[[#This Row],[Bonus]]</f>
        <v>2283143.9003999997</v>
      </c>
      <c r="K798" s="25">
        <f>COUNTA(Table1[Employee_ID])</f>
        <v>1000</v>
      </c>
      <c r="L798" s="1">
        <f>SUM(Table1[Salary])</f>
        <v>3119391523.8580012</v>
      </c>
      <c r="M798" s="15">
        <f>AVERAGE(Table1[Salary])</f>
        <v>3119391.5238580015</v>
      </c>
      <c r="N798" s="29">
        <f>SUM(Table1[Bonus])</f>
        <v>308244983.02069992</v>
      </c>
    </row>
    <row r="799" spans="1:14" ht="12.75" customHeight="1" x14ac:dyDescent="0.25">
      <c r="A799" s="2">
        <v>752</v>
      </c>
      <c r="B799" s="10" t="s">
        <v>1163</v>
      </c>
      <c r="C799" s="10" t="s">
        <v>1164</v>
      </c>
      <c r="D799" s="10" t="s">
        <v>183</v>
      </c>
      <c r="E799" s="10" t="s">
        <v>39</v>
      </c>
      <c r="F799" s="10" t="s">
        <v>186</v>
      </c>
      <c r="G799" s="10" t="s">
        <v>35</v>
      </c>
      <c r="H799" s="13">
        <v>324432.92799999996</v>
      </c>
      <c r="I799" s="15">
        <f>IF(Table1[[#This Row],[Salary]]&lt;1000000,Table1[[#This Row],[Salary]]*0.05,Table1[[#This Row],[Salary]]*0.1)</f>
        <v>16221.646399999998</v>
      </c>
      <c r="J799" s="15">
        <f>Table1[[#This Row],[Salary]]+Table1[[#This Row],[Bonus]]</f>
        <v>340654.57439999992</v>
      </c>
      <c r="K799" s="25">
        <f>COUNTA(Table1[Employee_ID])</f>
        <v>1000</v>
      </c>
      <c r="L799" s="1">
        <f>SUM(Table1[Salary])</f>
        <v>3119391523.8580012</v>
      </c>
      <c r="M799" s="15">
        <f>AVERAGE(Table1[Salary])</f>
        <v>3119391.5238580015</v>
      </c>
      <c r="N799" s="29">
        <f>SUM(Table1[Bonus])</f>
        <v>308244983.02069992</v>
      </c>
    </row>
    <row r="800" spans="1:14" ht="12.75" customHeight="1" x14ac:dyDescent="0.25">
      <c r="A800" s="2">
        <v>753</v>
      </c>
      <c r="B800" s="10" t="s">
        <v>1165</v>
      </c>
      <c r="C800" s="10" t="s">
        <v>1166</v>
      </c>
      <c r="D800" s="10" t="s">
        <v>96</v>
      </c>
      <c r="E800" s="10" t="s">
        <v>27</v>
      </c>
      <c r="F800" s="10" t="s">
        <v>28</v>
      </c>
      <c r="G800" s="10" t="s">
        <v>29</v>
      </c>
      <c r="H800" s="13">
        <v>2085956.9339999999</v>
      </c>
      <c r="I800" s="15">
        <f>IF(Table1[[#This Row],[Salary]]&lt;1000000,Table1[[#This Row],[Salary]]*0.05,Table1[[#This Row],[Salary]]*0.1)</f>
        <v>208595.69339999999</v>
      </c>
      <c r="J800" s="15">
        <f>Table1[[#This Row],[Salary]]+Table1[[#This Row],[Bonus]]</f>
        <v>2294552.6273999996</v>
      </c>
      <c r="K800" s="25">
        <f>COUNTA(Table1[Employee_ID])</f>
        <v>1000</v>
      </c>
      <c r="L800" s="1">
        <f>SUM(Table1[Salary])</f>
        <v>3119391523.8580012</v>
      </c>
      <c r="M800" s="15">
        <f>AVERAGE(Table1[Salary])</f>
        <v>3119391.5238580015</v>
      </c>
      <c r="N800" s="29">
        <f>SUM(Table1[Bonus])</f>
        <v>308244983.02069992</v>
      </c>
    </row>
    <row r="801" spans="1:14" ht="12.75" customHeight="1" x14ac:dyDescent="0.25">
      <c r="A801" s="2">
        <v>754</v>
      </c>
      <c r="B801" s="10" t="s">
        <v>1167</v>
      </c>
      <c r="C801" s="10" t="s">
        <v>101</v>
      </c>
      <c r="D801" s="10" t="s">
        <v>77</v>
      </c>
      <c r="E801" s="10" t="s">
        <v>27</v>
      </c>
      <c r="F801" s="10" t="s">
        <v>85</v>
      </c>
      <c r="G801" s="10" t="s">
        <v>71</v>
      </c>
      <c r="H801" s="13">
        <v>1887726.44</v>
      </c>
      <c r="I801" s="15">
        <f>IF(Table1[[#This Row],[Salary]]&lt;1000000,Table1[[#This Row],[Salary]]*0.05,Table1[[#This Row],[Salary]]*0.1)</f>
        <v>188772.644</v>
      </c>
      <c r="J801" s="15">
        <f>Table1[[#This Row],[Salary]]+Table1[[#This Row],[Bonus]]</f>
        <v>2076499.084</v>
      </c>
      <c r="K801" s="25">
        <f>COUNTA(Table1[Employee_ID])</f>
        <v>1000</v>
      </c>
      <c r="L801" s="1">
        <f>SUM(Table1[Salary])</f>
        <v>3119391523.8580012</v>
      </c>
      <c r="M801" s="15">
        <f>AVERAGE(Table1[Salary])</f>
        <v>3119391.5238580015</v>
      </c>
      <c r="N801" s="29">
        <f>SUM(Table1[Bonus])</f>
        <v>308244983.02069992</v>
      </c>
    </row>
    <row r="802" spans="1:14" ht="12.75" customHeight="1" x14ac:dyDescent="0.25">
      <c r="A802" s="2">
        <v>755</v>
      </c>
      <c r="B802" s="10" t="s">
        <v>1168</v>
      </c>
      <c r="C802" s="10" t="s">
        <v>245</v>
      </c>
      <c r="D802" s="10" t="s">
        <v>88</v>
      </c>
      <c r="E802" s="10" t="s">
        <v>13</v>
      </c>
      <c r="F802" s="10" t="s">
        <v>67</v>
      </c>
      <c r="G802" s="10" t="s">
        <v>56</v>
      </c>
      <c r="H802" s="13">
        <v>2823450.7679999997</v>
      </c>
      <c r="I802" s="15">
        <f>IF(Table1[[#This Row],[Salary]]&lt;1000000,Table1[[#This Row],[Salary]]*0.05,Table1[[#This Row],[Salary]]*0.1)</f>
        <v>282345.07679999998</v>
      </c>
      <c r="J802" s="15">
        <f>Table1[[#This Row],[Salary]]+Table1[[#This Row],[Bonus]]</f>
        <v>3105795.8447999996</v>
      </c>
      <c r="K802" s="25">
        <f>COUNTA(Table1[Employee_ID])</f>
        <v>1000</v>
      </c>
      <c r="L802" s="1">
        <f>SUM(Table1[Salary])</f>
        <v>3119391523.8580012</v>
      </c>
      <c r="M802" s="15">
        <f>AVERAGE(Table1[Salary])</f>
        <v>3119391.5238580015</v>
      </c>
      <c r="N802" s="29">
        <f>SUM(Table1[Bonus])</f>
        <v>308244983.02069992</v>
      </c>
    </row>
    <row r="803" spans="1:14" ht="12.75" customHeight="1" x14ac:dyDescent="0.25">
      <c r="A803" s="2">
        <v>756</v>
      </c>
      <c r="B803" s="10" t="s">
        <v>390</v>
      </c>
      <c r="C803" s="10" t="s">
        <v>1169</v>
      </c>
      <c r="D803" s="10" t="s">
        <v>96</v>
      </c>
      <c r="E803" s="10" t="s">
        <v>13</v>
      </c>
      <c r="F803" s="10" t="s">
        <v>120</v>
      </c>
      <c r="G803" s="10" t="s">
        <v>23</v>
      </c>
      <c r="H803" s="13">
        <v>4570241.1979999999</v>
      </c>
      <c r="I803" s="15">
        <f>IF(Table1[[#This Row],[Salary]]&lt;1000000,Table1[[#This Row],[Salary]]*0.05,Table1[[#This Row],[Salary]]*0.1)</f>
        <v>457024.11979999999</v>
      </c>
      <c r="J803" s="15">
        <f>Table1[[#This Row],[Salary]]+Table1[[#This Row],[Bonus]]</f>
        <v>5027265.3178000003</v>
      </c>
      <c r="K803" s="25">
        <f>COUNTA(Table1[Employee_ID])</f>
        <v>1000</v>
      </c>
      <c r="L803" s="1">
        <f>SUM(Table1[Salary])</f>
        <v>3119391523.8580012</v>
      </c>
      <c r="M803" s="15">
        <f>AVERAGE(Table1[Salary])</f>
        <v>3119391.5238580015</v>
      </c>
      <c r="N803" s="29">
        <f>SUM(Table1[Bonus])</f>
        <v>308244983.02069992</v>
      </c>
    </row>
    <row r="804" spans="1:14" ht="12.75" customHeight="1" x14ac:dyDescent="0.25">
      <c r="A804" s="2">
        <v>757</v>
      </c>
      <c r="B804" s="10" t="s">
        <v>126</v>
      </c>
      <c r="C804" s="10" t="s">
        <v>1170</v>
      </c>
      <c r="D804" s="10" t="s">
        <v>137</v>
      </c>
      <c r="E804" s="10" t="s">
        <v>2</v>
      </c>
      <c r="F804" s="10" t="s">
        <v>60</v>
      </c>
      <c r="G804" s="10" t="s">
        <v>35</v>
      </c>
      <c r="H804" s="13">
        <v>3803529.736</v>
      </c>
      <c r="I804" s="15">
        <f>IF(Table1[[#This Row],[Salary]]&lt;1000000,Table1[[#This Row],[Salary]]*0.05,Table1[[#This Row],[Salary]]*0.1)</f>
        <v>380352.97360000003</v>
      </c>
      <c r="J804" s="15">
        <f>Table1[[#This Row],[Salary]]+Table1[[#This Row],[Bonus]]</f>
        <v>4183882.7096000002</v>
      </c>
      <c r="K804" s="25">
        <f>COUNTA(Table1[Employee_ID])</f>
        <v>1000</v>
      </c>
      <c r="L804" s="1">
        <f>SUM(Table1[Salary])</f>
        <v>3119391523.8580012</v>
      </c>
      <c r="M804" s="15">
        <f>AVERAGE(Table1[Salary])</f>
        <v>3119391.5238580015</v>
      </c>
      <c r="N804" s="29">
        <f>SUM(Table1[Bonus])</f>
        <v>308244983.02069992</v>
      </c>
    </row>
    <row r="805" spans="1:14" ht="12.75" customHeight="1" x14ac:dyDescent="0.25">
      <c r="A805" s="2">
        <v>758</v>
      </c>
      <c r="B805" s="10" t="s">
        <v>1171</v>
      </c>
      <c r="C805" s="10" t="s">
        <v>1172</v>
      </c>
      <c r="D805" s="10" t="s">
        <v>316</v>
      </c>
      <c r="E805" s="10" t="s">
        <v>63</v>
      </c>
      <c r="F805" s="10" t="s">
        <v>64</v>
      </c>
      <c r="G805" s="10" t="s">
        <v>56</v>
      </c>
      <c r="H805" s="13">
        <v>3863730.3160000001</v>
      </c>
      <c r="I805" s="15">
        <f>IF(Table1[[#This Row],[Salary]]&lt;1000000,Table1[[#This Row],[Salary]]*0.05,Table1[[#This Row],[Salary]]*0.1)</f>
        <v>386373.03160000005</v>
      </c>
      <c r="J805" s="15">
        <f>Table1[[#This Row],[Salary]]+Table1[[#This Row],[Bonus]]</f>
        <v>4250103.3476</v>
      </c>
      <c r="K805" s="25">
        <f>COUNTA(Table1[Employee_ID])</f>
        <v>1000</v>
      </c>
      <c r="L805" s="1">
        <f>SUM(Table1[Salary])</f>
        <v>3119391523.8580012</v>
      </c>
      <c r="M805" s="15">
        <f>AVERAGE(Table1[Salary])</f>
        <v>3119391.5238580015</v>
      </c>
      <c r="N805" s="29">
        <f>SUM(Table1[Bonus])</f>
        <v>308244983.02069992</v>
      </c>
    </row>
    <row r="806" spans="1:14" ht="12.75" customHeight="1" x14ac:dyDescent="0.25">
      <c r="A806" s="2">
        <v>759</v>
      </c>
      <c r="B806" s="10" t="s">
        <v>392</v>
      </c>
      <c r="C806" s="10" t="s">
        <v>382</v>
      </c>
      <c r="D806" s="10" t="s">
        <v>112</v>
      </c>
      <c r="E806" s="10" t="s">
        <v>10</v>
      </c>
      <c r="F806" s="10" t="s">
        <v>131</v>
      </c>
      <c r="G806" s="10" t="s">
        <v>71</v>
      </c>
      <c r="H806" s="13">
        <v>1181367.138</v>
      </c>
      <c r="I806" s="15">
        <f>IF(Table1[[#This Row],[Salary]]&lt;1000000,Table1[[#This Row],[Salary]]*0.05,Table1[[#This Row],[Salary]]*0.1)</f>
        <v>118136.71380000001</v>
      </c>
      <c r="J806" s="15">
        <f>Table1[[#This Row],[Salary]]+Table1[[#This Row],[Bonus]]</f>
        <v>1299503.8518000001</v>
      </c>
      <c r="K806" s="25">
        <f>COUNTA(Table1[Employee_ID])</f>
        <v>1000</v>
      </c>
      <c r="L806" s="1">
        <f>SUM(Table1[Salary])</f>
        <v>3119391523.8580012</v>
      </c>
      <c r="M806" s="15">
        <f>AVERAGE(Table1[Salary])</f>
        <v>3119391.5238580015</v>
      </c>
      <c r="N806" s="29">
        <f>SUM(Table1[Bonus])</f>
        <v>308244983.02069992</v>
      </c>
    </row>
    <row r="807" spans="1:14" ht="12.75" customHeight="1" x14ac:dyDescent="0.25">
      <c r="A807" s="2">
        <v>760</v>
      </c>
      <c r="B807" s="10" t="s">
        <v>333</v>
      </c>
      <c r="C807" s="10" t="s">
        <v>1173</v>
      </c>
      <c r="D807" s="10" t="s">
        <v>156</v>
      </c>
      <c r="E807" s="10" t="s">
        <v>6</v>
      </c>
      <c r="F807" s="10" t="s">
        <v>123</v>
      </c>
      <c r="G807" s="10" t="s">
        <v>23</v>
      </c>
      <c r="H807" s="13">
        <v>1932385.4060000002</v>
      </c>
      <c r="I807" s="15">
        <f>IF(Table1[[#This Row],[Salary]]&lt;1000000,Table1[[#This Row],[Salary]]*0.05,Table1[[#This Row],[Salary]]*0.1)</f>
        <v>193238.54060000004</v>
      </c>
      <c r="J807" s="15">
        <f>Table1[[#This Row],[Salary]]+Table1[[#This Row],[Bonus]]</f>
        <v>2125623.9466000004</v>
      </c>
      <c r="K807" s="25">
        <f>COUNTA(Table1[Employee_ID])</f>
        <v>1000</v>
      </c>
      <c r="L807" s="1">
        <f>SUM(Table1[Salary])</f>
        <v>3119391523.8580012</v>
      </c>
      <c r="M807" s="15">
        <f>AVERAGE(Table1[Salary])</f>
        <v>3119391.5238580015</v>
      </c>
      <c r="N807" s="29">
        <f>SUM(Table1[Bonus])</f>
        <v>308244983.02069992</v>
      </c>
    </row>
    <row r="808" spans="1:14" ht="12.75" customHeight="1" x14ac:dyDescent="0.25">
      <c r="A808" s="2">
        <v>761</v>
      </c>
      <c r="B808" s="10" t="s">
        <v>1174</v>
      </c>
      <c r="C808" s="10" t="s">
        <v>1175</v>
      </c>
      <c r="D808" s="10" t="s">
        <v>146</v>
      </c>
      <c r="E808" s="10" t="s">
        <v>63</v>
      </c>
      <c r="F808" s="10" t="s">
        <v>113</v>
      </c>
      <c r="G808" s="10" t="s">
        <v>23</v>
      </c>
      <c r="H808" s="13">
        <v>651670.8280000001</v>
      </c>
      <c r="I808" s="15">
        <f>IF(Table1[[#This Row],[Salary]]&lt;1000000,Table1[[#This Row],[Salary]]*0.05,Table1[[#This Row],[Salary]]*0.1)</f>
        <v>32583.541400000006</v>
      </c>
      <c r="J808" s="15">
        <f>Table1[[#This Row],[Salary]]+Table1[[#This Row],[Bonus]]</f>
        <v>684254.36940000008</v>
      </c>
      <c r="K808" s="25">
        <f>COUNTA(Table1[Employee_ID])</f>
        <v>1000</v>
      </c>
      <c r="L808" s="1">
        <f>SUM(Table1[Salary])</f>
        <v>3119391523.8580012</v>
      </c>
      <c r="M808" s="15">
        <f>AVERAGE(Table1[Salary])</f>
        <v>3119391.5238580015</v>
      </c>
      <c r="N808" s="29">
        <f>SUM(Table1[Bonus])</f>
        <v>308244983.02069992</v>
      </c>
    </row>
    <row r="809" spans="1:14" ht="12.75" customHeight="1" x14ac:dyDescent="0.25">
      <c r="A809" s="2">
        <v>762</v>
      </c>
      <c r="B809" s="10" t="s">
        <v>1176</v>
      </c>
      <c r="C809" s="10" t="s">
        <v>1177</v>
      </c>
      <c r="D809" s="10" t="s">
        <v>59</v>
      </c>
      <c r="E809" s="10" t="s">
        <v>33</v>
      </c>
      <c r="F809" s="10" t="s">
        <v>55</v>
      </c>
      <c r="G809" s="10" t="s">
        <v>35</v>
      </c>
      <c r="H809" s="13">
        <v>3833282.5579999997</v>
      </c>
      <c r="I809" s="15">
        <f>IF(Table1[[#This Row],[Salary]]&lt;1000000,Table1[[#This Row],[Salary]]*0.05,Table1[[#This Row],[Salary]]*0.1)</f>
        <v>383328.25579999998</v>
      </c>
      <c r="J809" s="15">
        <f>Table1[[#This Row],[Salary]]+Table1[[#This Row],[Bonus]]</f>
        <v>4216610.8137999997</v>
      </c>
      <c r="K809" s="25">
        <f>COUNTA(Table1[Employee_ID])</f>
        <v>1000</v>
      </c>
      <c r="L809" s="1">
        <f>SUM(Table1[Salary])</f>
        <v>3119391523.8580012</v>
      </c>
      <c r="M809" s="15">
        <f>AVERAGE(Table1[Salary])</f>
        <v>3119391.5238580015</v>
      </c>
      <c r="N809" s="29">
        <f>SUM(Table1[Bonus])</f>
        <v>308244983.02069992</v>
      </c>
    </row>
    <row r="810" spans="1:14" ht="12.75" customHeight="1" x14ac:dyDescent="0.25">
      <c r="A810" s="2">
        <v>763</v>
      </c>
      <c r="B810" s="10" t="s">
        <v>1178</v>
      </c>
      <c r="C810" s="10" t="s">
        <v>1179</v>
      </c>
      <c r="D810" s="10" t="s">
        <v>46</v>
      </c>
      <c r="E810" s="10" t="s">
        <v>33</v>
      </c>
      <c r="F810" s="10" t="s">
        <v>34</v>
      </c>
      <c r="G810" s="10" t="s">
        <v>48</v>
      </c>
      <c r="H810" s="13">
        <v>1792417.6</v>
      </c>
      <c r="I810" s="15">
        <f>IF(Table1[[#This Row],[Salary]]&lt;1000000,Table1[[#This Row],[Salary]]*0.05,Table1[[#This Row],[Salary]]*0.1)</f>
        <v>179241.76</v>
      </c>
      <c r="J810" s="15">
        <f>Table1[[#This Row],[Salary]]+Table1[[#This Row],[Bonus]]</f>
        <v>1971659.36</v>
      </c>
      <c r="K810" s="25">
        <f>COUNTA(Table1[Employee_ID])</f>
        <v>1000</v>
      </c>
      <c r="L810" s="1">
        <f>SUM(Table1[Salary])</f>
        <v>3119391523.8580012</v>
      </c>
      <c r="M810" s="15">
        <f>AVERAGE(Table1[Salary])</f>
        <v>3119391.5238580015</v>
      </c>
      <c r="N810" s="29">
        <f>SUM(Table1[Bonus])</f>
        <v>308244983.02069992</v>
      </c>
    </row>
    <row r="811" spans="1:14" ht="12.75" customHeight="1" x14ac:dyDescent="0.25">
      <c r="A811" s="2">
        <v>764</v>
      </c>
      <c r="B811" s="10" t="s">
        <v>1180</v>
      </c>
      <c r="C811" s="10" t="s">
        <v>1181</v>
      </c>
      <c r="D811" s="10" t="s">
        <v>118</v>
      </c>
      <c r="E811" s="10" t="s">
        <v>6</v>
      </c>
      <c r="F811" s="10" t="s">
        <v>144</v>
      </c>
      <c r="G811" s="10" t="s">
        <v>71</v>
      </c>
      <c r="H811" s="13">
        <v>5203636.8840000005</v>
      </c>
      <c r="I811" s="15">
        <f>IF(Table1[[#This Row],[Salary]]&lt;1000000,Table1[[#This Row],[Salary]]*0.05,Table1[[#This Row],[Salary]]*0.1)</f>
        <v>520363.6884000001</v>
      </c>
      <c r="J811" s="15">
        <f>Table1[[#This Row],[Salary]]+Table1[[#This Row],[Bonus]]</f>
        <v>5724000.5724000009</v>
      </c>
      <c r="K811" s="25">
        <f>COUNTA(Table1[Employee_ID])</f>
        <v>1000</v>
      </c>
      <c r="L811" s="1">
        <f>SUM(Table1[Salary])</f>
        <v>3119391523.8580012</v>
      </c>
      <c r="M811" s="15">
        <f>AVERAGE(Table1[Salary])</f>
        <v>3119391.5238580015</v>
      </c>
      <c r="N811" s="29">
        <f>SUM(Table1[Bonus])</f>
        <v>308244983.02069992</v>
      </c>
    </row>
    <row r="812" spans="1:14" ht="12.75" customHeight="1" x14ac:dyDescent="0.25">
      <c r="A812" s="2">
        <v>765</v>
      </c>
      <c r="B812" s="10" t="s">
        <v>752</v>
      </c>
      <c r="C812" s="10" t="s">
        <v>1182</v>
      </c>
      <c r="D812" s="10" t="s">
        <v>363</v>
      </c>
      <c r="E812" s="10" t="s">
        <v>14</v>
      </c>
      <c r="F812" s="10" t="s">
        <v>51</v>
      </c>
      <c r="G812" s="10" t="s">
        <v>35</v>
      </c>
      <c r="H812" s="13">
        <v>3201069.196</v>
      </c>
      <c r="I812" s="15">
        <f>IF(Table1[[#This Row],[Salary]]&lt;1000000,Table1[[#This Row],[Salary]]*0.05,Table1[[#This Row],[Salary]]*0.1)</f>
        <v>320106.91960000002</v>
      </c>
      <c r="J812" s="15">
        <f>Table1[[#This Row],[Salary]]+Table1[[#This Row],[Bonus]]</f>
        <v>3521176.1156000001</v>
      </c>
      <c r="K812" s="25">
        <f>COUNTA(Table1[Employee_ID])</f>
        <v>1000</v>
      </c>
      <c r="L812" s="1">
        <f>SUM(Table1[Salary])</f>
        <v>3119391523.8580012</v>
      </c>
      <c r="M812" s="15">
        <f>AVERAGE(Table1[Salary])</f>
        <v>3119391.5238580015</v>
      </c>
      <c r="N812" s="29">
        <f>SUM(Table1[Bonus])</f>
        <v>308244983.02069992</v>
      </c>
    </row>
    <row r="813" spans="1:14" ht="12.75" customHeight="1" x14ac:dyDescent="0.25">
      <c r="A813" s="2">
        <v>766</v>
      </c>
      <c r="B813" s="10" t="s">
        <v>564</v>
      </c>
      <c r="C813" s="10" t="s">
        <v>1183</v>
      </c>
      <c r="D813" s="10" t="s">
        <v>118</v>
      </c>
      <c r="E813" s="10" t="s">
        <v>39</v>
      </c>
      <c r="F813" s="10" t="s">
        <v>189</v>
      </c>
      <c r="G813" s="10" t="s">
        <v>23</v>
      </c>
      <c r="H813" s="13">
        <v>2835079.2860000003</v>
      </c>
      <c r="I813" s="15">
        <f>IF(Table1[[#This Row],[Salary]]&lt;1000000,Table1[[#This Row],[Salary]]*0.05,Table1[[#This Row],[Salary]]*0.1)</f>
        <v>283507.92860000004</v>
      </c>
      <c r="J813" s="15">
        <f>Table1[[#This Row],[Salary]]+Table1[[#This Row],[Bonus]]</f>
        <v>3118587.2146000005</v>
      </c>
      <c r="K813" s="25">
        <f>COUNTA(Table1[Employee_ID])</f>
        <v>1000</v>
      </c>
      <c r="L813" s="1">
        <f>SUM(Table1[Salary])</f>
        <v>3119391523.8580012</v>
      </c>
      <c r="M813" s="15">
        <f>AVERAGE(Table1[Salary])</f>
        <v>3119391.5238580015</v>
      </c>
      <c r="N813" s="29">
        <f>SUM(Table1[Bonus])</f>
        <v>308244983.02069992</v>
      </c>
    </row>
    <row r="814" spans="1:14" ht="12.75" customHeight="1" x14ac:dyDescent="0.25">
      <c r="A814" s="2">
        <v>767</v>
      </c>
      <c r="B814" s="10" t="s">
        <v>416</v>
      </c>
      <c r="C814" s="10" t="s">
        <v>1184</v>
      </c>
      <c r="D814" s="10" t="s">
        <v>143</v>
      </c>
      <c r="E814" s="10" t="s">
        <v>27</v>
      </c>
      <c r="F814" s="10" t="s">
        <v>106</v>
      </c>
      <c r="G814" s="10" t="s">
        <v>23</v>
      </c>
      <c r="H814" s="13">
        <v>3942666.1839999999</v>
      </c>
      <c r="I814" s="15">
        <f>IF(Table1[[#This Row],[Salary]]&lt;1000000,Table1[[#This Row],[Salary]]*0.05,Table1[[#This Row],[Salary]]*0.1)</f>
        <v>394266.61840000004</v>
      </c>
      <c r="J814" s="15">
        <f>Table1[[#This Row],[Salary]]+Table1[[#This Row],[Bonus]]</f>
        <v>4336932.8024000004</v>
      </c>
      <c r="K814" s="25">
        <f>COUNTA(Table1[Employee_ID])</f>
        <v>1000</v>
      </c>
      <c r="L814" s="1">
        <f>SUM(Table1[Salary])</f>
        <v>3119391523.8580012</v>
      </c>
      <c r="M814" s="15">
        <f>AVERAGE(Table1[Salary])</f>
        <v>3119391.5238580015</v>
      </c>
      <c r="N814" s="29">
        <f>SUM(Table1[Bonus])</f>
        <v>308244983.02069992</v>
      </c>
    </row>
    <row r="815" spans="1:14" ht="12.75" customHeight="1" x14ac:dyDescent="0.25">
      <c r="A815" s="2">
        <v>768</v>
      </c>
      <c r="B815" s="10" t="s">
        <v>100</v>
      </c>
      <c r="C815" s="10" t="s">
        <v>1185</v>
      </c>
      <c r="D815" s="10" t="s">
        <v>137</v>
      </c>
      <c r="E815" s="10" t="s">
        <v>33</v>
      </c>
      <c r="F815" s="10" t="s">
        <v>47</v>
      </c>
      <c r="G815" s="10" t="s">
        <v>56</v>
      </c>
      <c r="H815" s="13">
        <v>5530994.8820000002</v>
      </c>
      <c r="I815" s="15">
        <f>IF(Table1[[#This Row],[Salary]]&lt;1000000,Table1[[#This Row],[Salary]]*0.05,Table1[[#This Row],[Salary]]*0.1)</f>
        <v>553099.48820000002</v>
      </c>
      <c r="J815" s="15">
        <f>Table1[[#This Row],[Salary]]+Table1[[#This Row],[Bonus]]</f>
        <v>6084094.3702000007</v>
      </c>
      <c r="K815" s="25">
        <f>COUNTA(Table1[Employee_ID])</f>
        <v>1000</v>
      </c>
      <c r="L815" s="1">
        <f>SUM(Table1[Salary])</f>
        <v>3119391523.8580012</v>
      </c>
      <c r="M815" s="15">
        <f>AVERAGE(Table1[Salary])</f>
        <v>3119391.5238580015</v>
      </c>
      <c r="N815" s="29">
        <f>SUM(Table1[Bonus])</f>
        <v>308244983.02069992</v>
      </c>
    </row>
    <row r="816" spans="1:14" ht="12.75" customHeight="1" x14ac:dyDescent="0.25">
      <c r="A816" s="2">
        <v>769</v>
      </c>
      <c r="B816" s="10" t="s">
        <v>1186</v>
      </c>
      <c r="C816" s="10" t="s">
        <v>1187</v>
      </c>
      <c r="D816" s="10" t="s">
        <v>99</v>
      </c>
      <c r="E816" s="10" t="s">
        <v>27</v>
      </c>
      <c r="F816" s="10" t="s">
        <v>28</v>
      </c>
      <c r="G816" s="10" t="s">
        <v>56</v>
      </c>
      <c r="H816" s="13">
        <v>4446899.3859999999</v>
      </c>
      <c r="I816" s="15">
        <f>IF(Table1[[#This Row],[Salary]]&lt;1000000,Table1[[#This Row],[Salary]]*0.05,Table1[[#This Row],[Salary]]*0.1)</f>
        <v>444689.93859999999</v>
      </c>
      <c r="J816" s="15">
        <f>Table1[[#This Row],[Salary]]+Table1[[#This Row],[Bonus]]</f>
        <v>4891589.3245999999</v>
      </c>
      <c r="K816" s="25">
        <f>COUNTA(Table1[Employee_ID])</f>
        <v>1000</v>
      </c>
      <c r="L816" s="1">
        <f>SUM(Table1[Salary])</f>
        <v>3119391523.8580012</v>
      </c>
      <c r="M816" s="15">
        <f>AVERAGE(Table1[Salary])</f>
        <v>3119391.5238580015</v>
      </c>
      <c r="N816" s="29">
        <f>SUM(Table1[Bonus])</f>
        <v>308244983.02069992</v>
      </c>
    </row>
    <row r="817" spans="1:14" ht="12.75" customHeight="1" x14ac:dyDescent="0.25">
      <c r="A817" s="2">
        <v>770</v>
      </c>
      <c r="B817" s="10" t="s">
        <v>1188</v>
      </c>
      <c r="C817" s="10" t="s">
        <v>1189</v>
      </c>
      <c r="D817" s="10" t="s">
        <v>156</v>
      </c>
      <c r="E817" s="10" t="s">
        <v>33</v>
      </c>
      <c r="F817" s="10" t="s">
        <v>55</v>
      </c>
      <c r="G817" s="10" t="s">
        <v>23</v>
      </c>
      <c r="H817" s="13">
        <v>2621026.1720000003</v>
      </c>
      <c r="I817" s="15">
        <f>IF(Table1[[#This Row],[Salary]]&lt;1000000,Table1[[#This Row],[Salary]]*0.05,Table1[[#This Row],[Salary]]*0.1)</f>
        <v>262102.61720000004</v>
      </c>
      <c r="J817" s="15">
        <f>Table1[[#This Row],[Salary]]+Table1[[#This Row],[Bonus]]</f>
        <v>2883128.7892000005</v>
      </c>
      <c r="K817" s="25">
        <f>COUNTA(Table1[Employee_ID])</f>
        <v>1000</v>
      </c>
      <c r="L817" s="1">
        <f>SUM(Table1[Salary])</f>
        <v>3119391523.8580012</v>
      </c>
      <c r="M817" s="15">
        <f>AVERAGE(Table1[Salary])</f>
        <v>3119391.5238580015</v>
      </c>
      <c r="N817" s="29">
        <f>SUM(Table1[Bonus])</f>
        <v>308244983.02069992</v>
      </c>
    </row>
    <row r="818" spans="1:14" ht="12.75" customHeight="1" x14ac:dyDescent="0.25">
      <c r="A818" s="2">
        <v>773</v>
      </c>
      <c r="B818" s="10" t="s">
        <v>1192</v>
      </c>
      <c r="C818" s="10" t="s">
        <v>143</v>
      </c>
      <c r="D818" s="10" t="s">
        <v>96</v>
      </c>
      <c r="E818" s="10" t="s">
        <v>33</v>
      </c>
      <c r="F818" s="10" t="s">
        <v>34</v>
      </c>
      <c r="G818" s="10" t="s">
        <v>71</v>
      </c>
      <c r="H818" s="13">
        <v>2875097.5720000002</v>
      </c>
      <c r="I818" s="15">
        <f>IF(Table1[[#This Row],[Salary]]&lt;1000000,Table1[[#This Row],[Salary]]*0.05,Table1[[#This Row],[Salary]]*0.1)</f>
        <v>287509.75720000005</v>
      </c>
      <c r="J818" s="15">
        <f>Table1[[#This Row],[Salary]]+Table1[[#This Row],[Bonus]]</f>
        <v>3162607.3292</v>
      </c>
      <c r="K818" s="25">
        <f>COUNTA(Table1[Employee_ID])</f>
        <v>1000</v>
      </c>
      <c r="L818" s="1">
        <f>SUM(Table1[Salary])</f>
        <v>3119391523.8580012</v>
      </c>
      <c r="M818" s="15">
        <f>AVERAGE(Table1[Salary])</f>
        <v>3119391.5238580015</v>
      </c>
      <c r="N818" s="29">
        <f>SUM(Table1[Bonus])</f>
        <v>308244983.02069992</v>
      </c>
    </row>
    <row r="819" spans="1:14" ht="12.75" customHeight="1" x14ac:dyDescent="0.25">
      <c r="A819" s="2">
        <v>774</v>
      </c>
      <c r="B819" s="10" t="s">
        <v>1193</v>
      </c>
      <c r="C819" s="10" t="s">
        <v>392</v>
      </c>
      <c r="D819" s="10" t="s">
        <v>118</v>
      </c>
      <c r="E819" s="10" t="s">
        <v>27</v>
      </c>
      <c r="F819" s="10" t="s">
        <v>85</v>
      </c>
      <c r="G819" s="10" t="s">
        <v>56</v>
      </c>
      <c r="H819" s="13">
        <v>2669021.0639999998</v>
      </c>
      <c r="I819" s="15">
        <f>IF(Table1[[#This Row],[Salary]]&lt;1000000,Table1[[#This Row],[Salary]]*0.05,Table1[[#This Row],[Salary]]*0.1)</f>
        <v>266902.10639999999</v>
      </c>
      <c r="J819" s="15">
        <f>Table1[[#This Row],[Salary]]+Table1[[#This Row],[Bonus]]</f>
        <v>2935923.1703999997</v>
      </c>
      <c r="K819" s="25">
        <f>COUNTA(Table1[Employee_ID])</f>
        <v>1000</v>
      </c>
      <c r="L819" s="1">
        <f>SUM(Table1[Salary])</f>
        <v>3119391523.8580012</v>
      </c>
      <c r="M819" s="15">
        <f>AVERAGE(Table1[Salary])</f>
        <v>3119391.5238580015</v>
      </c>
      <c r="N819" s="29">
        <f>SUM(Table1[Bonus])</f>
        <v>308244983.02069992</v>
      </c>
    </row>
    <row r="820" spans="1:14" ht="12.75" customHeight="1" x14ac:dyDescent="0.25">
      <c r="A820" s="2">
        <v>775</v>
      </c>
      <c r="B820" s="10" t="s">
        <v>243</v>
      </c>
      <c r="C820" s="10" t="s">
        <v>813</v>
      </c>
      <c r="D820" s="10" t="s">
        <v>88</v>
      </c>
      <c r="E820" s="10" t="s">
        <v>63</v>
      </c>
      <c r="F820" s="10" t="s">
        <v>131</v>
      </c>
      <c r="G820" s="10" t="s">
        <v>23</v>
      </c>
      <c r="H820" s="13">
        <v>5077994.5540000005</v>
      </c>
      <c r="I820" s="15">
        <f>IF(Table1[[#This Row],[Salary]]&lt;1000000,Table1[[#This Row],[Salary]]*0.05,Table1[[#This Row],[Salary]]*0.1)</f>
        <v>507799.45540000009</v>
      </c>
      <c r="J820" s="15">
        <f>Table1[[#This Row],[Salary]]+Table1[[#This Row],[Bonus]]</f>
        <v>5585794.0094000008</v>
      </c>
      <c r="K820" s="25">
        <f>COUNTA(Table1[Employee_ID])</f>
        <v>1000</v>
      </c>
      <c r="L820" s="1">
        <f>SUM(Table1[Salary])</f>
        <v>3119391523.8580012</v>
      </c>
      <c r="M820" s="15">
        <f>AVERAGE(Table1[Salary])</f>
        <v>3119391.5238580015</v>
      </c>
      <c r="N820" s="29">
        <f>SUM(Table1[Bonus])</f>
        <v>308244983.02069992</v>
      </c>
    </row>
    <row r="821" spans="1:14" ht="12.75" customHeight="1" x14ac:dyDescent="0.25">
      <c r="A821" s="2">
        <v>776</v>
      </c>
      <c r="B821" s="10" t="s">
        <v>192</v>
      </c>
      <c r="C821" s="10" t="s">
        <v>1194</v>
      </c>
      <c r="D821" s="10" t="s">
        <v>26</v>
      </c>
      <c r="E821" s="10" t="s">
        <v>2</v>
      </c>
      <c r="F821" s="10" t="s">
        <v>74</v>
      </c>
      <c r="G821" s="10" t="s">
        <v>48</v>
      </c>
      <c r="H821" s="13">
        <v>5593541.4539999999</v>
      </c>
      <c r="I821" s="15">
        <f>IF(Table1[[#This Row],[Salary]]&lt;1000000,Table1[[#This Row],[Salary]]*0.05,Table1[[#This Row],[Salary]]*0.1)</f>
        <v>559354.14540000004</v>
      </c>
      <c r="J821" s="15">
        <f>Table1[[#This Row],[Salary]]+Table1[[#This Row],[Bonus]]</f>
        <v>6152895.5993999997</v>
      </c>
      <c r="K821" s="25">
        <f>COUNTA(Table1[Employee_ID])</f>
        <v>1000</v>
      </c>
      <c r="L821" s="1">
        <f>SUM(Table1[Salary])</f>
        <v>3119391523.8580012</v>
      </c>
      <c r="M821" s="15">
        <f>AVERAGE(Table1[Salary])</f>
        <v>3119391.5238580015</v>
      </c>
      <c r="N821" s="29">
        <f>SUM(Table1[Bonus])</f>
        <v>308244983.02069992</v>
      </c>
    </row>
    <row r="822" spans="1:14" ht="12.75" customHeight="1" x14ac:dyDescent="0.25">
      <c r="A822" s="2">
        <v>778</v>
      </c>
      <c r="B822" s="10" t="s">
        <v>506</v>
      </c>
      <c r="C822" s="10" t="s">
        <v>1196</v>
      </c>
      <c r="D822" s="10" t="s">
        <v>128</v>
      </c>
      <c r="E822" s="10" t="s">
        <v>2</v>
      </c>
      <c r="F822" s="10" t="s">
        <v>102</v>
      </c>
      <c r="G822" s="10" t="s">
        <v>56</v>
      </c>
      <c r="H822" s="13">
        <v>939689.152</v>
      </c>
      <c r="I822" s="15">
        <f>IF(Table1[[#This Row],[Salary]]&lt;1000000,Table1[[#This Row],[Salary]]*0.05,Table1[[#This Row],[Salary]]*0.1)</f>
        <v>46984.457600000002</v>
      </c>
      <c r="J822" s="15">
        <f>Table1[[#This Row],[Salary]]+Table1[[#This Row],[Bonus]]</f>
        <v>986673.60959999997</v>
      </c>
      <c r="K822" s="25">
        <f>COUNTA(Table1[Employee_ID])</f>
        <v>1000</v>
      </c>
      <c r="L822" s="1">
        <f>SUM(Table1[Salary])</f>
        <v>3119391523.8580012</v>
      </c>
      <c r="M822" s="15">
        <f>AVERAGE(Table1[Salary])</f>
        <v>3119391.5238580015</v>
      </c>
      <c r="N822" s="29">
        <f>SUM(Table1[Bonus])</f>
        <v>308244983.02069992</v>
      </c>
    </row>
    <row r="823" spans="1:14" ht="12.75" customHeight="1" x14ac:dyDescent="0.25">
      <c r="A823" s="2">
        <v>779</v>
      </c>
      <c r="B823" s="10" t="s">
        <v>1197</v>
      </c>
      <c r="C823" s="10" t="s">
        <v>1198</v>
      </c>
      <c r="D823" s="10" t="s">
        <v>125</v>
      </c>
      <c r="E823" s="10" t="s">
        <v>27</v>
      </c>
      <c r="F823" s="10" t="s">
        <v>106</v>
      </c>
      <c r="G823" s="10" t="s">
        <v>23</v>
      </c>
      <c r="H823" s="13">
        <v>3188865.84</v>
      </c>
      <c r="I823" s="15">
        <f>IF(Table1[[#This Row],[Salary]]&lt;1000000,Table1[[#This Row],[Salary]]*0.05,Table1[[#This Row],[Salary]]*0.1)</f>
        <v>318886.58400000003</v>
      </c>
      <c r="J823" s="15">
        <f>Table1[[#This Row],[Salary]]+Table1[[#This Row],[Bonus]]</f>
        <v>3507752.4239999996</v>
      </c>
      <c r="K823" s="25">
        <f>COUNTA(Table1[Employee_ID])</f>
        <v>1000</v>
      </c>
      <c r="L823" s="1">
        <f>SUM(Table1[Salary])</f>
        <v>3119391523.8580012</v>
      </c>
      <c r="M823" s="15">
        <f>AVERAGE(Table1[Salary])</f>
        <v>3119391.5238580015</v>
      </c>
      <c r="N823" s="29">
        <f>SUM(Table1[Bonus])</f>
        <v>308244983.02069992</v>
      </c>
    </row>
    <row r="824" spans="1:14" ht="12.75" customHeight="1" x14ac:dyDescent="0.25">
      <c r="A824" s="2">
        <v>780</v>
      </c>
      <c r="B824" s="10" t="s">
        <v>194</v>
      </c>
      <c r="C824" s="10" t="s">
        <v>1199</v>
      </c>
      <c r="D824" s="10" t="s">
        <v>134</v>
      </c>
      <c r="E824" s="10" t="s">
        <v>10</v>
      </c>
      <c r="F824" s="10" t="s">
        <v>78</v>
      </c>
      <c r="G824" s="10" t="s">
        <v>29</v>
      </c>
      <c r="H824" s="13">
        <v>406930.92599999998</v>
      </c>
      <c r="I824" s="15">
        <f>IF(Table1[[#This Row],[Salary]]&lt;1000000,Table1[[#This Row],[Salary]]*0.05,Table1[[#This Row],[Salary]]*0.1)</f>
        <v>20346.546300000002</v>
      </c>
      <c r="J824" s="15">
        <f>Table1[[#This Row],[Salary]]+Table1[[#This Row],[Bonus]]</f>
        <v>427277.47229999996</v>
      </c>
      <c r="K824" s="25">
        <f>COUNTA(Table1[Employee_ID])</f>
        <v>1000</v>
      </c>
      <c r="L824" s="1">
        <f>SUM(Table1[Salary])</f>
        <v>3119391523.8580012</v>
      </c>
      <c r="M824" s="15">
        <f>AVERAGE(Table1[Salary])</f>
        <v>3119391.5238580015</v>
      </c>
      <c r="N824" s="29">
        <f>SUM(Table1[Bonus])</f>
        <v>308244983.02069992</v>
      </c>
    </row>
    <row r="825" spans="1:14" ht="12.75" customHeight="1" x14ac:dyDescent="0.25">
      <c r="A825" s="2">
        <v>781</v>
      </c>
      <c r="B825" s="10" t="s">
        <v>1200</v>
      </c>
      <c r="C825" s="10" t="s">
        <v>1201</v>
      </c>
      <c r="D825" s="10" t="s">
        <v>137</v>
      </c>
      <c r="E825" s="10" t="s">
        <v>14</v>
      </c>
      <c r="F825" s="10" t="s">
        <v>222</v>
      </c>
      <c r="G825" s="10" t="s">
        <v>48</v>
      </c>
      <c r="H825" s="13">
        <v>2297311.9240000001</v>
      </c>
      <c r="I825" s="15">
        <f>IF(Table1[[#This Row],[Salary]]&lt;1000000,Table1[[#This Row],[Salary]]*0.05,Table1[[#This Row],[Salary]]*0.1)</f>
        <v>229731.19240000003</v>
      </c>
      <c r="J825" s="15">
        <f>Table1[[#This Row],[Salary]]+Table1[[#This Row],[Bonus]]</f>
        <v>2527043.1164000002</v>
      </c>
      <c r="K825" s="25">
        <f>COUNTA(Table1[Employee_ID])</f>
        <v>1000</v>
      </c>
      <c r="L825" s="1">
        <f>SUM(Table1[Salary])</f>
        <v>3119391523.8580012</v>
      </c>
      <c r="M825" s="15">
        <f>AVERAGE(Table1[Salary])</f>
        <v>3119391.5238580015</v>
      </c>
      <c r="N825" s="29">
        <f>SUM(Table1[Bonus])</f>
        <v>308244983.02069992</v>
      </c>
    </row>
    <row r="826" spans="1:14" ht="12.75" customHeight="1" x14ac:dyDescent="0.25">
      <c r="A826" s="2">
        <v>784</v>
      </c>
      <c r="B826" s="10" t="s">
        <v>100</v>
      </c>
      <c r="C826" s="10" t="s">
        <v>1205</v>
      </c>
      <c r="D826" s="10" t="s">
        <v>146</v>
      </c>
      <c r="E826" s="10" t="s">
        <v>39</v>
      </c>
      <c r="F826" s="10" t="s">
        <v>40</v>
      </c>
      <c r="G826" s="10" t="s">
        <v>71</v>
      </c>
      <c r="H826" s="13">
        <v>4302195.2879999997</v>
      </c>
      <c r="I826" s="15">
        <f>IF(Table1[[#This Row],[Salary]]&lt;1000000,Table1[[#This Row],[Salary]]*0.05,Table1[[#This Row],[Salary]]*0.1)</f>
        <v>430219.52879999997</v>
      </c>
      <c r="J826" s="15">
        <f>Table1[[#This Row],[Salary]]+Table1[[#This Row],[Bonus]]</f>
        <v>4732414.8168000001</v>
      </c>
      <c r="K826" s="25">
        <f>COUNTA(Table1[Employee_ID])</f>
        <v>1000</v>
      </c>
      <c r="L826" s="1">
        <f>SUM(Table1[Salary])</f>
        <v>3119391523.8580012</v>
      </c>
      <c r="M826" s="15">
        <f>AVERAGE(Table1[Salary])</f>
        <v>3119391.5238580015</v>
      </c>
      <c r="N826" s="29">
        <f>SUM(Table1[Bonus])</f>
        <v>308244983.02069992</v>
      </c>
    </row>
    <row r="827" spans="1:14" ht="12.75" customHeight="1" x14ac:dyDescent="0.25">
      <c r="A827" s="2">
        <v>785</v>
      </c>
      <c r="B827" s="10" t="s">
        <v>964</v>
      </c>
      <c r="C827" s="10" t="s">
        <v>1206</v>
      </c>
      <c r="D827" s="10" t="s">
        <v>149</v>
      </c>
      <c r="E827" s="10" t="s">
        <v>27</v>
      </c>
      <c r="F827" s="10" t="s">
        <v>28</v>
      </c>
      <c r="G827" s="10" t="s">
        <v>23</v>
      </c>
      <c r="H827" s="13">
        <v>1108674.034</v>
      </c>
      <c r="I827" s="15">
        <f>IF(Table1[[#This Row],[Salary]]&lt;1000000,Table1[[#This Row],[Salary]]*0.05,Table1[[#This Row],[Salary]]*0.1)</f>
        <v>110867.40340000001</v>
      </c>
      <c r="J827" s="15">
        <f>Table1[[#This Row],[Salary]]+Table1[[#This Row],[Bonus]]</f>
        <v>1219541.4373999999</v>
      </c>
      <c r="K827" s="25">
        <f>COUNTA(Table1[Employee_ID])</f>
        <v>1000</v>
      </c>
      <c r="L827" s="1">
        <f>SUM(Table1[Salary])</f>
        <v>3119391523.8580012</v>
      </c>
      <c r="M827" s="15">
        <f>AVERAGE(Table1[Salary])</f>
        <v>3119391.5238580015</v>
      </c>
      <c r="N827" s="29">
        <f>SUM(Table1[Bonus])</f>
        <v>308244983.02069992</v>
      </c>
    </row>
    <row r="828" spans="1:14" ht="12.75" customHeight="1" x14ac:dyDescent="0.25">
      <c r="A828" s="2">
        <v>786</v>
      </c>
      <c r="B828" s="10" t="s">
        <v>1207</v>
      </c>
      <c r="C828" s="10" t="s">
        <v>1208</v>
      </c>
      <c r="D828" s="10" t="s">
        <v>88</v>
      </c>
      <c r="E828" s="10" t="s">
        <v>27</v>
      </c>
      <c r="F828" s="10" t="s">
        <v>85</v>
      </c>
      <c r="G828" s="10" t="s">
        <v>35</v>
      </c>
      <c r="H828" s="13">
        <v>2153029.9180000001</v>
      </c>
      <c r="I828" s="15">
        <f>IF(Table1[[#This Row],[Salary]]&lt;1000000,Table1[[#This Row],[Salary]]*0.05,Table1[[#This Row],[Salary]]*0.1)</f>
        <v>215302.99180000002</v>
      </c>
      <c r="J828" s="15">
        <f>Table1[[#This Row],[Salary]]+Table1[[#This Row],[Bonus]]</f>
        <v>2368332.9098</v>
      </c>
      <c r="K828" s="25">
        <f>COUNTA(Table1[Employee_ID])</f>
        <v>1000</v>
      </c>
      <c r="L828" s="1">
        <f>SUM(Table1[Salary])</f>
        <v>3119391523.8580012</v>
      </c>
      <c r="M828" s="15">
        <f>AVERAGE(Table1[Salary])</f>
        <v>3119391.5238580015</v>
      </c>
      <c r="N828" s="29">
        <f>SUM(Table1[Bonus])</f>
        <v>308244983.02069992</v>
      </c>
    </row>
    <row r="829" spans="1:14" ht="12.75" customHeight="1" x14ac:dyDescent="0.25">
      <c r="A829" s="2">
        <v>787</v>
      </c>
      <c r="B829" s="10" t="s">
        <v>1209</v>
      </c>
      <c r="C829" s="10" t="s">
        <v>1210</v>
      </c>
      <c r="D829" s="10" t="s">
        <v>26</v>
      </c>
      <c r="E829" s="10" t="s">
        <v>6</v>
      </c>
      <c r="F829" s="10" t="s">
        <v>74</v>
      </c>
      <c r="G829" s="10" t="s">
        <v>29</v>
      </c>
      <c r="H829" s="13">
        <v>2989919.4220000003</v>
      </c>
      <c r="I829" s="15">
        <f>IF(Table1[[#This Row],[Salary]]&lt;1000000,Table1[[#This Row],[Salary]]*0.05,Table1[[#This Row],[Salary]]*0.1)</f>
        <v>298991.94220000005</v>
      </c>
      <c r="J829" s="15">
        <f>Table1[[#This Row],[Salary]]+Table1[[#This Row],[Bonus]]</f>
        <v>3288911.3642000002</v>
      </c>
      <c r="K829" s="25">
        <f>COUNTA(Table1[Employee_ID])</f>
        <v>1000</v>
      </c>
      <c r="L829" s="1">
        <f>SUM(Table1[Salary])</f>
        <v>3119391523.8580012</v>
      </c>
      <c r="M829" s="15">
        <f>AVERAGE(Table1[Salary])</f>
        <v>3119391.5238580015</v>
      </c>
      <c r="N829" s="29">
        <f>SUM(Table1[Bonus])</f>
        <v>308244983.02069992</v>
      </c>
    </row>
    <row r="830" spans="1:14" ht="12.75" customHeight="1" x14ac:dyDescent="0.25">
      <c r="A830" s="2">
        <v>788</v>
      </c>
      <c r="B830" s="10" t="s">
        <v>1211</v>
      </c>
      <c r="C830" s="10" t="s">
        <v>1212</v>
      </c>
      <c r="D830" s="10" t="s">
        <v>165</v>
      </c>
      <c r="E830" s="10" t="s">
        <v>63</v>
      </c>
      <c r="F830" s="10" t="s">
        <v>64</v>
      </c>
      <c r="G830" s="10" t="s">
        <v>35</v>
      </c>
      <c r="H830" s="13">
        <v>4267712.0039999997</v>
      </c>
      <c r="I830" s="15">
        <f>IF(Table1[[#This Row],[Salary]]&lt;1000000,Table1[[#This Row],[Salary]]*0.05,Table1[[#This Row],[Salary]]*0.1)</f>
        <v>426771.20039999997</v>
      </c>
      <c r="J830" s="15">
        <f>Table1[[#This Row],[Salary]]+Table1[[#This Row],[Bonus]]</f>
        <v>4694483.2043999992</v>
      </c>
      <c r="K830" s="25">
        <f>COUNTA(Table1[Employee_ID])</f>
        <v>1000</v>
      </c>
      <c r="L830" s="1">
        <f>SUM(Table1[Salary])</f>
        <v>3119391523.8580012</v>
      </c>
      <c r="M830" s="15">
        <f>AVERAGE(Table1[Salary])</f>
        <v>3119391.5238580015</v>
      </c>
      <c r="N830" s="29">
        <f>SUM(Table1[Bonus])</f>
        <v>308244983.02069992</v>
      </c>
    </row>
    <row r="831" spans="1:14" ht="12.75" customHeight="1" x14ac:dyDescent="0.25">
      <c r="A831" s="2">
        <v>789</v>
      </c>
      <c r="B831" s="10" t="s">
        <v>1213</v>
      </c>
      <c r="C831" s="10" t="s">
        <v>1214</v>
      </c>
      <c r="D831" s="10" t="s">
        <v>156</v>
      </c>
      <c r="E831" s="10" t="s">
        <v>39</v>
      </c>
      <c r="F831" s="10" t="s">
        <v>186</v>
      </c>
      <c r="G831" s="10" t="s">
        <v>29</v>
      </c>
      <c r="H831" s="13">
        <v>4597176.9640000006</v>
      </c>
      <c r="I831" s="15">
        <f>IF(Table1[[#This Row],[Salary]]&lt;1000000,Table1[[#This Row],[Salary]]*0.05,Table1[[#This Row],[Salary]]*0.1)</f>
        <v>459717.69640000007</v>
      </c>
      <c r="J831" s="15">
        <f>Table1[[#This Row],[Salary]]+Table1[[#This Row],[Bonus]]</f>
        <v>5056894.6604000004</v>
      </c>
      <c r="K831" s="25">
        <f>COUNTA(Table1[Employee_ID])</f>
        <v>1000</v>
      </c>
      <c r="L831" s="1">
        <f>SUM(Table1[Salary])</f>
        <v>3119391523.8580012</v>
      </c>
      <c r="M831" s="15">
        <f>AVERAGE(Table1[Salary])</f>
        <v>3119391.5238580015</v>
      </c>
      <c r="N831" s="29">
        <f>SUM(Table1[Bonus])</f>
        <v>308244983.02069992</v>
      </c>
    </row>
    <row r="832" spans="1:14" ht="12.75" customHeight="1" x14ac:dyDescent="0.25">
      <c r="A832" s="2">
        <v>790</v>
      </c>
      <c r="B832" s="10" t="s">
        <v>1215</v>
      </c>
      <c r="C832" s="10" t="s">
        <v>1216</v>
      </c>
      <c r="D832" s="10" t="s">
        <v>21</v>
      </c>
      <c r="E832" s="10" t="s">
        <v>14</v>
      </c>
      <c r="F832" s="10" t="s">
        <v>234</v>
      </c>
      <c r="G832" s="10" t="s">
        <v>56</v>
      </c>
      <c r="H832" s="13">
        <v>4806302.5619999999</v>
      </c>
      <c r="I832" s="15">
        <f>IF(Table1[[#This Row],[Salary]]&lt;1000000,Table1[[#This Row],[Salary]]*0.05,Table1[[#This Row],[Salary]]*0.1)</f>
        <v>480630.2562</v>
      </c>
      <c r="J832" s="15">
        <f>Table1[[#This Row],[Salary]]+Table1[[#This Row],[Bonus]]</f>
        <v>5286932.8181999996</v>
      </c>
      <c r="K832" s="25">
        <f>COUNTA(Table1[Employee_ID])</f>
        <v>1000</v>
      </c>
      <c r="L832" s="1">
        <f>SUM(Table1[Salary])</f>
        <v>3119391523.8580012</v>
      </c>
      <c r="M832" s="15">
        <f>AVERAGE(Table1[Salary])</f>
        <v>3119391.5238580015</v>
      </c>
      <c r="N832" s="29">
        <f>SUM(Table1[Bonus])</f>
        <v>308244983.02069992</v>
      </c>
    </row>
    <row r="833" spans="1:14" ht="12.75" customHeight="1" x14ac:dyDescent="0.25">
      <c r="A833" s="2">
        <v>793</v>
      </c>
      <c r="B833" s="10" t="s">
        <v>1207</v>
      </c>
      <c r="C833" s="10" t="s">
        <v>1221</v>
      </c>
      <c r="D833" s="10" t="s">
        <v>32</v>
      </c>
      <c r="E833" s="10" t="s">
        <v>33</v>
      </c>
      <c r="F833" s="10" t="s">
        <v>47</v>
      </c>
      <c r="G833" s="10" t="s">
        <v>29</v>
      </c>
      <c r="H833" s="13">
        <v>4958547.182</v>
      </c>
      <c r="I833" s="15">
        <f>IF(Table1[[#This Row],[Salary]]&lt;1000000,Table1[[#This Row],[Salary]]*0.05,Table1[[#This Row],[Salary]]*0.1)</f>
        <v>495854.7182</v>
      </c>
      <c r="J833" s="15">
        <f>Table1[[#This Row],[Salary]]+Table1[[#This Row],[Bonus]]</f>
        <v>5454401.9002</v>
      </c>
      <c r="K833" s="25">
        <f>COUNTA(Table1[Employee_ID])</f>
        <v>1000</v>
      </c>
      <c r="L833" s="1">
        <f>SUM(Table1[Salary])</f>
        <v>3119391523.8580012</v>
      </c>
      <c r="M833" s="15">
        <f>AVERAGE(Table1[Salary])</f>
        <v>3119391.5238580015</v>
      </c>
      <c r="N833" s="29">
        <f>SUM(Table1[Bonus])</f>
        <v>308244983.02069992</v>
      </c>
    </row>
    <row r="834" spans="1:14" ht="12.75" customHeight="1" x14ac:dyDescent="0.25">
      <c r="A834" s="2">
        <v>794</v>
      </c>
      <c r="B834" s="10" t="s">
        <v>964</v>
      </c>
      <c r="C834" s="10" t="s">
        <v>1222</v>
      </c>
      <c r="D834" s="10" t="s">
        <v>38</v>
      </c>
      <c r="E834" s="10" t="s">
        <v>27</v>
      </c>
      <c r="F834" s="10" t="s">
        <v>106</v>
      </c>
      <c r="G834" s="10" t="s">
        <v>48</v>
      </c>
      <c r="H834" s="13">
        <v>5258256.9879999999</v>
      </c>
      <c r="I834" s="15">
        <f>IF(Table1[[#This Row],[Salary]]&lt;1000000,Table1[[#This Row],[Salary]]*0.05,Table1[[#This Row],[Salary]]*0.1)</f>
        <v>525825.69880000001</v>
      </c>
      <c r="J834" s="15">
        <f>Table1[[#This Row],[Salary]]+Table1[[#This Row],[Bonus]]</f>
        <v>5784082.6868000003</v>
      </c>
      <c r="K834" s="25">
        <f>COUNTA(Table1[Employee_ID])</f>
        <v>1000</v>
      </c>
      <c r="L834" s="1">
        <f>SUM(Table1[Salary])</f>
        <v>3119391523.8580012</v>
      </c>
      <c r="M834" s="15">
        <f>AVERAGE(Table1[Salary])</f>
        <v>3119391.5238580015</v>
      </c>
      <c r="N834" s="29">
        <f>SUM(Table1[Bonus])</f>
        <v>308244983.02069992</v>
      </c>
    </row>
    <row r="835" spans="1:14" ht="12.75" customHeight="1" x14ac:dyDescent="0.25">
      <c r="A835" s="2">
        <v>795</v>
      </c>
      <c r="B835" s="10" t="s">
        <v>1223</v>
      </c>
      <c r="C835" s="10" t="s">
        <v>1224</v>
      </c>
      <c r="D835" s="10" t="s">
        <v>32</v>
      </c>
      <c r="E835" s="10" t="s">
        <v>33</v>
      </c>
      <c r="F835" s="10" t="s">
        <v>55</v>
      </c>
      <c r="G835" s="10" t="s">
        <v>56</v>
      </c>
      <c r="H835" s="13">
        <v>1942156.486</v>
      </c>
      <c r="I835" s="15">
        <f>IF(Table1[[#This Row],[Salary]]&lt;1000000,Table1[[#This Row],[Salary]]*0.05,Table1[[#This Row],[Salary]]*0.1)</f>
        <v>194215.64860000001</v>
      </c>
      <c r="J835" s="15">
        <f>Table1[[#This Row],[Salary]]+Table1[[#This Row],[Bonus]]</f>
        <v>2136372.1346</v>
      </c>
      <c r="K835" s="25">
        <f>COUNTA(Table1[Employee_ID])</f>
        <v>1000</v>
      </c>
      <c r="L835" s="1">
        <f>SUM(Table1[Salary])</f>
        <v>3119391523.8580012</v>
      </c>
      <c r="M835" s="15">
        <f>AVERAGE(Table1[Salary])</f>
        <v>3119391.5238580015</v>
      </c>
      <c r="N835" s="29">
        <f>SUM(Table1[Bonus])</f>
        <v>308244983.02069992</v>
      </c>
    </row>
    <row r="836" spans="1:14" ht="12.75" customHeight="1" x14ac:dyDescent="0.25">
      <c r="A836" s="2">
        <v>797</v>
      </c>
      <c r="B836" s="10" t="s">
        <v>1215</v>
      </c>
      <c r="C836" s="10" t="s">
        <v>1216</v>
      </c>
      <c r="D836" s="10" t="s">
        <v>21</v>
      </c>
      <c r="E836" s="10" t="s">
        <v>27</v>
      </c>
      <c r="F836" s="10" t="s">
        <v>28</v>
      </c>
      <c r="G836" s="10" t="s">
        <v>35</v>
      </c>
      <c r="H836" s="13">
        <v>2982320.6</v>
      </c>
      <c r="I836" s="15">
        <f>IF(Table1[[#This Row],[Salary]]&lt;1000000,Table1[[#This Row],[Salary]]*0.05,Table1[[#This Row],[Salary]]*0.1)</f>
        <v>298232.06</v>
      </c>
      <c r="J836" s="15">
        <f>Table1[[#This Row],[Salary]]+Table1[[#This Row],[Bonus]]</f>
        <v>3280552.66</v>
      </c>
      <c r="K836" s="25">
        <f>COUNTA(Table1[Employee_ID])</f>
        <v>1000</v>
      </c>
      <c r="L836" s="1">
        <f>SUM(Table1[Salary])</f>
        <v>3119391523.8580012</v>
      </c>
      <c r="M836" s="15">
        <f>AVERAGE(Table1[Salary])</f>
        <v>3119391.5238580015</v>
      </c>
      <c r="N836" s="29">
        <f>SUM(Table1[Bonus])</f>
        <v>308244983.02069992</v>
      </c>
    </row>
    <row r="837" spans="1:14" ht="12.75" customHeight="1" x14ac:dyDescent="0.25">
      <c r="A837" s="2">
        <v>799</v>
      </c>
      <c r="B837" s="10" t="s">
        <v>1228</v>
      </c>
      <c r="C837" s="10" t="s">
        <v>1229</v>
      </c>
      <c r="D837" s="10" t="s">
        <v>59</v>
      </c>
      <c r="E837" s="10" t="s">
        <v>33</v>
      </c>
      <c r="F837" s="10" t="s">
        <v>34</v>
      </c>
      <c r="G837" s="10" t="s">
        <v>23</v>
      </c>
      <c r="H837" s="13">
        <v>5914154.142</v>
      </c>
      <c r="I837" s="15">
        <f>IF(Table1[[#This Row],[Salary]]&lt;1000000,Table1[[#This Row],[Salary]]*0.05,Table1[[#This Row],[Salary]]*0.1)</f>
        <v>591415.4142</v>
      </c>
      <c r="J837" s="15">
        <f>Table1[[#This Row],[Salary]]+Table1[[#This Row],[Bonus]]</f>
        <v>6505569.5561999995</v>
      </c>
      <c r="K837" s="25">
        <f>COUNTA(Table1[Employee_ID])</f>
        <v>1000</v>
      </c>
      <c r="L837" s="1">
        <f>SUM(Table1[Salary])</f>
        <v>3119391523.8580012</v>
      </c>
      <c r="M837" s="15">
        <f>AVERAGE(Table1[Salary])</f>
        <v>3119391.5238580015</v>
      </c>
      <c r="N837" s="29">
        <f>SUM(Table1[Bonus])</f>
        <v>308244983.02069992</v>
      </c>
    </row>
    <row r="838" spans="1:14" ht="12.75" customHeight="1" x14ac:dyDescent="0.25">
      <c r="A838" s="2">
        <v>800</v>
      </c>
      <c r="B838" s="10" t="s">
        <v>195</v>
      </c>
      <c r="C838" s="10" t="s">
        <v>1230</v>
      </c>
      <c r="D838" s="10" t="s">
        <v>21</v>
      </c>
      <c r="E838" s="10" t="s">
        <v>2</v>
      </c>
      <c r="F838" s="10" t="s">
        <v>60</v>
      </c>
      <c r="G838" s="10" t="s">
        <v>23</v>
      </c>
      <c r="H838" s="13">
        <v>4215767.87</v>
      </c>
      <c r="I838" s="15">
        <f>IF(Table1[[#This Row],[Salary]]&lt;1000000,Table1[[#This Row],[Salary]]*0.05,Table1[[#This Row],[Salary]]*0.1)</f>
        <v>421576.78700000001</v>
      </c>
      <c r="J838" s="15">
        <f>Table1[[#This Row],[Salary]]+Table1[[#This Row],[Bonus]]</f>
        <v>4637344.6569999997</v>
      </c>
      <c r="K838" s="25">
        <f>COUNTA(Table1[Employee_ID])</f>
        <v>1000</v>
      </c>
      <c r="L838" s="1">
        <f>SUM(Table1[Salary])</f>
        <v>3119391523.8580012</v>
      </c>
      <c r="M838" s="15">
        <f>AVERAGE(Table1[Salary])</f>
        <v>3119391.5238580015</v>
      </c>
      <c r="N838" s="29">
        <f>SUM(Table1[Bonus])</f>
        <v>308244983.02069992</v>
      </c>
    </row>
    <row r="839" spans="1:14" ht="12.75" customHeight="1" x14ac:dyDescent="0.25">
      <c r="A839" s="2">
        <v>801</v>
      </c>
      <c r="B839" s="10" t="s">
        <v>1231</v>
      </c>
      <c r="C839" s="10" t="s">
        <v>1222</v>
      </c>
      <c r="D839" s="10" t="s">
        <v>46</v>
      </c>
      <c r="E839" s="10" t="s">
        <v>27</v>
      </c>
      <c r="F839" s="10" t="s">
        <v>85</v>
      </c>
      <c r="G839" s="10" t="s">
        <v>48</v>
      </c>
      <c r="H839" s="13">
        <v>3904969.4040000001</v>
      </c>
      <c r="I839" s="15">
        <f>IF(Table1[[#This Row],[Salary]]&lt;1000000,Table1[[#This Row],[Salary]]*0.05,Table1[[#This Row],[Salary]]*0.1)</f>
        <v>390496.94040000002</v>
      </c>
      <c r="J839" s="15">
        <f>Table1[[#This Row],[Salary]]+Table1[[#This Row],[Bonus]]</f>
        <v>4295466.3443999998</v>
      </c>
      <c r="K839" s="25">
        <f>COUNTA(Table1[Employee_ID])</f>
        <v>1000</v>
      </c>
      <c r="L839" s="1">
        <f>SUM(Table1[Salary])</f>
        <v>3119391523.8580012</v>
      </c>
      <c r="M839" s="15">
        <f>AVERAGE(Table1[Salary])</f>
        <v>3119391.5238580015</v>
      </c>
      <c r="N839" s="29">
        <f>SUM(Table1[Bonus])</f>
        <v>308244983.02069992</v>
      </c>
    </row>
    <row r="840" spans="1:14" ht="12.75" customHeight="1" x14ac:dyDescent="0.25">
      <c r="A840" s="2">
        <v>802</v>
      </c>
      <c r="B840" s="10" t="s">
        <v>1232</v>
      </c>
      <c r="C840" s="10" t="s">
        <v>1233</v>
      </c>
      <c r="D840" s="10" t="s">
        <v>59</v>
      </c>
      <c r="E840" s="10" t="s">
        <v>6</v>
      </c>
      <c r="F840" s="10" t="s">
        <v>123</v>
      </c>
      <c r="G840" s="10" t="s">
        <v>56</v>
      </c>
      <c r="H840" s="13">
        <v>1494028.872</v>
      </c>
      <c r="I840" s="15">
        <f>IF(Table1[[#This Row],[Salary]]&lt;1000000,Table1[[#This Row],[Salary]]*0.05,Table1[[#This Row],[Salary]]*0.1)</f>
        <v>149402.8872</v>
      </c>
      <c r="J840" s="15">
        <f>Table1[[#This Row],[Salary]]+Table1[[#This Row],[Bonus]]</f>
        <v>1643431.7592</v>
      </c>
      <c r="K840" s="25">
        <f>COUNTA(Table1[Employee_ID])</f>
        <v>1000</v>
      </c>
      <c r="L840" s="1">
        <f>SUM(Table1[Salary])</f>
        <v>3119391523.8580012</v>
      </c>
      <c r="M840" s="15">
        <f>AVERAGE(Table1[Salary])</f>
        <v>3119391.5238580015</v>
      </c>
      <c r="N840" s="29">
        <f>SUM(Table1[Bonus])</f>
        <v>308244983.02069992</v>
      </c>
    </row>
    <row r="841" spans="1:14" ht="12.75" customHeight="1" x14ac:dyDescent="0.25">
      <c r="A841" s="2">
        <v>804</v>
      </c>
      <c r="B841" s="10" t="s">
        <v>400</v>
      </c>
      <c r="C841" s="10" t="s">
        <v>1236</v>
      </c>
      <c r="D841" s="10" t="s">
        <v>77</v>
      </c>
      <c r="E841" s="10" t="s">
        <v>33</v>
      </c>
      <c r="F841" s="10" t="s">
        <v>47</v>
      </c>
      <c r="G841" s="10" t="s">
        <v>71</v>
      </c>
      <c r="H841" s="13">
        <v>1270773.686</v>
      </c>
      <c r="I841" s="15">
        <f>IF(Table1[[#This Row],[Salary]]&lt;1000000,Table1[[#This Row],[Salary]]*0.05,Table1[[#This Row],[Salary]]*0.1)</f>
        <v>127077.3686</v>
      </c>
      <c r="J841" s="15">
        <f>Table1[[#This Row],[Salary]]+Table1[[#This Row],[Bonus]]</f>
        <v>1397851.0545999999</v>
      </c>
      <c r="K841" s="25">
        <f>COUNTA(Table1[Employee_ID])</f>
        <v>1000</v>
      </c>
      <c r="L841" s="1">
        <f>SUM(Table1[Salary])</f>
        <v>3119391523.8580012</v>
      </c>
      <c r="M841" s="15">
        <f>AVERAGE(Table1[Salary])</f>
        <v>3119391.5238580015</v>
      </c>
      <c r="N841" s="29">
        <f>SUM(Table1[Bonus])</f>
        <v>308244983.02069992</v>
      </c>
    </row>
    <row r="842" spans="1:14" ht="12.75" customHeight="1" x14ac:dyDescent="0.25">
      <c r="A842" s="2">
        <v>805</v>
      </c>
      <c r="B842" s="10" t="s">
        <v>1237</v>
      </c>
      <c r="C842" s="10" t="s">
        <v>1238</v>
      </c>
      <c r="D842" s="10" t="s">
        <v>21</v>
      </c>
      <c r="E842" s="10" t="s">
        <v>39</v>
      </c>
      <c r="F842" s="10" t="s">
        <v>189</v>
      </c>
      <c r="G842" s="10" t="s">
        <v>71</v>
      </c>
      <c r="H842" s="13">
        <v>3190177.59</v>
      </c>
      <c r="I842" s="15">
        <f>IF(Table1[[#This Row],[Salary]]&lt;1000000,Table1[[#This Row],[Salary]]*0.05,Table1[[#This Row],[Salary]]*0.1)</f>
        <v>319017.75900000002</v>
      </c>
      <c r="J842" s="15">
        <f>Table1[[#This Row],[Salary]]+Table1[[#This Row],[Bonus]]</f>
        <v>3509195.3489999999</v>
      </c>
      <c r="K842" s="25">
        <f>COUNTA(Table1[Employee_ID])</f>
        <v>1000</v>
      </c>
      <c r="L842" s="1">
        <f>SUM(Table1[Salary])</f>
        <v>3119391523.8580012</v>
      </c>
      <c r="M842" s="15">
        <f>AVERAGE(Table1[Salary])</f>
        <v>3119391.5238580015</v>
      </c>
      <c r="N842" s="29">
        <f>SUM(Table1[Bonus])</f>
        <v>308244983.02069992</v>
      </c>
    </row>
    <row r="843" spans="1:14" ht="12.75" customHeight="1" x14ac:dyDescent="0.25">
      <c r="A843" s="2">
        <v>806</v>
      </c>
      <c r="B843" s="10" t="s">
        <v>173</v>
      </c>
      <c r="C843" s="10" t="s">
        <v>1239</v>
      </c>
      <c r="D843" s="10" t="s">
        <v>59</v>
      </c>
      <c r="E843" s="10" t="s">
        <v>6</v>
      </c>
      <c r="F843" s="10" t="s">
        <v>144</v>
      </c>
      <c r="G843" s="10" t="s">
        <v>29</v>
      </c>
      <c r="H843" s="13">
        <v>2283126.3679999998</v>
      </c>
      <c r="I843" s="15">
        <f>IF(Table1[[#This Row],[Salary]]&lt;1000000,Table1[[#This Row],[Salary]]*0.05,Table1[[#This Row],[Salary]]*0.1)</f>
        <v>228312.63679999998</v>
      </c>
      <c r="J843" s="15">
        <f>Table1[[#This Row],[Salary]]+Table1[[#This Row],[Bonus]]</f>
        <v>2511439.0047999998</v>
      </c>
      <c r="K843" s="25">
        <f>COUNTA(Table1[Employee_ID])</f>
        <v>1000</v>
      </c>
      <c r="L843" s="1">
        <f>SUM(Table1[Salary])</f>
        <v>3119391523.8580012</v>
      </c>
      <c r="M843" s="15">
        <f>AVERAGE(Table1[Salary])</f>
        <v>3119391.5238580015</v>
      </c>
      <c r="N843" s="29">
        <f>SUM(Table1[Bonus])</f>
        <v>308244983.02069992</v>
      </c>
    </row>
    <row r="844" spans="1:14" ht="12.75" customHeight="1" x14ac:dyDescent="0.25">
      <c r="A844" s="2">
        <v>807</v>
      </c>
      <c r="B844" s="10" t="s">
        <v>764</v>
      </c>
      <c r="C844" s="10" t="s">
        <v>1240</v>
      </c>
      <c r="D844" s="10" t="s">
        <v>21</v>
      </c>
      <c r="E844" s="10" t="s">
        <v>14</v>
      </c>
      <c r="F844" s="10" t="s">
        <v>51</v>
      </c>
      <c r="G844" s="10" t="s">
        <v>23</v>
      </c>
      <c r="H844" s="13">
        <v>2916389.13</v>
      </c>
      <c r="I844" s="15">
        <f>IF(Table1[[#This Row],[Salary]]&lt;1000000,Table1[[#This Row],[Salary]]*0.05,Table1[[#This Row],[Salary]]*0.1)</f>
        <v>291638.913</v>
      </c>
      <c r="J844" s="15">
        <f>Table1[[#This Row],[Salary]]+Table1[[#This Row],[Bonus]]</f>
        <v>3208028.0430000001</v>
      </c>
      <c r="K844" s="25">
        <f>COUNTA(Table1[Employee_ID])</f>
        <v>1000</v>
      </c>
      <c r="L844" s="1">
        <f>SUM(Table1[Salary])</f>
        <v>3119391523.8580012</v>
      </c>
      <c r="M844" s="15">
        <f>AVERAGE(Table1[Salary])</f>
        <v>3119391.5238580015</v>
      </c>
      <c r="N844" s="29">
        <f>SUM(Table1[Bonus])</f>
        <v>308244983.02069992</v>
      </c>
    </row>
    <row r="845" spans="1:14" ht="12.75" customHeight="1" x14ac:dyDescent="0.25">
      <c r="A845" s="2">
        <v>808</v>
      </c>
      <c r="B845" s="10" t="s">
        <v>1241</v>
      </c>
      <c r="C845" s="10" t="s">
        <v>392</v>
      </c>
      <c r="D845" s="10" t="s">
        <v>88</v>
      </c>
      <c r="E845" s="10" t="s">
        <v>6</v>
      </c>
      <c r="F845" s="10" t="s">
        <v>74</v>
      </c>
      <c r="G845" s="10" t="s">
        <v>23</v>
      </c>
      <c r="H845" s="13">
        <v>2011229.16</v>
      </c>
      <c r="I845" s="15">
        <f>IF(Table1[[#This Row],[Salary]]&lt;1000000,Table1[[#This Row],[Salary]]*0.05,Table1[[#This Row],[Salary]]*0.1)</f>
        <v>201122.916</v>
      </c>
      <c r="J845" s="15">
        <f>Table1[[#This Row],[Salary]]+Table1[[#This Row],[Bonus]]</f>
        <v>2212352.0759999999</v>
      </c>
      <c r="K845" s="25">
        <f>COUNTA(Table1[Employee_ID])</f>
        <v>1000</v>
      </c>
      <c r="L845" s="1">
        <f>SUM(Table1[Salary])</f>
        <v>3119391523.8580012</v>
      </c>
      <c r="M845" s="15">
        <f>AVERAGE(Table1[Salary])</f>
        <v>3119391.5238580015</v>
      </c>
      <c r="N845" s="29">
        <f>SUM(Table1[Bonus])</f>
        <v>308244983.02069992</v>
      </c>
    </row>
    <row r="846" spans="1:14" ht="12.75" customHeight="1" x14ac:dyDescent="0.25">
      <c r="A846" s="2">
        <v>810</v>
      </c>
      <c r="B846" s="10" t="s">
        <v>489</v>
      </c>
      <c r="C846" s="10" t="s">
        <v>1244</v>
      </c>
      <c r="D846" s="10" t="s">
        <v>54</v>
      </c>
      <c r="E846" s="10" t="s">
        <v>2</v>
      </c>
      <c r="F846" s="10" t="s">
        <v>74</v>
      </c>
      <c r="G846" s="10" t="s">
        <v>71</v>
      </c>
      <c r="H846" s="13">
        <v>4503001.4759999998</v>
      </c>
      <c r="I846" s="15">
        <f>IF(Table1[[#This Row],[Salary]]&lt;1000000,Table1[[#This Row],[Salary]]*0.05,Table1[[#This Row],[Salary]]*0.1)</f>
        <v>450300.14760000003</v>
      </c>
      <c r="J846" s="15">
        <f>Table1[[#This Row],[Salary]]+Table1[[#This Row],[Bonus]]</f>
        <v>4953301.6235999996</v>
      </c>
      <c r="K846" s="25">
        <f>COUNTA(Table1[Employee_ID])</f>
        <v>1000</v>
      </c>
      <c r="L846" s="1">
        <f>SUM(Table1[Salary])</f>
        <v>3119391523.8580012</v>
      </c>
      <c r="M846" s="15">
        <f>AVERAGE(Table1[Salary])</f>
        <v>3119391.5238580015</v>
      </c>
      <c r="N846" s="29">
        <f>SUM(Table1[Bonus])</f>
        <v>308244983.02069992</v>
      </c>
    </row>
    <row r="847" spans="1:14" ht="12.75" customHeight="1" x14ac:dyDescent="0.25">
      <c r="A847" s="2">
        <v>811</v>
      </c>
      <c r="B847" s="10" t="s">
        <v>936</v>
      </c>
      <c r="C847" s="10" t="s">
        <v>1245</v>
      </c>
      <c r="D847" s="10" t="s">
        <v>96</v>
      </c>
      <c r="E847" s="10" t="s">
        <v>14</v>
      </c>
      <c r="F847" s="10" t="s">
        <v>222</v>
      </c>
      <c r="G847" s="10" t="s">
        <v>71</v>
      </c>
      <c r="H847" s="13">
        <v>1171378.0160000001</v>
      </c>
      <c r="I847" s="15">
        <f>IF(Table1[[#This Row],[Salary]]&lt;1000000,Table1[[#This Row],[Salary]]*0.05,Table1[[#This Row],[Salary]]*0.1)</f>
        <v>117137.80160000001</v>
      </c>
      <c r="J847" s="15">
        <f>Table1[[#This Row],[Salary]]+Table1[[#This Row],[Bonus]]</f>
        <v>1288515.8176000002</v>
      </c>
      <c r="K847" s="25">
        <f>COUNTA(Table1[Employee_ID])</f>
        <v>1000</v>
      </c>
      <c r="L847" s="1">
        <f>SUM(Table1[Salary])</f>
        <v>3119391523.8580012</v>
      </c>
      <c r="M847" s="15">
        <f>AVERAGE(Table1[Salary])</f>
        <v>3119391.5238580015</v>
      </c>
      <c r="N847" s="29">
        <f>SUM(Table1[Bonus])</f>
        <v>308244983.02069992</v>
      </c>
    </row>
    <row r="848" spans="1:14" ht="12.75" customHeight="1" x14ac:dyDescent="0.25">
      <c r="A848" s="2">
        <v>812</v>
      </c>
      <c r="B848" s="10" t="s">
        <v>1246</v>
      </c>
      <c r="C848" s="10" t="s">
        <v>360</v>
      </c>
      <c r="D848" s="10" t="s">
        <v>99</v>
      </c>
      <c r="E848" s="10" t="s">
        <v>33</v>
      </c>
      <c r="F848" s="10" t="s">
        <v>55</v>
      </c>
      <c r="G848" s="10" t="s">
        <v>29</v>
      </c>
      <c r="H848" s="13">
        <v>3060878.6839999999</v>
      </c>
      <c r="I848" s="15">
        <f>IF(Table1[[#This Row],[Salary]]&lt;1000000,Table1[[#This Row],[Salary]]*0.05,Table1[[#This Row],[Salary]]*0.1)</f>
        <v>306087.86839999998</v>
      </c>
      <c r="J848" s="15">
        <f>Table1[[#This Row],[Salary]]+Table1[[#This Row],[Bonus]]</f>
        <v>3366966.5523999999</v>
      </c>
      <c r="K848" s="25">
        <f>COUNTA(Table1[Employee_ID])</f>
        <v>1000</v>
      </c>
      <c r="L848" s="1">
        <f>SUM(Table1[Salary])</f>
        <v>3119391523.8580012</v>
      </c>
      <c r="M848" s="15">
        <f>AVERAGE(Table1[Salary])</f>
        <v>3119391.5238580015</v>
      </c>
      <c r="N848" s="29">
        <f>SUM(Table1[Bonus])</f>
        <v>308244983.02069992</v>
      </c>
    </row>
    <row r="849" spans="1:14" ht="12.75" customHeight="1" x14ac:dyDescent="0.25">
      <c r="A849" s="2">
        <v>813</v>
      </c>
      <c r="B849" s="10" t="s">
        <v>1247</v>
      </c>
      <c r="C849" s="10" t="s">
        <v>1248</v>
      </c>
      <c r="D849" s="10" t="s">
        <v>96</v>
      </c>
      <c r="E849" s="10" t="s">
        <v>13</v>
      </c>
      <c r="F849" s="10" t="s">
        <v>43</v>
      </c>
      <c r="G849" s="10" t="s">
        <v>71</v>
      </c>
      <c r="H849" s="13">
        <v>357395.74799999996</v>
      </c>
      <c r="I849" s="15">
        <f>IF(Table1[[#This Row],[Salary]]&lt;1000000,Table1[[#This Row],[Salary]]*0.05,Table1[[#This Row],[Salary]]*0.1)</f>
        <v>17869.787399999997</v>
      </c>
      <c r="J849" s="15">
        <f>Table1[[#This Row],[Salary]]+Table1[[#This Row],[Bonus]]</f>
        <v>375265.53539999994</v>
      </c>
      <c r="K849" s="25">
        <f>COUNTA(Table1[Employee_ID])</f>
        <v>1000</v>
      </c>
      <c r="L849" s="1">
        <f>SUM(Table1[Salary])</f>
        <v>3119391523.8580012</v>
      </c>
      <c r="M849" s="15">
        <f>AVERAGE(Table1[Salary])</f>
        <v>3119391.5238580015</v>
      </c>
      <c r="N849" s="29">
        <f>SUM(Table1[Bonus])</f>
        <v>308244983.02069992</v>
      </c>
    </row>
    <row r="850" spans="1:14" ht="12.75" customHeight="1" x14ac:dyDescent="0.25">
      <c r="A850" s="2">
        <v>814</v>
      </c>
      <c r="B850" s="10" t="s">
        <v>1249</v>
      </c>
      <c r="C850" s="10" t="s">
        <v>300</v>
      </c>
      <c r="D850" s="10" t="s">
        <v>105</v>
      </c>
      <c r="E850" s="10" t="s">
        <v>63</v>
      </c>
      <c r="F850" s="10" t="s">
        <v>113</v>
      </c>
      <c r="G850" s="10" t="s">
        <v>48</v>
      </c>
      <c r="H850" s="13">
        <v>2770085.28</v>
      </c>
      <c r="I850" s="15">
        <f>IF(Table1[[#This Row],[Salary]]&lt;1000000,Table1[[#This Row],[Salary]]*0.05,Table1[[#This Row],[Salary]]*0.1)</f>
        <v>277008.52799999999</v>
      </c>
      <c r="J850" s="15">
        <f>Table1[[#This Row],[Salary]]+Table1[[#This Row],[Bonus]]</f>
        <v>3047093.8079999997</v>
      </c>
      <c r="K850" s="25">
        <f>COUNTA(Table1[Employee_ID])</f>
        <v>1000</v>
      </c>
      <c r="L850" s="1">
        <f>SUM(Table1[Salary])</f>
        <v>3119391523.8580012</v>
      </c>
      <c r="M850" s="15">
        <f>AVERAGE(Table1[Salary])</f>
        <v>3119391.5238580015</v>
      </c>
      <c r="N850" s="29">
        <f>SUM(Table1[Bonus])</f>
        <v>308244983.02069992</v>
      </c>
    </row>
    <row r="851" spans="1:14" ht="12.75" customHeight="1" x14ac:dyDescent="0.25">
      <c r="A851" s="2">
        <v>815</v>
      </c>
      <c r="B851" s="10" t="s">
        <v>232</v>
      </c>
      <c r="C851" s="10" t="s">
        <v>1250</v>
      </c>
      <c r="D851" s="10" t="s">
        <v>54</v>
      </c>
      <c r="E851" s="10" t="s">
        <v>27</v>
      </c>
      <c r="F851" s="10" t="s">
        <v>106</v>
      </c>
      <c r="G851" s="10" t="s">
        <v>56</v>
      </c>
      <c r="H851" s="13">
        <v>5631694.1399999997</v>
      </c>
      <c r="I851" s="15">
        <f>IF(Table1[[#This Row],[Salary]]&lt;1000000,Table1[[#This Row],[Salary]]*0.05,Table1[[#This Row],[Salary]]*0.1)</f>
        <v>563169.41399999999</v>
      </c>
      <c r="J851" s="15">
        <f>Table1[[#This Row],[Salary]]+Table1[[#This Row],[Bonus]]</f>
        <v>6194863.5539999995</v>
      </c>
      <c r="K851" s="25">
        <f>COUNTA(Table1[Employee_ID])</f>
        <v>1000</v>
      </c>
      <c r="L851" s="1">
        <f>SUM(Table1[Salary])</f>
        <v>3119391523.8580012</v>
      </c>
      <c r="M851" s="15">
        <f>AVERAGE(Table1[Salary])</f>
        <v>3119391.5238580015</v>
      </c>
      <c r="N851" s="29">
        <f>SUM(Table1[Bonus])</f>
        <v>308244983.02069992</v>
      </c>
    </row>
    <row r="852" spans="1:14" ht="12.75" customHeight="1" x14ac:dyDescent="0.25">
      <c r="A852" s="2">
        <v>816</v>
      </c>
      <c r="B852" s="10" t="s">
        <v>1251</v>
      </c>
      <c r="C852" s="10" t="s">
        <v>1252</v>
      </c>
      <c r="D852" s="10" t="s">
        <v>112</v>
      </c>
      <c r="E852" s="10" t="s">
        <v>27</v>
      </c>
      <c r="F852" s="10" t="s">
        <v>28</v>
      </c>
      <c r="G852" s="10" t="s">
        <v>23</v>
      </c>
      <c r="H852" s="13">
        <v>2314186.2760000001</v>
      </c>
      <c r="I852" s="15">
        <f>IF(Table1[[#This Row],[Salary]]&lt;1000000,Table1[[#This Row],[Salary]]*0.05,Table1[[#This Row],[Salary]]*0.1)</f>
        <v>231418.62760000001</v>
      </c>
      <c r="J852" s="15">
        <f>Table1[[#This Row],[Salary]]+Table1[[#This Row],[Bonus]]</f>
        <v>2545604.9035999998</v>
      </c>
      <c r="K852" s="25">
        <f>COUNTA(Table1[Employee_ID])</f>
        <v>1000</v>
      </c>
      <c r="L852" s="1">
        <f>SUM(Table1[Salary])</f>
        <v>3119391523.8580012</v>
      </c>
      <c r="M852" s="15">
        <f>AVERAGE(Table1[Salary])</f>
        <v>3119391.5238580015</v>
      </c>
      <c r="N852" s="29">
        <f>SUM(Table1[Bonus])</f>
        <v>308244983.02069992</v>
      </c>
    </row>
    <row r="853" spans="1:14" ht="12.75" customHeight="1" x14ac:dyDescent="0.25">
      <c r="A853" s="2">
        <v>817</v>
      </c>
      <c r="B853" s="10" t="s">
        <v>714</v>
      </c>
      <c r="C853" s="10" t="s">
        <v>72</v>
      </c>
      <c r="D853" s="10" t="s">
        <v>99</v>
      </c>
      <c r="E853" s="10" t="s">
        <v>27</v>
      </c>
      <c r="F853" s="10" t="s">
        <v>85</v>
      </c>
      <c r="G853" s="10" t="s">
        <v>71</v>
      </c>
      <c r="H853" s="13">
        <v>2005279.0619999999</v>
      </c>
      <c r="I853" s="15">
        <f>IF(Table1[[#This Row],[Salary]]&lt;1000000,Table1[[#This Row],[Salary]]*0.05,Table1[[#This Row],[Salary]]*0.1)</f>
        <v>200527.9062</v>
      </c>
      <c r="J853" s="15">
        <f>Table1[[#This Row],[Salary]]+Table1[[#This Row],[Bonus]]</f>
        <v>2205806.9682</v>
      </c>
      <c r="K853" s="25">
        <f>COUNTA(Table1[Employee_ID])</f>
        <v>1000</v>
      </c>
      <c r="L853" s="1">
        <f>SUM(Table1[Salary])</f>
        <v>3119391523.8580012</v>
      </c>
      <c r="M853" s="15">
        <f>AVERAGE(Table1[Salary])</f>
        <v>3119391.5238580015</v>
      </c>
      <c r="N853" s="29">
        <f>SUM(Table1[Bonus])</f>
        <v>308244983.02069992</v>
      </c>
    </row>
    <row r="854" spans="1:14" ht="12.75" customHeight="1" x14ac:dyDescent="0.25">
      <c r="A854" s="2">
        <v>818</v>
      </c>
      <c r="B854" s="10" t="s">
        <v>1246</v>
      </c>
      <c r="C854" s="10" t="s">
        <v>1253</v>
      </c>
      <c r="D854" s="10" t="s">
        <v>156</v>
      </c>
      <c r="E854" s="10" t="s">
        <v>27</v>
      </c>
      <c r="F854" s="10" t="s">
        <v>106</v>
      </c>
      <c r="G854" s="10" t="s">
        <v>29</v>
      </c>
      <c r="H854" s="13">
        <v>3056598.298</v>
      </c>
      <c r="I854" s="15">
        <f>IF(Table1[[#This Row],[Salary]]&lt;1000000,Table1[[#This Row],[Salary]]*0.05,Table1[[#This Row],[Salary]]*0.1)</f>
        <v>305659.82980000001</v>
      </c>
      <c r="J854" s="15">
        <f>Table1[[#This Row],[Salary]]+Table1[[#This Row],[Bonus]]</f>
        <v>3362258.1277999999</v>
      </c>
      <c r="K854" s="25">
        <f>COUNTA(Table1[Employee_ID])</f>
        <v>1000</v>
      </c>
      <c r="L854" s="1">
        <f>SUM(Table1[Salary])</f>
        <v>3119391523.8580012</v>
      </c>
      <c r="M854" s="15">
        <f>AVERAGE(Table1[Salary])</f>
        <v>3119391.5238580015</v>
      </c>
      <c r="N854" s="29">
        <f>SUM(Table1[Bonus])</f>
        <v>308244983.02069992</v>
      </c>
    </row>
    <row r="855" spans="1:14" ht="12.75" customHeight="1" x14ac:dyDescent="0.25">
      <c r="A855" s="2">
        <v>819</v>
      </c>
      <c r="B855" s="10" t="s">
        <v>1213</v>
      </c>
      <c r="C855" s="10" t="s">
        <v>1254</v>
      </c>
      <c r="D855" s="10" t="s">
        <v>125</v>
      </c>
      <c r="E855" s="10" t="s">
        <v>33</v>
      </c>
      <c r="F855" s="10" t="s">
        <v>34</v>
      </c>
      <c r="G855" s="10" t="s">
        <v>56</v>
      </c>
      <c r="H855" s="13">
        <v>2796028.78</v>
      </c>
      <c r="I855" s="15">
        <f>IF(Table1[[#This Row],[Salary]]&lt;1000000,Table1[[#This Row],[Salary]]*0.05,Table1[[#This Row],[Salary]]*0.1)</f>
        <v>279602.87799999997</v>
      </c>
      <c r="J855" s="15">
        <f>Table1[[#This Row],[Salary]]+Table1[[#This Row],[Bonus]]</f>
        <v>3075631.6579999998</v>
      </c>
      <c r="K855" s="25">
        <f>COUNTA(Table1[Employee_ID])</f>
        <v>1000</v>
      </c>
      <c r="L855" s="1">
        <f>SUM(Table1[Salary])</f>
        <v>3119391523.8580012</v>
      </c>
      <c r="M855" s="15">
        <f>AVERAGE(Table1[Salary])</f>
        <v>3119391.5238580015</v>
      </c>
      <c r="N855" s="29">
        <f>SUM(Table1[Bonus])</f>
        <v>308244983.02069992</v>
      </c>
    </row>
    <row r="856" spans="1:14" ht="12.75" customHeight="1" x14ac:dyDescent="0.25">
      <c r="A856" s="2">
        <v>824</v>
      </c>
      <c r="B856" s="10" t="s">
        <v>714</v>
      </c>
      <c r="C856" s="10" t="s">
        <v>442</v>
      </c>
      <c r="D856" s="10" t="s">
        <v>21</v>
      </c>
      <c r="E856" s="10" t="s">
        <v>27</v>
      </c>
      <c r="F856" s="10" t="s">
        <v>28</v>
      </c>
      <c r="G856" s="10" t="s">
        <v>56</v>
      </c>
      <c r="H856" s="13">
        <v>3946152.5239999997</v>
      </c>
      <c r="I856" s="15">
        <f>IF(Table1[[#This Row],[Salary]]&lt;1000000,Table1[[#This Row],[Salary]]*0.05,Table1[[#This Row],[Salary]]*0.1)</f>
        <v>394615.2524</v>
      </c>
      <c r="J856" s="15">
        <f>Table1[[#This Row],[Salary]]+Table1[[#This Row],[Bonus]]</f>
        <v>4340767.7763999999</v>
      </c>
      <c r="K856" s="25">
        <f>COUNTA(Table1[Employee_ID])</f>
        <v>1000</v>
      </c>
      <c r="L856" s="1">
        <f>SUM(Table1[Salary])</f>
        <v>3119391523.8580012</v>
      </c>
      <c r="M856" s="15">
        <f>AVERAGE(Table1[Salary])</f>
        <v>3119391.5238580015</v>
      </c>
      <c r="N856" s="29">
        <f>SUM(Table1[Bonus])</f>
        <v>308244983.02069992</v>
      </c>
    </row>
    <row r="857" spans="1:14" ht="12.75" customHeight="1" x14ac:dyDescent="0.25">
      <c r="A857" s="2">
        <v>826</v>
      </c>
      <c r="B857" s="10" t="s">
        <v>1257</v>
      </c>
      <c r="C857" s="10" t="s">
        <v>1258</v>
      </c>
      <c r="D857" s="10" t="s">
        <v>313</v>
      </c>
      <c r="E857" s="10" t="s">
        <v>6</v>
      </c>
      <c r="F857" s="10" t="s">
        <v>123</v>
      </c>
      <c r="G857" s="10" t="s">
        <v>29</v>
      </c>
      <c r="H857" s="13">
        <v>627047.24</v>
      </c>
      <c r="I857" s="15">
        <f>IF(Table1[[#This Row],[Salary]]&lt;1000000,Table1[[#This Row],[Salary]]*0.05,Table1[[#This Row],[Salary]]*0.1)</f>
        <v>31352.362000000001</v>
      </c>
      <c r="J857" s="15">
        <f>Table1[[#This Row],[Salary]]+Table1[[#This Row],[Bonus]]</f>
        <v>658399.60199999996</v>
      </c>
      <c r="K857" s="25">
        <f>COUNTA(Table1[Employee_ID])</f>
        <v>1000</v>
      </c>
      <c r="L857" s="1">
        <f>SUM(Table1[Salary])</f>
        <v>3119391523.8580012</v>
      </c>
      <c r="M857" s="15">
        <f>AVERAGE(Table1[Salary])</f>
        <v>3119391.5238580015</v>
      </c>
      <c r="N857" s="29">
        <f>SUM(Table1[Bonus])</f>
        <v>308244983.02069992</v>
      </c>
    </row>
    <row r="858" spans="1:14" ht="12.75" customHeight="1" x14ac:dyDescent="0.25">
      <c r="A858" s="2">
        <v>828</v>
      </c>
      <c r="B858" s="10" t="s">
        <v>263</v>
      </c>
      <c r="C858" s="10" t="s">
        <v>1255</v>
      </c>
      <c r="D858" s="10" t="s">
        <v>26</v>
      </c>
      <c r="E858" s="10" t="s">
        <v>2</v>
      </c>
      <c r="F858" s="10" t="s">
        <v>102</v>
      </c>
      <c r="G858" s="10" t="s">
        <v>29</v>
      </c>
      <c r="H858" s="13">
        <v>1073338.4040000001</v>
      </c>
      <c r="I858" s="15">
        <f>IF(Table1[[#This Row],[Salary]]&lt;1000000,Table1[[#This Row],[Salary]]*0.05,Table1[[#This Row],[Salary]]*0.1)</f>
        <v>107333.84040000002</v>
      </c>
      <c r="J858" s="15">
        <f>Table1[[#This Row],[Salary]]+Table1[[#This Row],[Bonus]]</f>
        <v>1180672.2444000002</v>
      </c>
      <c r="K858" s="25">
        <f>COUNTA(Table1[Employee_ID])</f>
        <v>1000</v>
      </c>
      <c r="L858" s="1">
        <f>SUM(Table1[Salary])</f>
        <v>3119391523.8580012</v>
      </c>
      <c r="M858" s="15">
        <f>AVERAGE(Table1[Salary])</f>
        <v>3119391.5238580015</v>
      </c>
      <c r="N858" s="29">
        <f>SUM(Table1[Bonus])</f>
        <v>308244983.02069992</v>
      </c>
    </row>
    <row r="859" spans="1:14" ht="12.75" customHeight="1" x14ac:dyDescent="0.25">
      <c r="A859" s="2">
        <v>829</v>
      </c>
      <c r="B859" s="10" t="s">
        <v>1000</v>
      </c>
      <c r="C859" s="10" t="s">
        <v>1253</v>
      </c>
      <c r="D859" s="10" t="s">
        <v>128</v>
      </c>
      <c r="E859" s="10" t="s">
        <v>33</v>
      </c>
      <c r="F859" s="10" t="s">
        <v>47</v>
      </c>
      <c r="G859" s="10" t="s">
        <v>29</v>
      </c>
      <c r="H859" s="13">
        <v>1860637.9280000001</v>
      </c>
      <c r="I859" s="15">
        <f>IF(Table1[[#This Row],[Salary]]&lt;1000000,Table1[[#This Row],[Salary]]*0.05,Table1[[#This Row],[Salary]]*0.1)</f>
        <v>186063.79280000002</v>
      </c>
      <c r="J859" s="15">
        <f>Table1[[#This Row],[Salary]]+Table1[[#This Row],[Bonus]]</f>
        <v>2046701.7208</v>
      </c>
      <c r="K859" s="25">
        <f>COUNTA(Table1[Employee_ID])</f>
        <v>1000</v>
      </c>
      <c r="L859" s="1">
        <f>SUM(Table1[Salary])</f>
        <v>3119391523.8580012</v>
      </c>
      <c r="M859" s="15">
        <f>AVERAGE(Table1[Salary])</f>
        <v>3119391.5238580015</v>
      </c>
      <c r="N859" s="29">
        <f>SUM(Table1[Bonus])</f>
        <v>308244983.02069992</v>
      </c>
    </row>
    <row r="860" spans="1:14" ht="12.75" customHeight="1" x14ac:dyDescent="0.25">
      <c r="A860" s="2">
        <v>830</v>
      </c>
      <c r="B860" s="10" t="s">
        <v>344</v>
      </c>
      <c r="C860" s="10" t="s">
        <v>1260</v>
      </c>
      <c r="D860" s="10" t="s">
        <v>118</v>
      </c>
      <c r="E860" s="10" t="s">
        <v>13</v>
      </c>
      <c r="F860" s="10" t="s">
        <v>67</v>
      </c>
      <c r="G860" s="10" t="s">
        <v>29</v>
      </c>
      <c r="H860" s="13">
        <v>1303597.7519999999</v>
      </c>
      <c r="I860" s="15">
        <f>IF(Table1[[#This Row],[Salary]]&lt;1000000,Table1[[#This Row],[Salary]]*0.05,Table1[[#This Row],[Salary]]*0.1)</f>
        <v>130359.77519999999</v>
      </c>
      <c r="J860" s="15">
        <f>Table1[[#This Row],[Salary]]+Table1[[#This Row],[Bonus]]</f>
        <v>1433957.5271999999</v>
      </c>
      <c r="K860" s="25">
        <f>COUNTA(Table1[Employee_ID])</f>
        <v>1000</v>
      </c>
      <c r="L860" s="1">
        <f>SUM(Table1[Salary])</f>
        <v>3119391523.8580012</v>
      </c>
      <c r="M860" s="15">
        <f>AVERAGE(Table1[Salary])</f>
        <v>3119391.5238580015</v>
      </c>
      <c r="N860" s="29">
        <f>SUM(Table1[Bonus])</f>
        <v>308244983.02069992</v>
      </c>
    </row>
    <row r="861" spans="1:14" ht="12.75" customHeight="1" x14ac:dyDescent="0.25">
      <c r="A861" s="2">
        <v>831</v>
      </c>
      <c r="B861" s="10" t="s">
        <v>251</v>
      </c>
      <c r="C861" s="10" t="s">
        <v>899</v>
      </c>
      <c r="D861" s="10" t="s">
        <v>324</v>
      </c>
      <c r="E861" s="10" t="s">
        <v>27</v>
      </c>
      <c r="F861" s="10" t="s">
        <v>85</v>
      </c>
      <c r="G861" s="10" t="s">
        <v>23</v>
      </c>
      <c r="H861" s="13">
        <v>2200312.3840000001</v>
      </c>
      <c r="I861" s="15">
        <f>IF(Table1[[#This Row],[Salary]]&lt;1000000,Table1[[#This Row],[Salary]]*0.05,Table1[[#This Row],[Salary]]*0.1)</f>
        <v>220031.23840000003</v>
      </c>
      <c r="J861" s="15">
        <f>Table1[[#This Row],[Salary]]+Table1[[#This Row],[Bonus]]</f>
        <v>2420343.6224000002</v>
      </c>
      <c r="K861" s="25">
        <f>COUNTA(Table1[Employee_ID])</f>
        <v>1000</v>
      </c>
      <c r="L861" s="1">
        <f>SUM(Table1[Salary])</f>
        <v>3119391523.8580012</v>
      </c>
      <c r="M861" s="15">
        <f>AVERAGE(Table1[Salary])</f>
        <v>3119391.5238580015</v>
      </c>
      <c r="N861" s="29">
        <f>SUM(Table1[Bonus])</f>
        <v>308244983.02069992</v>
      </c>
    </row>
    <row r="862" spans="1:14" ht="12.75" customHeight="1" x14ac:dyDescent="0.25">
      <c r="A862" s="2">
        <v>832</v>
      </c>
      <c r="B862" s="10" t="s">
        <v>1261</v>
      </c>
      <c r="C862" s="10" t="s">
        <v>1262</v>
      </c>
      <c r="D862" s="10" t="s">
        <v>143</v>
      </c>
      <c r="E862" s="10" t="s">
        <v>27</v>
      </c>
      <c r="F862" s="10" t="s">
        <v>106</v>
      </c>
      <c r="G862" s="10" t="s">
        <v>71</v>
      </c>
      <c r="H862" s="13">
        <v>1820511.2039999999</v>
      </c>
      <c r="I862" s="15">
        <f>IF(Table1[[#This Row],[Salary]]&lt;1000000,Table1[[#This Row],[Salary]]*0.05,Table1[[#This Row],[Salary]]*0.1)</f>
        <v>182051.12040000001</v>
      </c>
      <c r="J862" s="15">
        <f>Table1[[#This Row],[Salary]]+Table1[[#This Row],[Bonus]]</f>
        <v>2002562.3243999998</v>
      </c>
      <c r="K862" s="25">
        <f>COUNTA(Table1[Employee_ID])</f>
        <v>1000</v>
      </c>
      <c r="L862" s="1">
        <f>SUM(Table1[Salary])</f>
        <v>3119391523.8580012</v>
      </c>
      <c r="M862" s="15">
        <f>AVERAGE(Table1[Salary])</f>
        <v>3119391.5238580015</v>
      </c>
      <c r="N862" s="29">
        <f>SUM(Table1[Bonus])</f>
        <v>308244983.02069992</v>
      </c>
    </row>
    <row r="863" spans="1:14" ht="12.75" customHeight="1" x14ac:dyDescent="0.25">
      <c r="A863" s="2">
        <v>833</v>
      </c>
      <c r="B863" s="10" t="s">
        <v>1263</v>
      </c>
      <c r="C863" s="10" t="s">
        <v>1264</v>
      </c>
      <c r="D863" s="10" t="s">
        <v>21</v>
      </c>
      <c r="E863" s="10" t="s">
        <v>33</v>
      </c>
      <c r="F863" s="10" t="s">
        <v>55</v>
      </c>
      <c r="G863" s="10" t="s">
        <v>23</v>
      </c>
      <c r="H863" s="13">
        <v>4047895.352</v>
      </c>
      <c r="I863" s="15">
        <f>IF(Table1[[#This Row],[Salary]]&lt;1000000,Table1[[#This Row],[Salary]]*0.05,Table1[[#This Row],[Salary]]*0.1)</f>
        <v>404789.53520000004</v>
      </c>
      <c r="J863" s="15">
        <f>Table1[[#This Row],[Salary]]+Table1[[#This Row],[Bonus]]</f>
        <v>4452684.8871999998</v>
      </c>
      <c r="K863" s="25">
        <f>COUNTA(Table1[Employee_ID])</f>
        <v>1000</v>
      </c>
      <c r="L863" s="1">
        <f>SUM(Table1[Salary])</f>
        <v>3119391523.8580012</v>
      </c>
      <c r="M863" s="15">
        <f>AVERAGE(Table1[Salary])</f>
        <v>3119391.5238580015</v>
      </c>
      <c r="N863" s="29">
        <f>SUM(Table1[Bonus])</f>
        <v>308244983.02069992</v>
      </c>
    </row>
    <row r="864" spans="1:14" ht="12.75" customHeight="1" x14ac:dyDescent="0.25">
      <c r="A864" s="2">
        <v>834</v>
      </c>
      <c r="B864" s="10" t="s">
        <v>294</v>
      </c>
      <c r="C864" s="10" t="s">
        <v>1265</v>
      </c>
      <c r="D864" s="10" t="s">
        <v>26</v>
      </c>
      <c r="E864" s="10" t="s">
        <v>33</v>
      </c>
      <c r="F864" s="10" t="s">
        <v>34</v>
      </c>
      <c r="G864" s="10" t="s">
        <v>29</v>
      </c>
      <c r="H864" s="13">
        <v>4726133.0659999996</v>
      </c>
      <c r="I864" s="15">
        <f>IF(Table1[[#This Row],[Salary]]&lt;1000000,Table1[[#This Row],[Salary]]*0.05,Table1[[#This Row],[Salary]]*0.1)</f>
        <v>472613.30660000001</v>
      </c>
      <c r="J864" s="15">
        <f>Table1[[#This Row],[Salary]]+Table1[[#This Row],[Bonus]]</f>
        <v>5198746.3725999994</v>
      </c>
      <c r="K864" s="25">
        <f>COUNTA(Table1[Employee_ID])</f>
        <v>1000</v>
      </c>
      <c r="L864" s="1">
        <f>SUM(Table1[Salary])</f>
        <v>3119391523.8580012</v>
      </c>
      <c r="M864" s="15">
        <f>AVERAGE(Table1[Salary])</f>
        <v>3119391.5238580015</v>
      </c>
      <c r="N864" s="29">
        <f>SUM(Table1[Bonus])</f>
        <v>308244983.02069992</v>
      </c>
    </row>
    <row r="865" spans="1:14" ht="12.75" customHeight="1" x14ac:dyDescent="0.25">
      <c r="A865" s="2">
        <v>836</v>
      </c>
      <c r="B865" s="10" t="s">
        <v>1267</v>
      </c>
      <c r="C865" s="10" t="s">
        <v>1268</v>
      </c>
      <c r="D865" s="10" t="s">
        <v>38</v>
      </c>
      <c r="E865" s="10" t="s">
        <v>14</v>
      </c>
      <c r="F865" s="10" t="s">
        <v>234</v>
      </c>
      <c r="G865" s="10" t="s">
        <v>29</v>
      </c>
      <c r="H865" s="13">
        <v>1670325.74</v>
      </c>
      <c r="I865" s="15">
        <f>IF(Table1[[#This Row],[Salary]]&lt;1000000,Table1[[#This Row],[Salary]]*0.05,Table1[[#This Row],[Salary]]*0.1)</f>
        <v>167032.57400000002</v>
      </c>
      <c r="J865" s="15">
        <f>Table1[[#This Row],[Salary]]+Table1[[#This Row],[Bonus]]</f>
        <v>1837358.314</v>
      </c>
      <c r="K865" s="25">
        <f>COUNTA(Table1[Employee_ID])</f>
        <v>1000</v>
      </c>
      <c r="L865" s="1">
        <f>SUM(Table1[Salary])</f>
        <v>3119391523.8580012</v>
      </c>
      <c r="M865" s="15">
        <f>AVERAGE(Table1[Salary])</f>
        <v>3119391.5238580015</v>
      </c>
      <c r="N865" s="29">
        <f>SUM(Table1[Bonus])</f>
        <v>308244983.02069992</v>
      </c>
    </row>
    <row r="866" spans="1:14" ht="12.75" customHeight="1" x14ac:dyDescent="0.25">
      <c r="A866" s="2">
        <v>837</v>
      </c>
      <c r="B866" s="10" t="s">
        <v>1269</v>
      </c>
      <c r="C866" s="10" t="s">
        <v>1055</v>
      </c>
      <c r="D866" s="10" t="s">
        <v>32</v>
      </c>
      <c r="E866" s="10" t="s">
        <v>10</v>
      </c>
      <c r="F866" s="10" t="s">
        <v>109</v>
      </c>
      <c r="G866" s="10" t="s">
        <v>56</v>
      </c>
      <c r="H866" s="13">
        <v>351044.54599999997</v>
      </c>
      <c r="I866" s="15">
        <f>IF(Table1[[#This Row],[Salary]]&lt;1000000,Table1[[#This Row],[Salary]]*0.05,Table1[[#This Row],[Salary]]*0.1)</f>
        <v>17552.227299999999</v>
      </c>
      <c r="J866" s="15">
        <f>Table1[[#This Row],[Salary]]+Table1[[#This Row],[Bonus]]</f>
        <v>368596.7733</v>
      </c>
      <c r="K866" s="25">
        <f>COUNTA(Table1[Employee_ID])</f>
        <v>1000</v>
      </c>
      <c r="L866" s="1">
        <f>SUM(Table1[Salary])</f>
        <v>3119391523.8580012</v>
      </c>
      <c r="M866" s="15">
        <f>AVERAGE(Table1[Salary])</f>
        <v>3119391.5238580015</v>
      </c>
      <c r="N866" s="29">
        <f>SUM(Table1[Bonus])</f>
        <v>308244983.02069992</v>
      </c>
    </row>
    <row r="867" spans="1:14" ht="12.75" customHeight="1" x14ac:dyDescent="0.25">
      <c r="A867" s="2">
        <v>838</v>
      </c>
      <c r="B867" s="10" t="s">
        <v>1270</v>
      </c>
      <c r="C867" s="10" t="s">
        <v>442</v>
      </c>
      <c r="D867" s="10" t="s">
        <v>46</v>
      </c>
      <c r="E867" s="10" t="s">
        <v>63</v>
      </c>
      <c r="F867" s="10" t="s">
        <v>131</v>
      </c>
      <c r="G867" s="10" t="s">
        <v>35</v>
      </c>
      <c r="H867" s="13">
        <v>5130443.5659999996</v>
      </c>
      <c r="I867" s="15">
        <f>IF(Table1[[#This Row],[Salary]]&lt;1000000,Table1[[#This Row],[Salary]]*0.05,Table1[[#This Row],[Salary]]*0.1)</f>
        <v>513044.3566</v>
      </c>
      <c r="J867" s="15">
        <f>Table1[[#This Row],[Salary]]+Table1[[#This Row],[Bonus]]</f>
        <v>5643487.9225999992</v>
      </c>
      <c r="K867" s="25">
        <f>COUNTA(Table1[Employee_ID])</f>
        <v>1000</v>
      </c>
      <c r="L867" s="1">
        <f>SUM(Table1[Salary])</f>
        <v>3119391523.8580012</v>
      </c>
      <c r="M867" s="15">
        <f>AVERAGE(Table1[Salary])</f>
        <v>3119391.5238580015</v>
      </c>
      <c r="N867" s="29">
        <f>SUM(Table1[Bonus])</f>
        <v>308244983.02069992</v>
      </c>
    </row>
    <row r="868" spans="1:14" ht="12.75" customHeight="1" x14ac:dyDescent="0.25">
      <c r="A868" s="2">
        <v>842</v>
      </c>
      <c r="B868" s="10" t="s">
        <v>1269</v>
      </c>
      <c r="C868" s="10" t="s">
        <v>1275</v>
      </c>
      <c r="D868" s="10" t="s">
        <v>21</v>
      </c>
      <c r="E868" s="10" t="s">
        <v>33</v>
      </c>
      <c r="F868" s="10" t="s">
        <v>47</v>
      </c>
      <c r="G868" s="10" t="s">
        <v>35</v>
      </c>
      <c r="H868" s="13">
        <v>930961.64199999999</v>
      </c>
      <c r="I868" s="15">
        <f>IF(Table1[[#This Row],[Salary]]&lt;1000000,Table1[[#This Row],[Salary]]*0.05,Table1[[#This Row],[Salary]]*0.1)</f>
        <v>46548.0821</v>
      </c>
      <c r="J868" s="15">
        <f>Table1[[#This Row],[Salary]]+Table1[[#This Row],[Bonus]]</f>
        <v>977509.72409999999</v>
      </c>
      <c r="K868" s="25">
        <f>COUNTA(Table1[Employee_ID])</f>
        <v>1000</v>
      </c>
      <c r="L868" s="1">
        <f>SUM(Table1[Salary])</f>
        <v>3119391523.8580012</v>
      </c>
      <c r="M868" s="15">
        <f>AVERAGE(Table1[Salary])</f>
        <v>3119391.5238580015</v>
      </c>
      <c r="N868" s="29">
        <f>SUM(Table1[Bonus])</f>
        <v>308244983.02069992</v>
      </c>
    </row>
    <row r="869" spans="1:14" ht="12.75" customHeight="1" x14ac:dyDescent="0.25">
      <c r="A869" s="2">
        <v>843</v>
      </c>
      <c r="B869" s="10" t="s">
        <v>598</v>
      </c>
      <c r="C869" s="10" t="s">
        <v>721</v>
      </c>
      <c r="D869" s="10" t="s">
        <v>46</v>
      </c>
      <c r="E869" s="10" t="s">
        <v>6</v>
      </c>
      <c r="F869" s="10" t="s">
        <v>144</v>
      </c>
      <c r="G869" s="10" t="s">
        <v>35</v>
      </c>
      <c r="H869" s="13">
        <v>4013302.4639999997</v>
      </c>
      <c r="I869" s="15">
        <f>IF(Table1[[#This Row],[Salary]]&lt;1000000,Table1[[#This Row],[Salary]]*0.05,Table1[[#This Row],[Salary]]*0.1)</f>
        <v>401330.2464</v>
      </c>
      <c r="J869" s="15">
        <f>Table1[[#This Row],[Salary]]+Table1[[#This Row],[Bonus]]</f>
        <v>4414632.7103999993</v>
      </c>
      <c r="K869" s="25">
        <f>COUNTA(Table1[Employee_ID])</f>
        <v>1000</v>
      </c>
      <c r="L869" s="1">
        <f>SUM(Table1[Salary])</f>
        <v>3119391523.8580012</v>
      </c>
      <c r="M869" s="15">
        <f>AVERAGE(Table1[Salary])</f>
        <v>3119391.5238580015</v>
      </c>
      <c r="N869" s="29">
        <f>SUM(Table1[Bonus])</f>
        <v>308244983.02069992</v>
      </c>
    </row>
    <row r="870" spans="1:14" ht="12.75" customHeight="1" x14ac:dyDescent="0.25">
      <c r="A870" s="2">
        <v>844</v>
      </c>
      <c r="B870" s="10" t="s">
        <v>1276</v>
      </c>
      <c r="C870" s="10" t="s">
        <v>1277</v>
      </c>
      <c r="D870" s="10" t="s">
        <v>59</v>
      </c>
      <c r="E870" s="10" t="s">
        <v>33</v>
      </c>
      <c r="F870" s="10" t="s">
        <v>55</v>
      </c>
      <c r="G870" s="10" t="s">
        <v>23</v>
      </c>
      <c r="H870" s="13">
        <v>5136764.4520000005</v>
      </c>
      <c r="I870" s="15">
        <f>IF(Table1[[#This Row],[Salary]]&lt;1000000,Table1[[#This Row],[Salary]]*0.05,Table1[[#This Row],[Salary]]*0.1)</f>
        <v>513676.44520000007</v>
      </c>
      <c r="J870" s="15">
        <f>Table1[[#This Row],[Salary]]+Table1[[#This Row],[Bonus]]</f>
        <v>5650440.8972000005</v>
      </c>
      <c r="K870" s="25">
        <f>COUNTA(Table1[Employee_ID])</f>
        <v>1000</v>
      </c>
      <c r="L870" s="1">
        <f>SUM(Table1[Salary])</f>
        <v>3119391523.8580012</v>
      </c>
      <c r="M870" s="15">
        <f>AVERAGE(Table1[Salary])</f>
        <v>3119391.5238580015</v>
      </c>
      <c r="N870" s="29">
        <f>SUM(Table1[Bonus])</f>
        <v>308244983.02069992</v>
      </c>
    </row>
    <row r="871" spans="1:14" ht="12.75" customHeight="1" x14ac:dyDescent="0.25">
      <c r="A871" s="2">
        <v>845</v>
      </c>
      <c r="B871" s="10" t="s">
        <v>1278</v>
      </c>
      <c r="C871" s="10" t="s">
        <v>1279</v>
      </c>
      <c r="D871" s="10" t="s">
        <v>46</v>
      </c>
      <c r="E871" s="10" t="s">
        <v>10</v>
      </c>
      <c r="F871" s="10" t="s">
        <v>131</v>
      </c>
      <c r="G871" s="10" t="s">
        <v>29</v>
      </c>
      <c r="H871" s="13">
        <v>5415031.5180000002</v>
      </c>
      <c r="I871" s="15">
        <f>IF(Table1[[#This Row],[Salary]]&lt;1000000,Table1[[#This Row],[Salary]]*0.05,Table1[[#This Row],[Salary]]*0.1)</f>
        <v>541503.15179999999</v>
      </c>
      <c r="J871" s="15">
        <f>Table1[[#This Row],[Salary]]+Table1[[#This Row],[Bonus]]</f>
        <v>5956534.6698000003</v>
      </c>
      <c r="K871" s="25">
        <f>COUNTA(Table1[Employee_ID])</f>
        <v>1000</v>
      </c>
      <c r="L871" s="1">
        <f>SUM(Table1[Salary])</f>
        <v>3119391523.8580012</v>
      </c>
      <c r="M871" s="15">
        <f>AVERAGE(Table1[Salary])</f>
        <v>3119391.5238580015</v>
      </c>
      <c r="N871" s="29">
        <f>SUM(Table1[Bonus])</f>
        <v>308244983.02069992</v>
      </c>
    </row>
    <row r="872" spans="1:14" ht="12.75" customHeight="1" x14ac:dyDescent="0.25">
      <c r="A872" s="2">
        <v>846</v>
      </c>
      <c r="B872" s="10" t="s">
        <v>1280</v>
      </c>
      <c r="C872" s="10" t="s">
        <v>325</v>
      </c>
      <c r="D872" s="10" t="s">
        <v>77</v>
      </c>
      <c r="E872" s="10" t="s">
        <v>13</v>
      </c>
      <c r="F872" s="10" t="s">
        <v>120</v>
      </c>
      <c r="G872" s="10" t="s">
        <v>56</v>
      </c>
      <c r="H872" s="13">
        <v>1209003.67</v>
      </c>
      <c r="I872" s="15">
        <f>IF(Table1[[#This Row],[Salary]]&lt;1000000,Table1[[#This Row],[Salary]]*0.05,Table1[[#This Row],[Salary]]*0.1)</f>
        <v>120900.367</v>
      </c>
      <c r="J872" s="15">
        <f>Table1[[#This Row],[Salary]]+Table1[[#This Row],[Bonus]]</f>
        <v>1329904.037</v>
      </c>
      <c r="K872" s="25">
        <f>COUNTA(Table1[Employee_ID])</f>
        <v>1000</v>
      </c>
      <c r="L872" s="1">
        <f>SUM(Table1[Salary])</f>
        <v>3119391523.8580012</v>
      </c>
      <c r="M872" s="15">
        <f>AVERAGE(Table1[Salary])</f>
        <v>3119391.5238580015</v>
      </c>
      <c r="N872" s="29">
        <f>SUM(Table1[Bonus])</f>
        <v>308244983.02069992</v>
      </c>
    </row>
    <row r="873" spans="1:14" ht="12.75" customHeight="1" x14ac:dyDescent="0.25">
      <c r="A873" s="2">
        <v>847</v>
      </c>
      <c r="B873" s="10" t="s">
        <v>1281</v>
      </c>
      <c r="C873" s="10" t="s">
        <v>1282</v>
      </c>
      <c r="D873" s="10" t="s">
        <v>21</v>
      </c>
      <c r="E873" s="10" t="s">
        <v>6</v>
      </c>
      <c r="F873" s="10" t="s">
        <v>74</v>
      </c>
      <c r="G873" s="10" t="s">
        <v>23</v>
      </c>
      <c r="H873" s="13">
        <v>3828971.8560000001</v>
      </c>
      <c r="I873" s="15">
        <f>IF(Table1[[#This Row],[Salary]]&lt;1000000,Table1[[#This Row],[Salary]]*0.05,Table1[[#This Row],[Salary]]*0.1)</f>
        <v>382897.18560000003</v>
      </c>
      <c r="J873" s="15">
        <f>Table1[[#This Row],[Salary]]+Table1[[#This Row],[Bonus]]</f>
        <v>4211869.0416000001</v>
      </c>
      <c r="K873" s="25">
        <f>COUNTA(Table1[Employee_ID])</f>
        <v>1000</v>
      </c>
      <c r="L873" s="1">
        <f>SUM(Table1[Salary])</f>
        <v>3119391523.8580012</v>
      </c>
      <c r="M873" s="15">
        <f>AVERAGE(Table1[Salary])</f>
        <v>3119391.5238580015</v>
      </c>
      <c r="N873" s="29">
        <f>SUM(Table1[Bonus])</f>
        <v>308244983.02069992</v>
      </c>
    </row>
    <row r="874" spans="1:14" ht="12.75" customHeight="1" x14ac:dyDescent="0.25">
      <c r="A874" s="2">
        <v>848</v>
      </c>
      <c r="B874" s="10" t="s">
        <v>345</v>
      </c>
      <c r="C874" s="10" t="s">
        <v>1222</v>
      </c>
      <c r="D874" s="10" t="s">
        <v>59</v>
      </c>
      <c r="E874" s="10" t="s">
        <v>14</v>
      </c>
      <c r="F874" s="10" t="s">
        <v>51</v>
      </c>
      <c r="G874" s="10" t="s">
        <v>56</v>
      </c>
      <c r="H874" s="13">
        <v>1463839.966</v>
      </c>
      <c r="I874" s="15">
        <f>IF(Table1[[#This Row],[Salary]]&lt;1000000,Table1[[#This Row],[Salary]]*0.05,Table1[[#This Row],[Salary]]*0.1)</f>
        <v>146383.99660000001</v>
      </c>
      <c r="J874" s="15">
        <f>Table1[[#This Row],[Salary]]+Table1[[#This Row],[Bonus]]</f>
        <v>1610223.9626</v>
      </c>
      <c r="K874" s="25">
        <f>COUNTA(Table1[Employee_ID])</f>
        <v>1000</v>
      </c>
      <c r="L874" s="1">
        <f>SUM(Table1[Salary])</f>
        <v>3119391523.8580012</v>
      </c>
      <c r="M874" s="15">
        <f>AVERAGE(Table1[Salary])</f>
        <v>3119391.5238580015</v>
      </c>
      <c r="N874" s="29">
        <f>SUM(Table1[Bonus])</f>
        <v>308244983.02069992</v>
      </c>
    </row>
    <row r="875" spans="1:14" ht="12.75" customHeight="1" x14ac:dyDescent="0.25">
      <c r="A875" s="2">
        <v>849</v>
      </c>
      <c r="B875" s="10" t="s">
        <v>1278</v>
      </c>
      <c r="C875" s="10" t="s">
        <v>535</v>
      </c>
      <c r="D875" s="10" t="s">
        <v>21</v>
      </c>
      <c r="E875" s="10" t="s">
        <v>2</v>
      </c>
      <c r="F875" s="10" t="s">
        <v>60</v>
      </c>
      <c r="G875" s="10" t="s">
        <v>56</v>
      </c>
      <c r="H875" s="13">
        <v>5620415.4220000003</v>
      </c>
      <c r="I875" s="15">
        <f>IF(Table1[[#This Row],[Salary]]&lt;1000000,Table1[[#This Row],[Salary]]*0.05,Table1[[#This Row],[Salary]]*0.1)</f>
        <v>562041.54220000003</v>
      </c>
      <c r="J875" s="15">
        <f>Table1[[#This Row],[Salary]]+Table1[[#This Row],[Bonus]]</f>
        <v>6182456.9642000003</v>
      </c>
      <c r="K875" s="25">
        <f>COUNTA(Table1[Employee_ID])</f>
        <v>1000</v>
      </c>
      <c r="L875" s="1">
        <f>SUM(Table1[Salary])</f>
        <v>3119391523.8580012</v>
      </c>
      <c r="M875" s="15">
        <f>AVERAGE(Table1[Salary])</f>
        <v>3119391.5238580015</v>
      </c>
      <c r="N875" s="29">
        <f>SUM(Table1[Bonus])</f>
        <v>308244983.02069992</v>
      </c>
    </row>
    <row r="876" spans="1:14" ht="12.75" customHeight="1" x14ac:dyDescent="0.25">
      <c r="A876" s="2">
        <v>850</v>
      </c>
      <c r="B876" s="10" t="s">
        <v>1280</v>
      </c>
      <c r="C876" s="10" t="s">
        <v>1283</v>
      </c>
      <c r="D876" s="10" t="s">
        <v>88</v>
      </c>
      <c r="E876" s="10" t="s">
        <v>13</v>
      </c>
      <c r="F876" s="10" t="s">
        <v>43</v>
      </c>
      <c r="G876" s="10" t="s">
        <v>23</v>
      </c>
      <c r="H876" s="13">
        <v>5513826.6979999999</v>
      </c>
      <c r="I876" s="15">
        <f>IF(Table1[[#This Row],[Salary]]&lt;1000000,Table1[[#This Row],[Salary]]*0.05,Table1[[#This Row],[Salary]]*0.1)</f>
        <v>551382.66980000003</v>
      </c>
      <c r="J876" s="15">
        <f>Table1[[#This Row],[Salary]]+Table1[[#This Row],[Bonus]]</f>
        <v>6065209.3678000001</v>
      </c>
      <c r="K876" s="25">
        <f>COUNTA(Table1[Employee_ID])</f>
        <v>1000</v>
      </c>
      <c r="L876" s="1">
        <f>SUM(Table1[Salary])</f>
        <v>3119391523.8580012</v>
      </c>
      <c r="M876" s="15">
        <f>AVERAGE(Table1[Salary])</f>
        <v>3119391.5238580015</v>
      </c>
      <c r="N876" s="29">
        <f>SUM(Table1[Bonus])</f>
        <v>308244983.02069992</v>
      </c>
    </row>
    <row r="877" spans="1:14" ht="12.75" customHeight="1" x14ac:dyDescent="0.25">
      <c r="A877" s="2">
        <v>852</v>
      </c>
      <c r="B877" s="10" t="s">
        <v>250</v>
      </c>
      <c r="C877" s="10" t="s">
        <v>1285</v>
      </c>
      <c r="D877" s="10" t="s">
        <v>54</v>
      </c>
      <c r="E877" s="10" t="s">
        <v>2</v>
      </c>
      <c r="F877" s="10" t="s">
        <v>74</v>
      </c>
      <c r="G877" s="10" t="s">
        <v>23</v>
      </c>
      <c r="H877" s="13">
        <v>4726874.642</v>
      </c>
      <c r="I877" s="15">
        <f>IF(Table1[[#This Row],[Salary]]&lt;1000000,Table1[[#This Row],[Salary]]*0.05,Table1[[#This Row],[Salary]]*0.1)</f>
        <v>472687.46420000005</v>
      </c>
      <c r="J877" s="15">
        <f>Table1[[#This Row],[Salary]]+Table1[[#This Row],[Bonus]]</f>
        <v>5199562.1062000003</v>
      </c>
      <c r="K877" s="25">
        <f>COUNTA(Table1[Employee_ID])</f>
        <v>1000</v>
      </c>
      <c r="L877" s="1">
        <f>SUM(Table1[Salary])</f>
        <v>3119391523.8580012</v>
      </c>
      <c r="M877" s="15">
        <f>AVERAGE(Table1[Salary])</f>
        <v>3119391.5238580015</v>
      </c>
      <c r="N877" s="29">
        <f>SUM(Table1[Bonus])</f>
        <v>308244983.02069992</v>
      </c>
    </row>
    <row r="878" spans="1:14" ht="12.75" customHeight="1" x14ac:dyDescent="0.25">
      <c r="A878" s="2">
        <v>854</v>
      </c>
      <c r="B878" s="10" t="s">
        <v>1000</v>
      </c>
      <c r="C878" s="10" t="s">
        <v>1283</v>
      </c>
      <c r="D878" s="10" t="s">
        <v>99</v>
      </c>
      <c r="E878" s="10" t="s">
        <v>27</v>
      </c>
      <c r="F878" s="10" t="s">
        <v>28</v>
      </c>
      <c r="G878" s="10" t="s">
        <v>29</v>
      </c>
      <c r="H878" s="13">
        <v>4824602.932</v>
      </c>
      <c r="I878" s="15">
        <f>IF(Table1[[#This Row],[Salary]]&lt;1000000,Table1[[#This Row],[Salary]]*0.05,Table1[[#This Row],[Salary]]*0.1)</f>
        <v>482460.29320000001</v>
      </c>
      <c r="J878" s="15">
        <f>Table1[[#This Row],[Salary]]+Table1[[#This Row],[Bonus]]</f>
        <v>5307063.2252000002</v>
      </c>
      <c r="K878" s="25">
        <f>COUNTA(Table1[Employee_ID])</f>
        <v>1000</v>
      </c>
      <c r="L878" s="1">
        <f>SUM(Table1[Salary])</f>
        <v>3119391523.8580012</v>
      </c>
      <c r="M878" s="15">
        <f>AVERAGE(Table1[Salary])</f>
        <v>3119391.5238580015</v>
      </c>
      <c r="N878" s="29">
        <f>SUM(Table1[Bonus])</f>
        <v>308244983.02069992</v>
      </c>
    </row>
    <row r="879" spans="1:14" ht="12.75" customHeight="1" x14ac:dyDescent="0.25">
      <c r="A879" s="2">
        <v>855</v>
      </c>
      <c r="B879" s="10" t="s">
        <v>333</v>
      </c>
      <c r="C879" s="10" t="s">
        <v>1287</v>
      </c>
      <c r="D879" s="10" t="s">
        <v>96</v>
      </c>
      <c r="E879" s="10" t="s">
        <v>27</v>
      </c>
      <c r="F879" s="10" t="s">
        <v>85</v>
      </c>
      <c r="G879" s="10" t="s">
        <v>56</v>
      </c>
      <c r="H879" s="13">
        <v>660089.348</v>
      </c>
      <c r="I879" s="15">
        <f>IF(Table1[[#This Row],[Salary]]&lt;1000000,Table1[[#This Row],[Salary]]*0.05,Table1[[#This Row],[Salary]]*0.1)</f>
        <v>33004.467400000001</v>
      </c>
      <c r="J879" s="15">
        <f>Table1[[#This Row],[Salary]]+Table1[[#This Row],[Bonus]]</f>
        <v>693093.81539999996</v>
      </c>
      <c r="K879" s="25">
        <f>COUNTA(Table1[Employee_ID])</f>
        <v>1000</v>
      </c>
      <c r="L879" s="1">
        <f>SUM(Table1[Salary])</f>
        <v>3119391523.8580012</v>
      </c>
      <c r="M879" s="15">
        <f>AVERAGE(Table1[Salary])</f>
        <v>3119391.5238580015</v>
      </c>
      <c r="N879" s="29">
        <f>SUM(Table1[Bonus])</f>
        <v>308244983.02069992</v>
      </c>
    </row>
    <row r="880" spans="1:14" ht="12.75" customHeight="1" x14ac:dyDescent="0.25">
      <c r="A880" s="2">
        <v>856</v>
      </c>
      <c r="B880" s="10" t="s">
        <v>1288</v>
      </c>
      <c r="C880" s="10" t="s">
        <v>1289</v>
      </c>
      <c r="D880" s="10" t="s">
        <v>105</v>
      </c>
      <c r="E880" s="10" t="s">
        <v>27</v>
      </c>
      <c r="F880" s="10" t="s">
        <v>106</v>
      </c>
      <c r="G880" s="10" t="s">
        <v>29</v>
      </c>
      <c r="H880" s="13">
        <v>4299792.1620000005</v>
      </c>
      <c r="I880" s="15">
        <f>IF(Table1[[#This Row],[Salary]]&lt;1000000,Table1[[#This Row],[Salary]]*0.05,Table1[[#This Row],[Salary]]*0.1)</f>
        <v>429979.21620000008</v>
      </c>
      <c r="J880" s="15">
        <f>Table1[[#This Row],[Salary]]+Table1[[#This Row],[Bonus]]</f>
        <v>4729771.3782000002</v>
      </c>
      <c r="K880" s="25">
        <f>COUNTA(Table1[Employee_ID])</f>
        <v>1000</v>
      </c>
      <c r="L880" s="1">
        <f>SUM(Table1[Salary])</f>
        <v>3119391523.8580012</v>
      </c>
      <c r="M880" s="15">
        <f>AVERAGE(Table1[Salary])</f>
        <v>3119391.5238580015</v>
      </c>
      <c r="N880" s="29">
        <f>SUM(Table1[Bonus])</f>
        <v>308244983.02069992</v>
      </c>
    </row>
    <row r="881" spans="1:14" ht="12.75" customHeight="1" x14ac:dyDescent="0.25">
      <c r="A881" s="2">
        <v>857</v>
      </c>
      <c r="B881" s="10" t="s">
        <v>1290</v>
      </c>
      <c r="C881" s="10" t="s">
        <v>1291</v>
      </c>
      <c r="D881" s="10" t="s">
        <v>54</v>
      </c>
      <c r="E881" s="10" t="s">
        <v>33</v>
      </c>
      <c r="F881" s="10" t="s">
        <v>34</v>
      </c>
      <c r="G881" s="10" t="s">
        <v>71</v>
      </c>
      <c r="H881" s="13">
        <v>5934405.2300000004</v>
      </c>
      <c r="I881" s="15">
        <f>IF(Table1[[#This Row],[Salary]]&lt;1000000,Table1[[#This Row],[Salary]]*0.05,Table1[[#This Row],[Salary]]*0.1)</f>
        <v>593440.52300000004</v>
      </c>
      <c r="J881" s="15">
        <f>Table1[[#This Row],[Salary]]+Table1[[#This Row],[Bonus]]</f>
        <v>6527845.7530000005</v>
      </c>
      <c r="K881" s="25">
        <f>COUNTA(Table1[Employee_ID])</f>
        <v>1000</v>
      </c>
      <c r="L881" s="1">
        <f>SUM(Table1[Salary])</f>
        <v>3119391523.8580012</v>
      </c>
      <c r="M881" s="15">
        <f>AVERAGE(Table1[Salary])</f>
        <v>3119391.5238580015</v>
      </c>
      <c r="N881" s="29">
        <f>SUM(Table1[Bonus])</f>
        <v>308244983.02069992</v>
      </c>
    </row>
    <row r="882" spans="1:14" ht="12.75" customHeight="1" x14ac:dyDescent="0.25">
      <c r="A882" s="2">
        <v>858</v>
      </c>
      <c r="B882" s="10" t="s">
        <v>345</v>
      </c>
      <c r="C882" s="10" t="s">
        <v>1292</v>
      </c>
      <c r="D882" s="10" t="s">
        <v>112</v>
      </c>
      <c r="E882" s="10" t="s">
        <v>2</v>
      </c>
      <c r="F882" s="10" t="s">
        <v>102</v>
      </c>
      <c r="G882" s="10" t="s">
        <v>71</v>
      </c>
      <c r="H882" s="13">
        <v>3399659.9839999997</v>
      </c>
      <c r="I882" s="15">
        <f>IF(Table1[[#This Row],[Salary]]&lt;1000000,Table1[[#This Row],[Salary]]*0.05,Table1[[#This Row],[Salary]]*0.1)</f>
        <v>339965.99839999998</v>
      </c>
      <c r="J882" s="15">
        <f>Table1[[#This Row],[Salary]]+Table1[[#This Row],[Bonus]]</f>
        <v>3739625.9823999996</v>
      </c>
      <c r="K882" s="25">
        <f>COUNTA(Table1[Employee_ID])</f>
        <v>1000</v>
      </c>
      <c r="L882" s="1">
        <f>SUM(Table1[Salary])</f>
        <v>3119391523.8580012</v>
      </c>
      <c r="M882" s="15">
        <f>AVERAGE(Table1[Salary])</f>
        <v>3119391.5238580015</v>
      </c>
      <c r="N882" s="29">
        <f>SUM(Table1[Bonus])</f>
        <v>308244983.02069992</v>
      </c>
    </row>
    <row r="883" spans="1:14" ht="12.75" customHeight="1" x14ac:dyDescent="0.25">
      <c r="A883" s="2">
        <v>859</v>
      </c>
      <c r="B883" s="10" t="s">
        <v>634</v>
      </c>
      <c r="C883" s="10" t="s">
        <v>1293</v>
      </c>
      <c r="D883" s="10" t="s">
        <v>377</v>
      </c>
      <c r="E883" s="10" t="s">
        <v>14</v>
      </c>
      <c r="F883" s="10" t="s">
        <v>222</v>
      </c>
      <c r="G883" s="10" t="s">
        <v>23</v>
      </c>
      <c r="H883" s="13">
        <v>549313.51800000004</v>
      </c>
      <c r="I883" s="15">
        <f>IF(Table1[[#This Row],[Salary]]&lt;1000000,Table1[[#This Row],[Salary]]*0.05,Table1[[#This Row],[Salary]]*0.1)</f>
        <v>27465.675900000002</v>
      </c>
      <c r="J883" s="15">
        <f>Table1[[#This Row],[Salary]]+Table1[[#This Row],[Bonus]]</f>
        <v>576779.19390000007</v>
      </c>
      <c r="K883" s="25">
        <f>COUNTA(Table1[Employee_ID])</f>
        <v>1000</v>
      </c>
      <c r="L883" s="1">
        <f>SUM(Table1[Salary])</f>
        <v>3119391523.8580012</v>
      </c>
      <c r="M883" s="15">
        <f>AVERAGE(Table1[Salary])</f>
        <v>3119391.5238580015</v>
      </c>
      <c r="N883" s="29">
        <f>SUM(Table1[Bonus])</f>
        <v>308244983.02069992</v>
      </c>
    </row>
    <row r="884" spans="1:14" ht="12.75" customHeight="1" x14ac:dyDescent="0.25">
      <c r="A884" s="2">
        <v>860</v>
      </c>
      <c r="B884" s="10" t="s">
        <v>709</v>
      </c>
      <c r="C884" s="10" t="s">
        <v>1170</v>
      </c>
      <c r="D884" s="10" t="s">
        <v>156</v>
      </c>
      <c r="E884" s="10" t="s">
        <v>6</v>
      </c>
      <c r="F884" s="10" t="s">
        <v>123</v>
      </c>
      <c r="G884" s="10" t="s">
        <v>71</v>
      </c>
      <c r="H884" s="13">
        <v>4835149.4019999998</v>
      </c>
      <c r="I884" s="15">
        <f>IF(Table1[[#This Row],[Salary]]&lt;1000000,Table1[[#This Row],[Salary]]*0.05,Table1[[#This Row],[Salary]]*0.1)</f>
        <v>483514.94020000001</v>
      </c>
      <c r="J884" s="15">
        <f>Table1[[#This Row],[Salary]]+Table1[[#This Row],[Bonus]]</f>
        <v>5318664.3421999998</v>
      </c>
      <c r="K884" s="25">
        <f>COUNTA(Table1[Employee_ID])</f>
        <v>1000</v>
      </c>
      <c r="L884" s="1">
        <f>SUM(Table1[Salary])</f>
        <v>3119391523.8580012</v>
      </c>
      <c r="M884" s="15">
        <f>AVERAGE(Table1[Salary])</f>
        <v>3119391.5238580015</v>
      </c>
      <c r="N884" s="29">
        <f>SUM(Table1[Bonus])</f>
        <v>308244983.02069992</v>
      </c>
    </row>
    <row r="885" spans="1:14" ht="12.75" customHeight="1" x14ac:dyDescent="0.25">
      <c r="A885" s="2">
        <v>862</v>
      </c>
      <c r="B885" s="10" t="s">
        <v>716</v>
      </c>
      <c r="C885" s="10" t="s">
        <v>1295</v>
      </c>
      <c r="D885" s="10" t="s">
        <v>118</v>
      </c>
      <c r="E885" s="10" t="s">
        <v>63</v>
      </c>
      <c r="F885" s="10" t="s">
        <v>64</v>
      </c>
      <c r="G885" s="10" t="s">
        <v>48</v>
      </c>
      <c r="H885" s="13">
        <v>1686908.5919999999</v>
      </c>
      <c r="I885" s="15">
        <f>IF(Table1[[#This Row],[Salary]]&lt;1000000,Table1[[#This Row],[Salary]]*0.05,Table1[[#This Row],[Salary]]*0.1)</f>
        <v>168690.85920000001</v>
      </c>
      <c r="J885" s="15">
        <f>Table1[[#This Row],[Salary]]+Table1[[#This Row],[Bonus]]</f>
        <v>1855599.4512</v>
      </c>
      <c r="K885" s="25">
        <f>COUNTA(Table1[Employee_ID])</f>
        <v>1000</v>
      </c>
      <c r="L885" s="1">
        <f>SUM(Table1[Salary])</f>
        <v>3119391523.8580012</v>
      </c>
      <c r="M885" s="15">
        <f>AVERAGE(Table1[Salary])</f>
        <v>3119391.5238580015</v>
      </c>
      <c r="N885" s="29">
        <f>SUM(Table1[Bonus])</f>
        <v>308244983.02069992</v>
      </c>
    </row>
    <row r="886" spans="1:14" ht="12.75" customHeight="1" x14ac:dyDescent="0.25">
      <c r="A886" s="2">
        <v>863</v>
      </c>
      <c r="B886" s="10" t="s">
        <v>492</v>
      </c>
      <c r="C886" s="10" t="s">
        <v>1296</v>
      </c>
      <c r="D886" s="10" t="s">
        <v>143</v>
      </c>
      <c r="E886" s="10" t="s">
        <v>33</v>
      </c>
      <c r="F886" s="10" t="s">
        <v>47</v>
      </c>
      <c r="G886" s="10" t="s">
        <v>29</v>
      </c>
      <c r="H886" s="13">
        <v>3920276.6520000002</v>
      </c>
      <c r="I886" s="15">
        <f>IF(Table1[[#This Row],[Salary]]&lt;1000000,Table1[[#This Row],[Salary]]*0.05,Table1[[#This Row],[Salary]]*0.1)</f>
        <v>392027.66520000005</v>
      </c>
      <c r="J886" s="15">
        <f>Table1[[#This Row],[Salary]]+Table1[[#This Row],[Bonus]]</f>
        <v>4312304.3172000004</v>
      </c>
      <c r="K886" s="25">
        <f>COUNTA(Table1[Employee_ID])</f>
        <v>1000</v>
      </c>
      <c r="L886" s="1">
        <f>SUM(Table1[Salary])</f>
        <v>3119391523.8580012</v>
      </c>
      <c r="M886" s="15">
        <f>AVERAGE(Table1[Salary])</f>
        <v>3119391.5238580015</v>
      </c>
      <c r="N886" s="29">
        <f>SUM(Table1[Bonus])</f>
        <v>308244983.02069992</v>
      </c>
    </row>
    <row r="887" spans="1:14" ht="12.75" customHeight="1" x14ac:dyDescent="0.25">
      <c r="A887" s="2">
        <v>864</v>
      </c>
      <c r="B887" s="10" t="s">
        <v>1297</v>
      </c>
      <c r="C887" s="10" t="s">
        <v>1060</v>
      </c>
      <c r="D887" s="10" t="s">
        <v>137</v>
      </c>
      <c r="E887" s="10" t="s">
        <v>39</v>
      </c>
      <c r="F887" s="10" t="s">
        <v>40</v>
      </c>
      <c r="G887" s="10" t="s">
        <v>23</v>
      </c>
      <c r="H887" s="13">
        <v>787116.88599999994</v>
      </c>
      <c r="I887" s="15">
        <f>IF(Table1[[#This Row],[Salary]]&lt;1000000,Table1[[#This Row],[Salary]]*0.05,Table1[[#This Row],[Salary]]*0.1)</f>
        <v>39355.844299999997</v>
      </c>
      <c r="J887" s="15">
        <f>Table1[[#This Row],[Salary]]+Table1[[#This Row],[Bonus]]</f>
        <v>826472.73029999994</v>
      </c>
      <c r="K887" s="25">
        <f>COUNTA(Table1[Employee_ID])</f>
        <v>1000</v>
      </c>
      <c r="L887" s="1">
        <f>SUM(Table1[Salary])</f>
        <v>3119391523.8580012</v>
      </c>
      <c r="M887" s="15">
        <f>AVERAGE(Table1[Salary])</f>
        <v>3119391.5238580015</v>
      </c>
      <c r="N887" s="29">
        <f>SUM(Table1[Bonus])</f>
        <v>308244983.02069992</v>
      </c>
    </row>
    <row r="888" spans="1:14" ht="12.75" customHeight="1" x14ac:dyDescent="0.25">
      <c r="A888" s="2">
        <v>865</v>
      </c>
      <c r="B888" s="10" t="s">
        <v>1298</v>
      </c>
      <c r="C888" s="10" t="s">
        <v>508</v>
      </c>
      <c r="D888" s="10" t="s">
        <v>99</v>
      </c>
      <c r="E888" s="10" t="s">
        <v>6</v>
      </c>
      <c r="F888" s="10" t="s">
        <v>144</v>
      </c>
      <c r="G888" s="10" t="s">
        <v>29</v>
      </c>
      <c r="H888" s="13">
        <v>3375645.048</v>
      </c>
      <c r="I888" s="15">
        <f>IF(Table1[[#This Row],[Salary]]&lt;1000000,Table1[[#This Row],[Salary]]*0.05,Table1[[#This Row],[Salary]]*0.1)</f>
        <v>337564.5048</v>
      </c>
      <c r="J888" s="15">
        <f>Table1[[#This Row],[Salary]]+Table1[[#This Row],[Bonus]]</f>
        <v>3713209.5527999997</v>
      </c>
      <c r="K888" s="25">
        <f>COUNTA(Table1[Employee_ID])</f>
        <v>1000</v>
      </c>
      <c r="L888" s="1">
        <f>SUM(Table1[Salary])</f>
        <v>3119391523.8580012</v>
      </c>
      <c r="M888" s="15">
        <f>AVERAGE(Table1[Salary])</f>
        <v>3119391.5238580015</v>
      </c>
      <c r="N888" s="29">
        <f>SUM(Table1[Bonus])</f>
        <v>308244983.02069992</v>
      </c>
    </row>
    <row r="889" spans="1:14" ht="12.75" customHeight="1" x14ac:dyDescent="0.25">
      <c r="A889" s="2">
        <v>866</v>
      </c>
      <c r="B889" s="10" t="s">
        <v>1299</v>
      </c>
      <c r="C889" s="10" t="s">
        <v>1300</v>
      </c>
      <c r="D889" s="10" t="s">
        <v>156</v>
      </c>
      <c r="E889" s="10" t="s">
        <v>13</v>
      </c>
      <c r="F889" s="10" t="s">
        <v>67</v>
      </c>
      <c r="G889" s="10" t="s">
        <v>71</v>
      </c>
      <c r="H889" s="13">
        <v>3281473.0579999997</v>
      </c>
      <c r="I889" s="15">
        <f>IF(Table1[[#This Row],[Salary]]&lt;1000000,Table1[[#This Row],[Salary]]*0.05,Table1[[#This Row],[Salary]]*0.1)</f>
        <v>328147.30579999997</v>
      </c>
      <c r="J889" s="15">
        <f>Table1[[#This Row],[Salary]]+Table1[[#This Row],[Bonus]]</f>
        <v>3609620.3637999995</v>
      </c>
      <c r="K889" s="25">
        <f>COUNTA(Table1[Employee_ID])</f>
        <v>1000</v>
      </c>
      <c r="L889" s="1">
        <f>SUM(Table1[Salary])</f>
        <v>3119391523.8580012</v>
      </c>
      <c r="M889" s="15">
        <f>AVERAGE(Table1[Salary])</f>
        <v>3119391.5238580015</v>
      </c>
      <c r="N889" s="29">
        <f>SUM(Table1[Bonus])</f>
        <v>308244983.02069992</v>
      </c>
    </row>
    <row r="890" spans="1:14" ht="12.75" customHeight="1" x14ac:dyDescent="0.25">
      <c r="A890" s="2">
        <v>867</v>
      </c>
      <c r="B890" s="10" t="s">
        <v>1301</v>
      </c>
      <c r="C890" s="10" t="s">
        <v>1302</v>
      </c>
      <c r="D890" s="10" t="s">
        <v>125</v>
      </c>
      <c r="E890" s="10" t="s">
        <v>2</v>
      </c>
      <c r="F890" s="10" t="s">
        <v>60</v>
      </c>
      <c r="G890" s="10" t="s">
        <v>29</v>
      </c>
      <c r="H890" s="13">
        <v>1469288.6839999999</v>
      </c>
      <c r="I890" s="15">
        <f>IF(Table1[[#This Row],[Salary]]&lt;1000000,Table1[[#This Row],[Salary]]*0.05,Table1[[#This Row],[Salary]]*0.1)</f>
        <v>146928.86840000001</v>
      </c>
      <c r="J890" s="15">
        <f>Table1[[#This Row],[Salary]]+Table1[[#This Row],[Bonus]]</f>
        <v>1616217.5523999999</v>
      </c>
      <c r="K890" s="25">
        <f>COUNTA(Table1[Employee_ID])</f>
        <v>1000</v>
      </c>
      <c r="L890" s="1">
        <f>SUM(Table1[Salary])</f>
        <v>3119391523.8580012</v>
      </c>
      <c r="M890" s="15">
        <f>AVERAGE(Table1[Salary])</f>
        <v>3119391.5238580015</v>
      </c>
      <c r="N890" s="29">
        <f>SUM(Table1[Bonus])</f>
        <v>308244983.02069992</v>
      </c>
    </row>
    <row r="891" spans="1:14" ht="12.75" customHeight="1" x14ac:dyDescent="0.25">
      <c r="A891" s="2">
        <v>868</v>
      </c>
      <c r="B891" s="10" t="s">
        <v>390</v>
      </c>
      <c r="C891" s="10" t="s">
        <v>323</v>
      </c>
      <c r="D891" s="10" t="s">
        <v>112</v>
      </c>
      <c r="E891" s="10" t="s">
        <v>14</v>
      </c>
      <c r="F891" s="10" t="s">
        <v>234</v>
      </c>
      <c r="G891" s="10" t="s">
        <v>71</v>
      </c>
      <c r="H891" s="13">
        <v>2935745.8960000002</v>
      </c>
      <c r="I891" s="15">
        <f>IF(Table1[[#This Row],[Salary]]&lt;1000000,Table1[[#This Row],[Salary]]*0.05,Table1[[#This Row],[Salary]]*0.1)</f>
        <v>293574.58960000001</v>
      </c>
      <c r="J891" s="15">
        <f>Table1[[#This Row],[Salary]]+Table1[[#This Row],[Bonus]]</f>
        <v>3229320.4856000002</v>
      </c>
      <c r="K891" s="25">
        <f>COUNTA(Table1[Employee_ID])</f>
        <v>1000</v>
      </c>
      <c r="L891" s="1">
        <f>SUM(Table1[Salary])</f>
        <v>3119391523.8580012</v>
      </c>
      <c r="M891" s="15">
        <f>AVERAGE(Table1[Salary])</f>
        <v>3119391.5238580015</v>
      </c>
      <c r="N891" s="29">
        <f>SUM(Table1[Bonus])</f>
        <v>308244983.02069992</v>
      </c>
    </row>
    <row r="892" spans="1:14" ht="12.75" customHeight="1" x14ac:dyDescent="0.25">
      <c r="A892" s="2">
        <v>869</v>
      </c>
      <c r="B892" s="10" t="s">
        <v>1303</v>
      </c>
      <c r="C892" s="10" t="s">
        <v>1304</v>
      </c>
      <c r="D892" s="10" t="s">
        <v>96</v>
      </c>
      <c r="E892" s="10" t="s">
        <v>13</v>
      </c>
      <c r="F892" s="10" t="s">
        <v>120</v>
      </c>
      <c r="G892" s="10" t="s">
        <v>29</v>
      </c>
      <c r="H892" s="13">
        <v>3567989.574</v>
      </c>
      <c r="I892" s="15">
        <f>IF(Table1[[#This Row],[Salary]]&lt;1000000,Table1[[#This Row],[Salary]]*0.05,Table1[[#This Row],[Salary]]*0.1)</f>
        <v>356798.95740000001</v>
      </c>
      <c r="J892" s="15">
        <f>Table1[[#This Row],[Salary]]+Table1[[#This Row],[Bonus]]</f>
        <v>3924788.5314000002</v>
      </c>
      <c r="K892" s="25">
        <f>COUNTA(Table1[Employee_ID])</f>
        <v>1000</v>
      </c>
      <c r="L892" s="1">
        <f>SUM(Table1[Salary])</f>
        <v>3119391523.8580012</v>
      </c>
      <c r="M892" s="15">
        <f>AVERAGE(Table1[Salary])</f>
        <v>3119391.5238580015</v>
      </c>
      <c r="N892" s="29">
        <f>SUM(Table1[Bonus])</f>
        <v>308244983.02069992</v>
      </c>
    </row>
    <row r="893" spans="1:14" ht="12.75" customHeight="1" x14ac:dyDescent="0.25">
      <c r="A893" s="2">
        <v>870</v>
      </c>
      <c r="B893" s="10" t="s">
        <v>1085</v>
      </c>
      <c r="C893" s="10" t="s">
        <v>1305</v>
      </c>
      <c r="D893" s="10" t="s">
        <v>118</v>
      </c>
      <c r="E893" s="10" t="s">
        <v>39</v>
      </c>
      <c r="F893" s="10" t="s">
        <v>186</v>
      </c>
      <c r="G893" s="10" t="s">
        <v>56</v>
      </c>
      <c r="H893" s="13">
        <v>1269395.4739999999</v>
      </c>
      <c r="I893" s="15">
        <f>IF(Table1[[#This Row],[Salary]]&lt;1000000,Table1[[#This Row],[Salary]]*0.05,Table1[[#This Row],[Salary]]*0.1)</f>
        <v>126939.5474</v>
      </c>
      <c r="J893" s="15">
        <f>Table1[[#This Row],[Salary]]+Table1[[#This Row],[Bonus]]</f>
        <v>1396335.0214</v>
      </c>
      <c r="K893" s="25">
        <f>COUNTA(Table1[Employee_ID])</f>
        <v>1000</v>
      </c>
      <c r="L893" s="1">
        <f>SUM(Table1[Salary])</f>
        <v>3119391523.8580012</v>
      </c>
      <c r="M893" s="15">
        <f>AVERAGE(Table1[Salary])</f>
        <v>3119391.5238580015</v>
      </c>
      <c r="N893" s="29">
        <f>SUM(Table1[Bonus])</f>
        <v>308244983.02069992</v>
      </c>
    </row>
    <row r="894" spans="1:14" ht="12.75" customHeight="1" x14ac:dyDescent="0.25">
      <c r="A894" s="2">
        <v>871</v>
      </c>
      <c r="B894" s="10" t="s">
        <v>135</v>
      </c>
      <c r="C894" s="10" t="s">
        <v>1306</v>
      </c>
      <c r="D894" s="10" t="s">
        <v>88</v>
      </c>
      <c r="E894" s="10" t="s">
        <v>10</v>
      </c>
      <c r="F894" s="10" t="s">
        <v>78</v>
      </c>
      <c r="G894" s="10" t="s">
        <v>23</v>
      </c>
      <c r="H894" s="13">
        <v>962954.35</v>
      </c>
      <c r="I894" s="15">
        <f>IF(Table1[[#This Row],[Salary]]&lt;1000000,Table1[[#This Row],[Salary]]*0.05,Table1[[#This Row],[Salary]]*0.1)</f>
        <v>48147.717499999999</v>
      </c>
      <c r="J894" s="15">
        <f>Table1[[#This Row],[Salary]]+Table1[[#This Row],[Bonus]]</f>
        <v>1011102.0675</v>
      </c>
      <c r="K894" s="25">
        <f>COUNTA(Table1[Employee_ID])</f>
        <v>1000</v>
      </c>
      <c r="L894" s="1">
        <f>SUM(Table1[Salary])</f>
        <v>3119391523.8580012</v>
      </c>
      <c r="M894" s="15">
        <f>AVERAGE(Table1[Salary])</f>
        <v>3119391.5238580015</v>
      </c>
      <c r="N894" s="29">
        <f>SUM(Table1[Bonus])</f>
        <v>308244983.02069992</v>
      </c>
    </row>
    <row r="895" spans="1:14" ht="12.75" customHeight="1" x14ac:dyDescent="0.25">
      <c r="A895" s="2">
        <v>873</v>
      </c>
      <c r="B895" s="10" t="s">
        <v>792</v>
      </c>
      <c r="C895" s="10" t="s">
        <v>1309</v>
      </c>
      <c r="D895" s="10" t="s">
        <v>125</v>
      </c>
      <c r="E895" s="10" t="s">
        <v>27</v>
      </c>
      <c r="F895" s="10" t="s">
        <v>28</v>
      </c>
      <c r="G895" s="10" t="s">
        <v>23</v>
      </c>
      <c r="H895" s="13">
        <v>3376034.4920000001</v>
      </c>
      <c r="I895" s="15">
        <f>IF(Table1[[#This Row],[Salary]]&lt;1000000,Table1[[#This Row],[Salary]]*0.05,Table1[[#This Row],[Salary]]*0.1)</f>
        <v>337603.44920000003</v>
      </c>
      <c r="J895" s="15">
        <f>Table1[[#This Row],[Salary]]+Table1[[#This Row],[Bonus]]</f>
        <v>3713637.9412000002</v>
      </c>
      <c r="K895" s="25">
        <f>COUNTA(Table1[Employee_ID])</f>
        <v>1000</v>
      </c>
      <c r="L895" s="1">
        <f>SUM(Table1[Salary])</f>
        <v>3119391523.8580012</v>
      </c>
      <c r="M895" s="15">
        <f>AVERAGE(Table1[Salary])</f>
        <v>3119391.5238580015</v>
      </c>
      <c r="N895" s="29">
        <f>SUM(Table1[Bonus])</f>
        <v>308244983.02069992</v>
      </c>
    </row>
    <row r="896" spans="1:14" ht="12.75" customHeight="1" x14ac:dyDescent="0.25">
      <c r="A896" s="2">
        <v>874</v>
      </c>
      <c r="B896" s="10" t="s">
        <v>430</v>
      </c>
      <c r="C896" s="10" t="s">
        <v>1310</v>
      </c>
      <c r="D896" s="10" t="s">
        <v>128</v>
      </c>
      <c r="E896" s="10" t="s">
        <v>10</v>
      </c>
      <c r="F896" s="10" t="s">
        <v>109</v>
      </c>
      <c r="G896" s="10" t="s">
        <v>29</v>
      </c>
      <c r="H896" s="13">
        <v>5248053.3220000006</v>
      </c>
      <c r="I896" s="15">
        <f>IF(Table1[[#This Row],[Salary]]&lt;1000000,Table1[[#This Row],[Salary]]*0.05,Table1[[#This Row],[Salary]]*0.1)</f>
        <v>524805.33220000006</v>
      </c>
      <c r="J896" s="15">
        <f>Table1[[#This Row],[Salary]]+Table1[[#This Row],[Bonus]]</f>
        <v>5772858.6542000007</v>
      </c>
      <c r="K896" s="25">
        <f>COUNTA(Table1[Employee_ID])</f>
        <v>1000</v>
      </c>
      <c r="L896" s="1">
        <f>SUM(Table1[Salary])</f>
        <v>3119391523.8580012</v>
      </c>
      <c r="M896" s="15">
        <f>AVERAGE(Table1[Salary])</f>
        <v>3119391.5238580015</v>
      </c>
      <c r="N896" s="29">
        <f>SUM(Table1[Bonus])</f>
        <v>308244983.02069992</v>
      </c>
    </row>
    <row r="897" spans="1:14" ht="12.75" customHeight="1" x14ac:dyDescent="0.25">
      <c r="A897" s="2">
        <v>875</v>
      </c>
      <c r="B897" s="10" t="s">
        <v>1311</v>
      </c>
      <c r="C897" s="10" t="s">
        <v>1312</v>
      </c>
      <c r="D897" s="10" t="s">
        <v>125</v>
      </c>
      <c r="E897" s="10" t="s">
        <v>6</v>
      </c>
      <c r="F897" s="10" t="s">
        <v>74</v>
      </c>
      <c r="G897" s="10" t="s">
        <v>71</v>
      </c>
      <c r="H897" s="13">
        <v>2267246.6140000001</v>
      </c>
      <c r="I897" s="15">
        <f>IF(Table1[[#This Row],[Salary]]&lt;1000000,Table1[[#This Row],[Salary]]*0.05,Table1[[#This Row],[Salary]]*0.1)</f>
        <v>226724.66140000001</v>
      </c>
      <c r="J897" s="15">
        <f>Table1[[#This Row],[Salary]]+Table1[[#This Row],[Bonus]]</f>
        <v>2493971.2754000002</v>
      </c>
      <c r="K897" s="25">
        <f>COUNTA(Table1[Employee_ID])</f>
        <v>1000</v>
      </c>
      <c r="L897" s="1">
        <f>SUM(Table1[Salary])</f>
        <v>3119391523.8580012</v>
      </c>
      <c r="M897" s="15">
        <f>AVERAGE(Table1[Salary])</f>
        <v>3119391.5238580015</v>
      </c>
      <c r="N897" s="29">
        <f>SUM(Table1[Bonus])</f>
        <v>308244983.02069992</v>
      </c>
    </row>
    <row r="898" spans="1:14" ht="12.75" customHeight="1" x14ac:dyDescent="0.25">
      <c r="A898" s="2">
        <v>876</v>
      </c>
      <c r="B898" s="10" t="s">
        <v>1263</v>
      </c>
      <c r="C898" s="10" t="s">
        <v>1313</v>
      </c>
      <c r="D898" s="10" t="s">
        <v>134</v>
      </c>
      <c r="E898" s="10" t="s">
        <v>6</v>
      </c>
      <c r="F898" s="10" t="s">
        <v>123</v>
      </c>
      <c r="G898" s="10" t="s">
        <v>23</v>
      </c>
      <c r="H898" s="13">
        <v>588291.73199999996</v>
      </c>
      <c r="I898" s="15">
        <f>IF(Table1[[#This Row],[Salary]]&lt;1000000,Table1[[#This Row],[Salary]]*0.05,Table1[[#This Row],[Salary]]*0.1)</f>
        <v>29414.586599999999</v>
      </c>
      <c r="J898" s="15">
        <f>Table1[[#This Row],[Salary]]+Table1[[#This Row],[Bonus]]</f>
        <v>617706.3186</v>
      </c>
      <c r="K898" s="25">
        <f>COUNTA(Table1[Employee_ID])</f>
        <v>1000</v>
      </c>
      <c r="L898" s="1">
        <f>SUM(Table1[Salary])</f>
        <v>3119391523.8580012</v>
      </c>
      <c r="M898" s="15">
        <f>AVERAGE(Table1[Salary])</f>
        <v>3119391.5238580015</v>
      </c>
      <c r="N898" s="29">
        <f>SUM(Table1[Bonus])</f>
        <v>308244983.02069992</v>
      </c>
    </row>
    <row r="899" spans="1:14" ht="12.75" customHeight="1" x14ac:dyDescent="0.25">
      <c r="A899" s="2">
        <v>877</v>
      </c>
      <c r="B899" s="10" t="s">
        <v>1314</v>
      </c>
      <c r="C899" s="10" t="s">
        <v>466</v>
      </c>
      <c r="D899" s="10" t="s">
        <v>137</v>
      </c>
      <c r="E899" s="10" t="s">
        <v>63</v>
      </c>
      <c r="F899" s="10" t="s">
        <v>113</v>
      </c>
      <c r="G899" s="10" t="s">
        <v>56</v>
      </c>
      <c r="H899" s="13">
        <v>1971889.486</v>
      </c>
      <c r="I899" s="15">
        <f>IF(Table1[[#This Row],[Salary]]&lt;1000000,Table1[[#This Row],[Salary]]*0.05,Table1[[#This Row],[Salary]]*0.1)</f>
        <v>197188.9486</v>
      </c>
      <c r="J899" s="15">
        <f>Table1[[#This Row],[Salary]]+Table1[[#This Row],[Bonus]]</f>
        <v>2169078.4346000003</v>
      </c>
      <c r="K899" s="25">
        <f>COUNTA(Table1[Employee_ID])</f>
        <v>1000</v>
      </c>
      <c r="L899" s="1">
        <f>SUM(Table1[Salary])</f>
        <v>3119391523.8580012</v>
      </c>
      <c r="M899" s="15">
        <f>AVERAGE(Table1[Salary])</f>
        <v>3119391.5238580015</v>
      </c>
      <c r="N899" s="29">
        <f>SUM(Table1[Bonus])</f>
        <v>308244983.02069992</v>
      </c>
    </row>
    <row r="900" spans="1:14" ht="12.75" customHeight="1" x14ac:dyDescent="0.25">
      <c r="A900" s="2">
        <v>878</v>
      </c>
      <c r="B900" s="10" t="s">
        <v>1315</v>
      </c>
      <c r="C900" s="10" t="s">
        <v>1309</v>
      </c>
      <c r="D900" s="10" t="s">
        <v>140</v>
      </c>
      <c r="E900" s="10" t="s">
        <v>10</v>
      </c>
      <c r="F900" s="10" t="s">
        <v>131</v>
      </c>
      <c r="G900" s="10" t="s">
        <v>35</v>
      </c>
      <c r="H900" s="13">
        <v>5911277.6200000001</v>
      </c>
      <c r="I900" s="15">
        <f>IF(Table1[[#This Row],[Salary]]&lt;1000000,Table1[[#This Row],[Salary]]*0.05,Table1[[#This Row],[Salary]]*0.1)</f>
        <v>591127.76199999999</v>
      </c>
      <c r="J900" s="15">
        <f>Table1[[#This Row],[Salary]]+Table1[[#This Row],[Bonus]]</f>
        <v>6502405.3820000002</v>
      </c>
      <c r="K900" s="25">
        <f>COUNTA(Table1[Employee_ID])</f>
        <v>1000</v>
      </c>
      <c r="L900" s="1">
        <f>SUM(Table1[Salary])</f>
        <v>3119391523.8580012</v>
      </c>
      <c r="M900" s="15">
        <f>AVERAGE(Table1[Salary])</f>
        <v>3119391.5238580015</v>
      </c>
      <c r="N900" s="29">
        <f>SUM(Table1[Bonus])</f>
        <v>308244983.02069992</v>
      </c>
    </row>
    <row r="901" spans="1:14" ht="12.75" customHeight="1" x14ac:dyDescent="0.25">
      <c r="A901" s="2">
        <v>880</v>
      </c>
      <c r="B901" s="10" t="s">
        <v>1316</v>
      </c>
      <c r="C901" s="10" t="s">
        <v>1317</v>
      </c>
      <c r="D901" s="10" t="s">
        <v>146</v>
      </c>
      <c r="E901" s="10" t="s">
        <v>6</v>
      </c>
      <c r="F901" s="10" t="s">
        <v>144</v>
      </c>
      <c r="G901" s="10" t="s">
        <v>56</v>
      </c>
      <c r="H901" s="13">
        <v>3344561.82</v>
      </c>
      <c r="I901" s="15">
        <f>IF(Table1[[#This Row],[Salary]]&lt;1000000,Table1[[#This Row],[Salary]]*0.05,Table1[[#This Row],[Salary]]*0.1)</f>
        <v>334456.18200000003</v>
      </c>
      <c r="J901" s="15">
        <f>Table1[[#This Row],[Salary]]+Table1[[#This Row],[Bonus]]</f>
        <v>3679018.0019999999</v>
      </c>
      <c r="K901" s="25">
        <f>COUNTA(Table1[Employee_ID])</f>
        <v>1000</v>
      </c>
      <c r="L901" s="1">
        <f>SUM(Table1[Salary])</f>
        <v>3119391523.8580012</v>
      </c>
      <c r="M901" s="15">
        <f>AVERAGE(Table1[Salary])</f>
        <v>3119391.5238580015</v>
      </c>
      <c r="N901" s="29">
        <f>SUM(Table1[Bonus])</f>
        <v>308244983.02069992</v>
      </c>
    </row>
    <row r="902" spans="1:14" ht="12.75" customHeight="1" x14ac:dyDescent="0.25">
      <c r="A902" s="2">
        <v>881</v>
      </c>
      <c r="B902" s="10" t="s">
        <v>1176</v>
      </c>
      <c r="C902" s="10" t="s">
        <v>1318</v>
      </c>
      <c r="D902" s="10" t="s">
        <v>149</v>
      </c>
      <c r="E902" s="10" t="s">
        <v>63</v>
      </c>
      <c r="F902" s="10" t="s">
        <v>131</v>
      </c>
      <c r="G902" s="10" t="s">
        <v>23</v>
      </c>
      <c r="H902" s="13">
        <v>5491956.0359999994</v>
      </c>
      <c r="I902" s="15">
        <f>IF(Table1[[#This Row],[Salary]]&lt;1000000,Table1[[#This Row],[Salary]]*0.05,Table1[[#This Row],[Salary]]*0.1)</f>
        <v>549195.60359999991</v>
      </c>
      <c r="J902" s="15">
        <f>Table1[[#This Row],[Salary]]+Table1[[#This Row],[Bonus]]</f>
        <v>6041151.6395999994</v>
      </c>
      <c r="K902" s="25">
        <f>COUNTA(Table1[Employee_ID])</f>
        <v>1000</v>
      </c>
      <c r="L902" s="1">
        <f>SUM(Table1[Salary])</f>
        <v>3119391523.8580012</v>
      </c>
      <c r="M902" s="15">
        <f>AVERAGE(Table1[Salary])</f>
        <v>3119391.5238580015</v>
      </c>
      <c r="N902" s="29">
        <f>SUM(Table1[Bonus])</f>
        <v>308244983.02069992</v>
      </c>
    </row>
    <row r="903" spans="1:14" ht="12.75" customHeight="1" x14ac:dyDescent="0.25">
      <c r="A903" s="2">
        <v>882</v>
      </c>
      <c r="B903" s="10" t="s">
        <v>598</v>
      </c>
      <c r="C903" s="10" t="s">
        <v>1319</v>
      </c>
      <c r="D903" s="10" t="s">
        <v>88</v>
      </c>
      <c r="E903" s="10" t="s">
        <v>10</v>
      </c>
      <c r="F903" s="10" t="s">
        <v>78</v>
      </c>
      <c r="G903" s="10" t="s">
        <v>23</v>
      </c>
      <c r="H903" s="13">
        <v>5813492.1959999995</v>
      </c>
      <c r="I903" s="15">
        <f>IF(Table1[[#This Row],[Salary]]&lt;1000000,Table1[[#This Row],[Salary]]*0.05,Table1[[#This Row],[Salary]]*0.1)</f>
        <v>581349.21959999995</v>
      </c>
      <c r="J903" s="15">
        <f>Table1[[#This Row],[Salary]]+Table1[[#This Row],[Bonus]]</f>
        <v>6394841.4155999999</v>
      </c>
      <c r="K903" s="25">
        <f>COUNTA(Table1[Employee_ID])</f>
        <v>1000</v>
      </c>
      <c r="L903" s="1">
        <f>SUM(Table1[Salary])</f>
        <v>3119391523.8580012</v>
      </c>
      <c r="M903" s="15">
        <f>AVERAGE(Table1[Salary])</f>
        <v>3119391.5238580015</v>
      </c>
      <c r="N903" s="29">
        <f>SUM(Table1[Bonus])</f>
        <v>308244983.02069992</v>
      </c>
    </row>
    <row r="904" spans="1:14" ht="12.75" customHeight="1" x14ac:dyDescent="0.25">
      <c r="A904" s="2">
        <v>883</v>
      </c>
      <c r="B904" s="10" t="s">
        <v>1320</v>
      </c>
      <c r="C904" s="10" t="s">
        <v>1321</v>
      </c>
      <c r="D904" s="10" t="s">
        <v>26</v>
      </c>
      <c r="E904" s="10" t="s">
        <v>2</v>
      </c>
      <c r="F904" s="10" t="s">
        <v>74</v>
      </c>
      <c r="G904" s="10" t="s">
        <v>56</v>
      </c>
      <c r="H904" s="13">
        <v>3849774.4620000003</v>
      </c>
      <c r="I904" s="15">
        <f>IF(Table1[[#This Row],[Salary]]&lt;1000000,Table1[[#This Row],[Salary]]*0.05,Table1[[#This Row],[Salary]]*0.1)</f>
        <v>384977.44620000006</v>
      </c>
      <c r="J904" s="15">
        <f>Table1[[#This Row],[Salary]]+Table1[[#This Row],[Bonus]]</f>
        <v>4234751.9082000004</v>
      </c>
      <c r="K904" s="25">
        <f>COUNTA(Table1[Employee_ID])</f>
        <v>1000</v>
      </c>
      <c r="L904" s="1">
        <f>SUM(Table1[Salary])</f>
        <v>3119391523.8580012</v>
      </c>
      <c r="M904" s="15">
        <f>AVERAGE(Table1[Salary])</f>
        <v>3119391.5238580015</v>
      </c>
      <c r="N904" s="29">
        <f>SUM(Table1[Bonus])</f>
        <v>308244983.02069992</v>
      </c>
    </row>
    <row r="905" spans="1:14" ht="12.75" customHeight="1" x14ac:dyDescent="0.25">
      <c r="A905" s="2">
        <v>884</v>
      </c>
      <c r="B905" s="10" t="s">
        <v>49</v>
      </c>
      <c r="C905" s="10" t="s">
        <v>1322</v>
      </c>
      <c r="D905" s="10" t="s">
        <v>156</v>
      </c>
      <c r="E905" s="10" t="s">
        <v>27</v>
      </c>
      <c r="F905" s="10" t="s">
        <v>85</v>
      </c>
      <c r="G905" s="10" t="s">
        <v>29</v>
      </c>
      <c r="H905" s="13">
        <v>2113690.2439999999</v>
      </c>
      <c r="I905" s="15">
        <f>IF(Table1[[#This Row],[Salary]]&lt;1000000,Table1[[#This Row],[Salary]]*0.05,Table1[[#This Row],[Salary]]*0.1)</f>
        <v>211369.02439999999</v>
      </c>
      <c r="J905" s="15">
        <f>Table1[[#This Row],[Salary]]+Table1[[#This Row],[Bonus]]</f>
        <v>2325059.2683999999</v>
      </c>
      <c r="K905" s="25">
        <f>COUNTA(Table1[Employee_ID])</f>
        <v>1000</v>
      </c>
      <c r="L905" s="1">
        <f>SUM(Table1[Salary])</f>
        <v>3119391523.8580012</v>
      </c>
      <c r="M905" s="15">
        <f>AVERAGE(Table1[Salary])</f>
        <v>3119391.5238580015</v>
      </c>
      <c r="N905" s="29">
        <f>SUM(Table1[Bonus])</f>
        <v>308244983.02069992</v>
      </c>
    </row>
    <row r="906" spans="1:14" ht="12.75" customHeight="1" x14ac:dyDescent="0.25">
      <c r="A906" s="2">
        <v>885</v>
      </c>
      <c r="B906" s="10" t="s">
        <v>178</v>
      </c>
      <c r="C906" s="10" t="s">
        <v>1323</v>
      </c>
      <c r="D906" s="10" t="s">
        <v>159</v>
      </c>
      <c r="E906" s="10" t="s">
        <v>14</v>
      </c>
      <c r="F906" s="10" t="s">
        <v>51</v>
      </c>
      <c r="G906" s="10" t="s">
        <v>29</v>
      </c>
      <c r="H906" s="13">
        <v>2299417.7200000002</v>
      </c>
      <c r="I906" s="15">
        <f>IF(Table1[[#This Row],[Salary]]&lt;1000000,Table1[[#This Row],[Salary]]*0.05,Table1[[#This Row],[Salary]]*0.1)</f>
        <v>229941.77200000003</v>
      </c>
      <c r="J906" s="15">
        <f>Table1[[#This Row],[Salary]]+Table1[[#This Row],[Bonus]]</f>
        <v>2529359.4920000001</v>
      </c>
      <c r="K906" s="25">
        <f>COUNTA(Table1[Employee_ID])</f>
        <v>1000</v>
      </c>
      <c r="L906" s="1">
        <f>SUM(Table1[Salary])</f>
        <v>3119391523.8580012</v>
      </c>
      <c r="M906" s="15">
        <f>AVERAGE(Table1[Salary])</f>
        <v>3119391.5238580015</v>
      </c>
      <c r="N906" s="29">
        <f>SUM(Table1[Bonus])</f>
        <v>308244983.02069992</v>
      </c>
    </row>
    <row r="907" spans="1:14" ht="12.75" customHeight="1" x14ac:dyDescent="0.25">
      <c r="A907" s="2">
        <v>886</v>
      </c>
      <c r="B907" s="10" t="s">
        <v>1324</v>
      </c>
      <c r="C907" s="10" t="s">
        <v>1325</v>
      </c>
      <c r="D907" s="10" t="s">
        <v>162</v>
      </c>
      <c r="E907" s="10" t="s">
        <v>13</v>
      </c>
      <c r="F907" s="10" t="s">
        <v>43</v>
      </c>
      <c r="G907" s="10" t="s">
        <v>56</v>
      </c>
      <c r="H907" s="13">
        <v>1082412.216</v>
      </c>
      <c r="I907" s="15">
        <f>IF(Table1[[#This Row],[Salary]]&lt;1000000,Table1[[#This Row],[Salary]]*0.05,Table1[[#This Row],[Salary]]*0.1)</f>
        <v>108241.2216</v>
      </c>
      <c r="J907" s="15">
        <f>Table1[[#This Row],[Salary]]+Table1[[#This Row],[Bonus]]</f>
        <v>1190653.4376000001</v>
      </c>
      <c r="K907" s="25">
        <f>COUNTA(Table1[Employee_ID])</f>
        <v>1000</v>
      </c>
      <c r="L907" s="1">
        <f>SUM(Table1[Salary])</f>
        <v>3119391523.8580012</v>
      </c>
      <c r="M907" s="15">
        <f>AVERAGE(Table1[Salary])</f>
        <v>3119391.5238580015</v>
      </c>
      <c r="N907" s="29">
        <f>SUM(Table1[Bonus])</f>
        <v>308244983.02069992</v>
      </c>
    </row>
    <row r="908" spans="1:14" ht="12.75" customHeight="1" x14ac:dyDescent="0.25">
      <c r="A908" s="2">
        <v>888</v>
      </c>
      <c r="B908" s="10" t="s">
        <v>204</v>
      </c>
      <c r="C908" s="10" t="s">
        <v>1327</v>
      </c>
      <c r="D908" s="10" t="s">
        <v>156</v>
      </c>
      <c r="E908" s="10" t="s">
        <v>33</v>
      </c>
      <c r="F908" s="10" t="s">
        <v>55</v>
      </c>
      <c r="G908" s="10" t="s">
        <v>71</v>
      </c>
      <c r="H908" s="13">
        <v>4035468.1239999998</v>
      </c>
      <c r="I908" s="15">
        <f>IF(Table1[[#This Row],[Salary]]&lt;1000000,Table1[[#This Row],[Salary]]*0.05,Table1[[#This Row],[Salary]]*0.1)</f>
        <v>403546.8124</v>
      </c>
      <c r="J908" s="15">
        <f>Table1[[#This Row],[Salary]]+Table1[[#This Row],[Bonus]]</f>
        <v>4439014.9364</v>
      </c>
      <c r="K908" s="25">
        <f>COUNTA(Table1[Employee_ID])</f>
        <v>1000</v>
      </c>
      <c r="L908" s="1">
        <f>SUM(Table1[Salary])</f>
        <v>3119391523.8580012</v>
      </c>
      <c r="M908" s="15">
        <f>AVERAGE(Table1[Salary])</f>
        <v>3119391.5238580015</v>
      </c>
      <c r="N908" s="29">
        <f>SUM(Table1[Bonus])</f>
        <v>308244983.02069992</v>
      </c>
    </row>
    <row r="909" spans="1:14" ht="12.75" customHeight="1" x14ac:dyDescent="0.25">
      <c r="A909" s="2">
        <v>890</v>
      </c>
      <c r="B909" s="10" t="s">
        <v>1307</v>
      </c>
      <c r="C909" s="10" t="s">
        <v>1329</v>
      </c>
      <c r="D909" s="10" t="s">
        <v>128</v>
      </c>
      <c r="E909" s="10" t="s">
        <v>33</v>
      </c>
      <c r="F909" s="10" t="s">
        <v>34</v>
      </c>
      <c r="G909" s="10" t="s">
        <v>23</v>
      </c>
      <c r="H909" s="13">
        <v>3985472.3760000002</v>
      </c>
      <c r="I909" s="15">
        <f>IF(Table1[[#This Row],[Salary]]&lt;1000000,Table1[[#This Row],[Salary]]*0.05,Table1[[#This Row],[Salary]]*0.1)</f>
        <v>398547.23760000005</v>
      </c>
      <c r="J909" s="15">
        <f>Table1[[#This Row],[Salary]]+Table1[[#This Row],[Bonus]]</f>
        <v>4384019.6135999998</v>
      </c>
      <c r="K909" s="25">
        <f>COUNTA(Table1[Employee_ID])</f>
        <v>1000</v>
      </c>
      <c r="L909" s="1">
        <f>SUM(Table1[Salary])</f>
        <v>3119391523.8580012</v>
      </c>
      <c r="M909" s="15">
        <f>AVERAGE(Table1[Salary])</f>
        <v>3119391.5238580015</v>
      </c>
      <c r="N909" s="29">
        <f>SUM(Table1[Bonus])</f>
        <v>308244983.02069992</v>
      </c>
    </row>
    <row r="910" spans="1:14" ht="12.75" customHeight="1" x14ac:dyDescent="0.25">
      <c r="A910" s="2">
        <v>891</v>
      </c>
      <c r="B910" s="10" t="s">
        <v>1330</v>
      </c>
      <c r="C910" s="10" t="s">
        <v>542</v>
      </c>
      <c r="D910" s="10" t="s">
        <v>174</v>
      </c>
      <c r="E910" s="10" t="s">
        <v>33</v>
      </c>
      <c r="F910" s="10" t="s">
        <v>47</v>
      </c>
      <c r="G910" s="10" t="s">
        <v>56</v>
      </c>
      <c r="H910" s="13">
        <v>2412530.2139999997</v>
      </c>
      <c r="I910" s="15">
        <f>IF(Table1[[#This Row],[Salary]]&lt;1000000,Table1[[#This Row],[Salary]]*0.05,Table1[[#This Row],[Salary]]*0.1)</f>
        <v>241253.02139999997</v>
      </c>
      <c r="J910" s="15">
        <f>Table1[[#This Row],[Salary]]+Table1[[#This Row],[Bonus]]</f>
        <v>2653783.2353999997</v>
      </c>
      <c r="K910" s="25">
        <f>COUNTA(Table1[Employee_ID])</f>
        <v>1000</v>
      </c>
      <c r="L910" s="1">
        <f>SUM(Table1[Salary])</f>
        <v>3119391523.8580012</v>
      </c>
      <c r="M910" s="15">
        <f>AVERAGE(Table1[Salary])</f>
        <v>3119391.5238580015</v>
      </c>
      <c r="N910" s="29">
        <f>SUM(Table1[Bonus])</f>
        <v>308244983.02069992</v>
      </c>
    </row>
    <row r="911" spans="1:14" ht="12.75" customHeight="1" x14ac:dyDescent="0.25">
      <c r="A911" s="2">
        <v>892</v>
      </c>
      <c r="B911" s="10" t="s">
        <v>333</v>
      </c>
      <c r="C911" s="10" t="s">
        <v>192</v>
      </c>
      <c r="D911" s="10" t="s">
        <v>177</v>
      </c>
      <c r="E911" s="10" t="s">
        <v>33</v>
      </c>
      <c r="F911" s="10" t="s">
        <v>55</v>
      </c>
      <c r="G911" s="10" t="s">
        <v>56</v>
      </c>
      <c r="H911" s="13">
        <v>3559801.9220000003</v>
      </c>
      <c r="I911" s="15">
        <f>IF(Table1[[#This Row],[Salary]]&lt;1000000,Table1[[#This Row],[Salary]]*0.05,Table1[[#This Row],[Salary]]*0.1)</f>
        <v>355980.19220000005</v>
      </c>
      <c r="J911" s="15">
        <f>Table1[[#This Row],[Salary]]+Table1[[#This Row],[Bonus]]</f>
        <v>3915782.1142000002</v>
      </c>
      <c r="K911" s="25">
        <f>COUNTA(Table1[Employee_ID])</f>
        <v>1000</v>
      </c>
      <c r="L911" s="1">
        <f>SUM(Table1[Salary])</f>
        <v>3119391523.8580012</v>
      </c>
      <c r="M911" s="15">
        <f>AVERAGE(Table1[Salary])</f>
        <v>3119391.5238580015</v>
      </c>
      <c r="N911" s="29">
        <f>SUM(Table1[Bonus])</f>
        <v>308244983.02069992</v>
      </c>
    </row>
    <row r="912" spans="1:14" ht="12.75" customHeight="1" x14ac:dyDescent="0.25">
      <c r="A912" s="2">
        <v>893</v>
      </c>
      <c r="B912" s="10" t="s">
        <v>484</v>
      </c>
      <c r="C912" s="10" t="s">
        <v>1331</v>
      </c>
      <c r="D912" s="10" t="s">
        <v>180</v>
      </c>
      <c r="E912" s="10" t="s">
        <v>33</v>
      </c>
      <c r="F912" s="10" t="s">
        <v>34</v>
      </c>
      <c r="G912" s="10" t="s">
        <v>23</v>
      </c>
      <c r="H912" s="13">
        <v>1871641.47</v>
      </c>
      <c r="I912" s="15">
        <f>IF(Table1[[#This Row],[Salary]]&lt;1000000,Table1[[#This Row],[Salary]]*0.05,Table1[[#This Row],[Salary]]*0.1)</f>
        <v>187164.147</v>
      </c>
      <c r="J912" s="15">
        <f>Table1[[#This Row],[Salary]]+Table1[[#This Row],[Bonus]]</f>
        <v>2058805.6170000001</v>
      </c>
      <c r="K912" s="25">
        <f>COUNTA(Table1[Employee_ID])</f>
        <v>1000</v>
      </c>
      <c r="L912" s="1">
        <f>SUM(Table1[Salary])</f>
        <v>3119391523.8580012</v>
      </c>
      <c r="M912" s="15">
        <f>AVERAGE(Table1[Salary])</f>
        <v>3119391.5238580015</v>
      </c>
      <c r="N912" s="29">
        <f>SUM(Table1[Bonus])</f>
        <v>308244983.02069992</v>
      </c>
    </row>
    <row r="913" spans="1:14" ht="12.75" customHeight="1" x14ac:dyDescent="0.25">
      <c r="A913" s="2">
        <v>894</v>
      </c>
      <c r="B913" s="10" t="s">
        <v>845</v>
      </c>
      <c r="C913" s="10" t="s">
        <v>899</v>
      </c>
      <c r="D913" s="10" t="s">
        <v>183</v>
      </c>
      <c r="E913" s="10" t="s">
        <v>14</v>
      </c>
      <c r="F913" s="10" t="s">
        <v>222</v>
      </c>
      <c r="G913" s="10" t="s">
        <v>56</v>
      </c>
      <c r="H913" s="13">
        <v>2211933.906</v>
      </c>
      <c r="I913" s="15">
        <f>IF(Table1[[#This Row],[Salary]]&lt;1000000,Table1[[#This Row],[Salary]]*0.05,Table1[[#This Row],[Salary]]*0.1)</f>
        <v>221193.39060000001</v>
      </c>
      <c r="J913" s="15">
        <f>Table1[[#This Row],[Salary]]+Table1[[#This Row],[Bonus]]</f>
        <v>2433127.2966</v>
      </c>
      <c r="K913" s="25">
        <f>COUNTA(Table1[Employee_ID])</f>
        <v>1000</v>
      </c>
      <c r="L913" s="1">
        <f>SUM(Table1[Salary])</f>
        <v>3119391523.8580012</v>
      </c>
      <c r="M913" s="15">
        <f>AVERAGE(Table1[Salary])</f>
        <v>3119391.5238580015</v>
      </c>
      <c r="N913" s="29">
        <f>SUM(Table1[Bonus])</f>
        <v>308244983.02069992</v>
      </c>
    </row>
    <row r="914" spans="1:14" ht="12.75" customHeight="1" x14ac:dyDescent="0.25">
      <c r="A914" s="2">
        <v>895</v>
      </c>
      <c r="B914" s="10" t="s">
        <v>1332</v>
      </c>
      <c r="C914" s="10" t="s">
        <v>1333</v>
      </c>
      <c r="D914" s="10" t="s">
        <v>21</v>
      </c>
      <c r="E914" s="10" t="s">
        <v>39</v>
      </c>
      <c r="F914" s="10" t="s">
        <v>189</v>
      </c>
      <c r="G914" s="10" t="s">
        <v>56</v>
      </c>
      <c r="H914" s="13">
        <v>1607092.3939999999</v>
      </c>
      <c r="I914" s="15">
        <f>IF(Table1[[#This Row],[Salary]]&lt;1000000,Table1[[#This Row],[Salary]]*0.05,Table1[[#This Row],[Salary]]*0.1)</f>
        <v>160709.23939999999</v>
      </c>
      <c r="J914" s="15">
        <f>Table1[[#This Row],[Salary]]+Table1[[#This Row],[Bonus]]</f>
        <v>1767801.6333999999</v>
      </c>
      <c r="K914" s="25">
        <f>COUNTA(Table1[Employee_ID])</f>
        <v>1000</v>
      </c>
      <c r="L914" s="1">
        <f>SUM(Table1[Salary])</f>
        <v>3119391523.8580012</v>
      </c>
      <c r="M914" s="15">
        <f>AVERAGE(Table1[Salary])</f>
        <v>3119391.5238580015</v>
      </c>
      <c r="N914" s="29">
        <f>SUM(Table1[Bonus])</f>
        <v>308244983.02069992</v>
      </c>
    </row>
    <row r="915" spans="1:14" ht="12.75" customHeight="1" x14ac:dyDescent="0.25">
      <c r="A915" s="2">
        <v>896</v>
      </c>
      <c r="B915" s="10" t="s">
        <v>1334</v>
      </c>
      <c r="C915" s="10" t="s">
        <v>1335</v>
      </c>
      <c r="D915" s="10" t="s">
        <v>99</v>
      </c>
      <c r="E915" s="10" t="s">
        <v>33</v>
      </c>
      <c r="F915" s="10" t="s">
        <v>47</v>
      </c>
      <c r="G915" s="10" t="s">
        <v>23</v>
      </c>
      <c r="H915" s="13">
        <v>4897015.03</v>
      </c>
      <c r="I915" s="15">
        <f>IF(Table1[[#This Row],[Salary]]&lt;1000000,Table1[[#This Row],[Salary]]*0.05,Table1[[#This Row],[Salary]]*0.1)</f>
        <v>489701.50300000003</v>
      </c>
      <c r="J915" s="15">
        <f>Table1[[#This Row],[Salary]]+Table1[[#This Row],[Bonus]]</f>
        <v>5386716.5329999998</v>
      </c>
      <c r="K915" s="25">
        <f>COUNTA(Table1[Employee_ID])</f>
        <v>1000</v>
      </c>
      <c r="L915" s="1">
        <f>SUM(Table1[Salary])</f>
        <v>3119391523.8580012</v>
      </c>
      <c r="M915" s="15">
        <f>AVERAGE(Table1[Salary])</f>
        <v>3119391.5238580015</v>
      </c>
      <c r="N915" s="29">
        <f>SUM(Table1[Bonus])</f>
        <v>308244983.02069992</v>
      </c>
    </row>
    <row r="916" spans="1:14" ht="12.75" customHeight="1" x14ac:dyDescent="0.25">
      <c r="A916" s="2">
        <v>897</v>
      </c>
      <c r="B916" s="10" t="s">
        <v>333</v>
      </c>
      <c r="C916" s="10" t="s">
        <v>1336</v>
      </c>
      <c r="D916" s="10" t="s">
        <v>125</v>
      </c>
      <c r="E916" s="10" t="s">
        <v>33</v>
      </c>
      <c r="F916" s="10" t="s">
        <v>55</v>
      </c>
      <c r="G916" s="10" t="s">
        <v>35</v>
      </c>
      <c r="H916" s="13">
        <v>4962736.62</v>
      </c>
      <c r="I916" s="15">
        <f>IF(Table1[[#This Row],[Salary]]&lt;1000000,Table1[[#This Row],[Salary]]*0.05,Table1[[#This Row],[Salary]]*0.1)</f>
        <v>496273.66200000001</v>
      </c>
      <c r="J916" s="15">
        <f>Table1[[#This Row],[Salary]]+Table1[[#This Row],[Bonus]]</f>
        <v>5459010.2819999997</v>
      </c>
      <c r="K916" s="25">
        <f>COUNTA(Table1[Employee_ID])</f>
        <v>1000</v>
      </c>
      <c r="L916" s="1">
        <f>SUM(Table1[Salary])</f>
        <v>3119391523.8580012</v>
      </c>
      <c r="M916" s="15">
        <f>AVERAGE(Table1[Salary])</f>
        <v>3119391.5238580015</v>
      </c>
      <c r="N916" s="29">
        <f>SUM(Table1[Bonus])</f>
        <v>308244983.02069992</v>
      </c>
    </row>
    <row r="917" spans="1:14" ht="12.75" customHeight="1" x14ac:dyDescent="0.25">
      <c r="A917" s="2">
        <v>899</v>
      </c>
      <c r="B917" s="10" t="s">
        <v>19</v>
      </c>
      <c r="C917" s="10" t="s">
        <v>1338</v>
      </c>
      <c r="D917" s="10" t="s">
        <v>313</v>
      </c>
      <c r="E917" s="10" t="s">
        <v>39</v>
      </c>
      <c r="F917" s="10" t="s">
        <v>40</v>
      </c>
      <c r="G917" s="10" t="s">
        <v>23</v>
      </c>
      <c r="H917" s="13">
        <v>549300.69200000004</v>
      </c>
      <c r="I917" s="15">
        <f>IF(Table1[[#This Row],[Salary]]&lt;1000000,Table1[[#This Row],[Salary]]*0.05,Table1[[#This Row],[Salary]]*0.1)</f>
        <v>27465.034600000003</v>
      </c>
      <c r="J917" s="15">
        <f>Table1[[#This Row],[Salary]]+Table1[[#This Row],[Bonus]]</f>
        <v>576765.72660000005</v>
      </c>
      <c r="K917" s="25">
        <f>COUNTA(Table1[Employee_ID])</f>
        <v>1000</v>
      </c>
      <c r="L917" s="1">
        <f>SUM(Table1[Salary])</f>
        <v>3119391523.8580012</v>
      </c>
      <c r="M917" s="15">
        <f>AVERAGE(Table1[Salary])</f>
        <v>3119391.5238580015</v>
      </c>
      <c r="N917" s="29">
        <f>SUM(Table1[Bonus])</f>
        <v>308244983.02069992</v>
      </c>
    </row>
    <row r="918" spans="1:14" ht="12.75" customHeight="1" x14ac:dyDescent="0.25">
      <c r="A918" s="2">
        <v>900</v>
      </c>
      <c r="B918" s="10" t="s">
        <v>1339</v>
      </c>
      <c r="C918" s="10" t="s">
        <v>1264</v>
      </c>
      <c r="D918" s="10" t="s">
        <v>112</v>
      </c>
      <c r="E918" s="10" t="s">
        <v>13</v>
      </c>
      <c r="F918" s="10" t="s">
        <v>67</v>
      </c>
      <c r="G918" s="10" t="s">
        <v>29</v>
      </c>
      <c r="H918" s="13">
        <v>5682616.858</v>
      </c>
      <c r="I918" s="15">
        <f>IF(Table1[[#This Row],[Salary]]&lt;1000000,Table1[[#This Row],[Salary]]*0.05,Table1[[#This Row],[Salary]]*0.1)</f>
        <v>568261.68579999998</v>
      </c>
      <c r="J918" s="15">
        <f>Table1[[#This Row],[Salary]]+Table1[[#This Row],[Bonus]]</f>
        <v>6250878.5438000001</v>
      </c>
      <c r="K918" s="25">
        <f>COUNTA(Table1[Employee_ID])</f>
        <v>1000</v>
      </c>
      <c r="L918" s="1">
        <f>SUM(Table1[Salary])</f>
        <v>3119391523.8580012</v>
      </c>
      <c r="M918" s="15">
        <f>AVERAGE(Table1[Salary])</f>
        <v>3119391.5238580015</v>
      </c>
      <c r="N918" s="29">
        <f>SUM(Table1[Bonus])</f>
        <v>308244983.02069992</v>
      </c>
    </row>
    <row r="919" spans="1:14" ht="12.75" customHeight="1" x14ac:dyDescent="0.25">
      <c r="A919" s="2">
        <v>901</v>
      </c>
      <c r="B919" s="10" t="s">
        <v>1340</v>
      </c>
      <c r="C919" s="10" t="s">
        <v>1341</v>
      </c>
      <c r="D919" s="10" t="s">
        <v>174</v>
      </c>
      <c r="E919" s="10" t="s">
        <v>10</v>
      </c>
      <c r="F919" s="10" t="s">
        <v>109</v>
      </c>
      <c r="G919" s="10" t="s">
        <v>71</v>
      </c>
      <c r="H919" s="13">
        <v>4665962.8020000001</v>
      </c>
      <c r="I919" s="15">
        <f>IF(Table1[[#This Row],[Salary]]&lt;1000000,Table1[[#This Row],[Salary]]*0.05,Table1[[#This Row],[Salary]]*0.1)</f>
        <v>466596.28020000004</v>
      </c>
      <c r="J919" s="15">
        <f>Table1[[#This Row],[Salary]]+Table1[[#This Row],[Bonus]]</f>
        <v>5132559.0822000001</v>
      </c>
      <c r="K919" s="25">
        <f>COUNTA(Table1[Employee_ID])</f>
        <v>1000</v>
      </c>
      <c r="L919" s="1">
        <f>SUM(Table1[Salary])</f>
        <v>3119391523.8580012</v>
      </c>
      <c r="M919" s="15">
        <f>AVERAGE(Table1[Salary])</f>
        <v>3119391.5238580015</v>
      </c>
      <c r="N919" s="29">
        <f>SUM(Table1[Bonus])</f>
        <v>308244983.02069992</v>
      </c>
    </row>
    <row r="920" spans="1:14" ht="12.75" customHeight="1" x14ac:dyDescent="0.25">
      <c r="A920" s="2">
        <v>902</v>
      </c>
      <c r="B920" s="10" t="s">
        <v>732</v>
      </c>
      <c r="C920" s="10" t="s">
        <v>1342</v>
      </c>
      <c r="D920" s="10" t="s">
        <v>183</v>
      </c>
      <c r="E920" s="10" t="s">
        <v>63</v>
      </c>
      <c r="F920" s="10" t="s">
        <v>64</v>
      </c>
      <c r="G920" s="10" t="s">
        <v>71</v>
      </c>
      <c r="H920" s="13">
        <v>671498.65800000005</v>
      </c>
      <c r="I920" s="15">
        <f>IF(Table1[[#This Row],[Salary]]&lt;1000000,Table1[[#This Row],[Salary]]*0.05,Table1[[#This Row],[Salary]]*0.1)</f>
        <v>33574.932900000007</v>
      </c>
      <c r="J920" s="15">
        <f>Table1[[#This Row],[Salary]]+Table1[[#This Row],[Bonus]]</f>
        <v>705073.59090000007</v>
      </c>
      <c r="K920" s="25">
        <f>COUNTA(Table1[Employee_ID])</f>
        <v>1000</v>
      </c>
      <c r="L920" s="1">
        <f>SUM(Table1[Salary])</f>
        <v>3119391523.8580012</v>
      </c>
      <c r="M920" s="15">
        <f>AVERAGE(Table1[Salary])</f>
        <v>3119391.5238580015</v>
      </c>
      <c r="N920" s="29">
        <f>SUM(Table1[Bonus])</f>
        <v>308244983.02069992</v>
      </c>
    </row>
    <row r="921" spans="1:14" ht="12.75" customHeight="1" x14ac:dyDescent="0.25">
      <c r="A921" s="2">
        <v>903</v>
      </c>
      <c r="B921" s="10" t="s">
        <v>689</v>
      </c>
      <c r="C921" s="10" t="s">
        <v>1343</v>
      </c>
      <c r="D921" s="10" t="s">
        <v>59</v>
      </c>
      <c r="E921" s="10" t="s">
        <v>33</v>
      </c>
      <c r="F921" s="10" t="s">
        <v>34</v>
      </c>
      <c r="G921" s="10" t="s">
        <v>48</v>
      </c>
      <c r="H921" s="13">
        <v>540201.228</v>
      </c>
      <c r="I921" s="15">
        <f>IF(Table1[[#This Row],[Salary]]&lt;1000000,Table1[[#This Row],[Salary]]*0.05,Table1[[#This Row],[Salary]]*0.1)</f>
        <v>27010.061400000002</v>
      </c>
      <c r="J921" s="15">
        <f>Table1[[#This Row],[Salary]]+Table1[[#This Row],[Bonus]]</f>
        <v>567211.28940000001</v>
      </c>
      <c r="K921" s="25">
        <f>COUNTA(Table1[Employee_ID])</f>
        <v>1000</v>
      </c>
      <c r="L921" s="1">
        <f>SUM(Table1[Salary])</f>
        <v>3119391523.8580012</v>
      </c>
      <c r="M921" s="15">
        <f>AVERAGE(Table1[Salary])</f>
        <v>3119391.5238580015</v>
      </c>
      <c r="N921" s="29">
        <f>SUM(Table1[Bonus])</f>
        <v>308244983.02069992</v>
      </c>
    </row>
    <row r="922" spans="1:14" ht="12.75" customHeight="1" x14ac:dyDescent="0.25">
      <c r="A922" s="2">
        <v>904</v>
      </c>
      <c r="B922" s="10" t="s">
        <v>1344</v>
      </c>
      <c r="C922" s="10" t="s">
        <v>346</v>
      </c>
      <c r="D922" s="10" t="s">
        <v>324</v>
      </c>
      <c r="E922" s="10" t="s">
        <v>27</v>
      </c>
      <c r="F922" s="10" t="s">
        <v>106</v>
      </c>
      <c r="G922" s="10" t="s">
        <v>35</v>
      </c>
      <c r="H922" s="13">
        <v>2713334.8939999999</v>
      </c>
      <c r="I922" s="15">
        <f>IF(Table1[[#This Row],[Salary]]&lt;1000000,Table1[[#This Row],[Salary]]*0.05,Table1[[#This Row],[Salary]]*0.1)</f>
        <v>271333.48940000002</v>
      </c>
      <c r="J922" s="15">
        <f>Table1[[#This Row],[Salary]]+Table1[[#This Row],[Bonus]]</f>
        <v>2984668.3833999997</v>
      </c>
      <c r="K922" s="25">
        <f>COUNTA(Table1[Employee_ID])</f>
        <v>1000</v>
      </c>
      <c r="L922" s="1">
        <f>SUM(Table1[Salary])</f>
        <v>3119391523.8580012</v>
      </c>
      <c r="M922" s="15">
        <f>AVERAGE(Table1[Salary])</f>
        <v>3119391.5238580015</v>
      </c>
      <c r="N922" s="29">
        <f>SUM(Table1[Bonus])</f>
        <v>308244983.02069992</v>
      </c>
    </row>
    <row r="923" spans="1:14" ht="12.75" customHeight="1" x14ac:dyDescent="0.25">
      <c r="A923" s="2">
        <v>905</v>
      </c>
      <c r="B923" s="10" t="s">
        <v>1161</v>
      </c>
      <c r="C923" s="10" t="s">
        <v>1345</v>
      </c>
      <c r="D923" s="10" t="s">
        <v>54</v>
      </c>
      <c r="E923" s="10" t="s">
        <v>10</v>
      </c>
      <c r="F923" s="10" t="s">
        <v>131</v>
      </c>
      <c r="G923" s="10" t="s">
        <v>29</v>
      </c>
      <c r="H923" s="13">
        <v>1920019.976</v>
      </c>
      <c r="I923" s="15">
        <f>IF(Table1[[#This Row],[Salary]]&lt;1000000,Table1[[#This Row],[Salary]]*0.05,Table1[[#This Row],[Salary]]*0.1)</f>
        <v>192001.9976</v>
      </c>
      <c r="J923" s="15">
        <f>Table1[[#This Row],[Salary]]+Table1[[#This Row],[Bonus]]</f>
        <v>2112021.9736000001</v>
      </c>
      <c r="K923" s="25">
        <f>COUNTA(Table1[Employee_ID])</f>
        <v>1000</v>
      </c>
      <c r="L923" s="1">
        <f>SUM(Table1[Salary])</f>
        <v>3119391523.8580012</v>
      </c>
      <c r="M923" s="15">
        <f>AVERAGE(Table1[Salary])</f>
        <v>3119391.5238580015</v>
      </c>
      <c r="N923" s="29">
        <f>SUM(Table1[Bonus])</f>
        <v>308244983.02069992</v>
      </c>
    </row>
    <row r="924" spans="1:14" ht="12.75" customHeight="1" x14ac:dyDescent="0.25">
      <c r="A924" s="2">
        <v>906</v>
      </c>
      <c r="B924" s="10" t="s">
        <v>1171</v>
      </c>
      <c r="C924" s="10" t="s">
        <v>1301</v>
      </c>
      <c r="D924" s="10" t="s">
        <v>324</v>
      </c>
      <c r="E924" s="10" t="s">
        <v>13</v>
      </c>
      <c r="F924" s="10" t="s">
        <v>120</v>
      </c>
      <c r="G924" s="10" t="s">
        <v>23</v>
      </c>
      <c r="H924" s="13">
        <v>2149692.8259999999</v>
      </c>
      <c r="I924" s="15">
        <f>IF(Table1[[#This Row],[Salary]]&lt;1000000,Table1[[#This Row],[Salary]]*0.05,Table1[[#This Row],[Salary]]*0.1)</f>
        <v>214969.28260000001</v>
      </c>
      <c r="J924" s="15">
        <f>Table1[[#This Row],[Salary]]+Table1[[#This Row],[Bonus]]</f>
        <v>2364662.1085999999</v>
      </c>
      <c r="K924" s="25">
        <f>COUNTA(Table1[Employee_ID])</f>
        <v>1000</v>
      </c>
      <c r="L924" s="1">
        <f>SUM(Table1[Salary])</f>
        <v>3119391523.8580012</v>
      </c>
      <c r="M924" s="15">
        <f>AVERAGE(Table1[Salary])</f>
        <v>3119391.5238580015</v>
      </c>
      <c r="N924" s="29">
        <f>SUM(Table1[Bonus])</f>
        <v>308244983.02069992</v>
      </c>
    </row>
    <row r="925" spans="1:14" ht="12.75" customHeight="1" x14ac:dyDescent="0.25">
      <c r="A925" s="2">
        <v>907</v>
      </c>
      <c r="B925" s="10" t="s">
        <v>400</v>
      </c>
      <c r="C925" s="10" t="s">
        <v>1177</v>
      </c>
      <c r="D925" s="10" t="s">
        <v>488</v>
      </c>
      <c r="E925" s="10" t="s">
        <v>27</v>
      </c>
      <c r="F925" s="10" t="s">
        <v>28</v>
      </c>
      <c r="G925" s="10" t="s">
        <v>23</v>
      </c>
      <c r="H925" s="13">
        <v>3760493.8420000002</v>
      </c>
      <c r="I925" s="15">
        <f>IF(Table1[[#This Row],[Salary]]&lt;1000000,Table1[[#This Row],[Salary]]*0.05,Table1[[#This Row],[Salary]]*0.1)</f>
        <v>376049.38420000003</v>
      </c>
      <c r="J925" s="15">
        <f>Table1[[#This Row],[Salary]]+Table1[[#This Row],[Bonus]]</f>
        <v>4136543.2262000004</v>
      </c>
      <c r="K925" s="25">
        <f>COUNTA(Table1[Employee_ID])</f>
        <v>1000</v>
      </c>
      <c r="L925" s="1">
        <f>SUM(Table1[Salary])</f>
        <v>3119391523.8580012</v>
      </c>
      <c r="M925" s="15">
        <f>AVERAGE(Table1[Salary])</f>
        <v>3119391.5238580015</v>
      </c>
      <c r="N925" s="29">
        <f>SUM(Table1[Bonus])</f>
        <v>308244983.02069992</v>
      </c>
    </row>
    <row r="926" spans="1:14" ht="12.75" customHeight="1" x14ac:dyDescent="0.25">
      <c r="A926" s="2">
        <v>908</v>
      </c>
      <c r="B926" s="10" t="s">
        <v>1034</v>
      </c>
      <c r="C926" s="10" t="s">
        <v>1346</v>
      </c>
      <c r="D926" s="10" t="s">
        <v>32</v>
      </c>
      <c r="E926" s="10" t="s">
        <v>27</v>
      </c>
      <c r="F926" s="10" t="s">
        <v>85</v>
      </c>
      <c r="G926" s="10" t="s">
        <v>71</v>
      </c>
      <c r="H926" s="13">
        <v>1809543.808</v>
      </c>
      <c r="I926" s="15">
        <f>IF(Table1[[#This Row],[Salary]]&lt;1000000,Table1[[#This Row],[Salary]]*0.05,Table1[[#This Row],[Salary]]*0.1)</f>
        <v>180954.38080000001</v>
      </c>
      <c r="J926" s="15">
        <f>Table1[[#This Row],[Salary]]+Table1[[#This Row],[Bonus]]</f>
        <v>1990498.1887999999</v>
      </c>
      <c r="K926" s="25">
        <f>COUNTA(Table1[Employee_ID])</f>
        <v>1000</v>
      </c>
      <c r="L926" s="1">
        <f>SUM(Table1[Salary])</f>
        <v>3119391523.8580012</v>
      </c>
      <c r="M926" s="15">
        <f>AVERAGE(Table1[Salary])</f>
        <v>3119391.5238580015</v>
      </c>
      <c r="N926" s="29">
        <f>SUM(Table1[Bonus])</f>
        <v>308244983.02069992</v>
      </c>
    </row>
    <row r="927" spans="1:14" ht="12.75" customHeight="1" x14ac:dyDescent="0.25">
      <c r="A927" s="2">
        <v>909</v>
      </c>
      <c r="B927" s="10" t="s">
        <v>126</v>
      </c>
      <c r="C927" s="10" t="s">
        <v>1347</v>
      </c>
      <c r="D927" s="10" t="s">
        <v>59</v>
      </c>
      <c r="E927" s="10" t="s">
        <v>27</v>
      </c>
      <c r="F927" s="10" t="s">
        <v>106</v>
      </c>
      <c r="G927" s="10" t="s">
        <v>29</v>
      </c>
      <c r="H927" s="13">
        <v>3920277.818</v>
      </c>
      <c r="I927" s="15">
        <f>IF(Table1[[#This Row],[Salary]]&lt;1000000,Table1[[#This Row],[Salary]]*0.05,Table1[[#This Row],[Salary]]*0.1)</f>
        <v>392027.7818</v>
      </c>
      <c r="J927" s="15">
        <f>Table1[[#This Row],[Salary]]+Table1[[#This Row],[Bonus]]</f>
        <v>4312305.5998</v>
      </c>
      <c r="K927" s="25">
        <f>COUNTA(Table1[Employee_ID])</f>
        <v>1000</v>
      </c>
      <c r="L927" s="1">
        <f>SUM(Table1[Salary])</f>
        <v>3119391523.8580012</v>
      </c>
      <c r="M927" s="15">
        <f>AVERAGE(Table1[Salary])</f>
        <v>3119391.5238580015</v>
      </c>
      <c r="N927" s="29">
        <f>SUM(Table1[Bonus])</f>
        <v>308244983.02069992</v>
      </c>
    </row>
    <row r="928" spans="1:14" ht="12.75" customHeight="1" x14ac:dyDescent="0.25">
      <c r="A928" s="2">
        <v>911</v>
      </c>
      <c r="B928" s="10" t="s">
        <v>1168</v>
      </c>
      <c r="C928" s="10" t="s">
        <v>1175</v>
      </c>
      <c r="D928" s="10" t="s">
        <v>77</v>
      </c>
      <c r="E928" s="10" t="s">
        <v>6</v>
      </c>
      <c r="F928" s="10" t="s">
        <v>74</v>
      </c>
      <c r="G928" s="10" t="s">
        <v>56</v>
      </c>
      <c r="H928" s="13">
        <v>1704256.34</v>
      </c>
      <c r="I928" s="15">
        <f>IF(Table1[[#This Row],[Salary]]&lt;1000000,Table1[[#This Row],[Salary]]*0.05,Table1[[#This Row],[Salary]]*0.1)</f>
        <v>170425.63400000002</v>
      </c>
      <c r="J928" s="15">
        <f>Table1[[#This Row],[Salary]]+Table1[[#This Row],[Bonus]]</f>
        <v>1874681.9740000002</v>
      </c>
      <c r="K928" s="25">
        <f>COUNTA(Table1[Employee_ID])</f>
        <v>1000</v>
      </c>
      <c r="L928" s="1">
        <f>SUM(Table1[Salary])</f>
        <v>3119391523.8580012</v>
      </c>
      <c r="M928" s="15">
        <f>AVERAGE(Table1[Salary])</f>
        <v>3119391.5238580015</v>
      </c>
      <c r="N928" s="29">
        <f>SUM(Table1[Bonus])</f>
        <v>308244983.02069992</v>
      </c>
    </row>
    <row r="929" spans="1:14" ht="12.75" customHeight="1" x14ac:dyDescent="0.25">
      <c r="A929" s="2">
        <v>913</v>
      </c>
      <c r="B929" s="10" t="s">
        <v>1349</v>
      </c>
      <c r="C929" s="10" t="s">
        <v>382</v>
      </c>
      <c r="D929" s="10" t="s">
        <v>377</v>
      </c>
      <c r="E929" s="10" t="s">
        <v>27</v>
      </c>
      <c r="F929" s="10" t="s">
        <v>28</v>
      </c>
      <c r="G929" s="10" t="s">
        <v>71</v>
      </c>
      <c r="H929" s="13">
        <v>2971291.406</v>
      </c>
      <c r="I929" s="15">
        <f>IF(Table1[[#This Row],[Salary]]&lt;1000000,Table1[[#This Row],[Salary]]*0.05,Table1[[#This Row],[Salary]]*0.1)</f>
        <v>297129.14059999998</v>
      </c>
      <c r="J929" s="15">
        <f>Table1[[#This Row],[Salary]]+Table1[[#This Row],[Bonus]]</f>
        <v>3268420.5466</v>
      </c>
      <c r="K929" s="25">
        <f>COUNTA(Table1[Employee_ID])</f>
        <v>1000</v>
      </c>
      <c r="L929" s="1">
        <f>SUM(Table1[Salary])</f>
        <v>3119391523.8580012</v>
      </c>
      <c r="M929" s="15">
        <f>AVERAGE(Table1[Salary])</f>
        <v>3119391.5238580015</v>
      </c>
      <c r="N929" s="29">
        <f>SUM(Table1[Bonus])</f>
        <v>308244983.02069992</v>
      </c>
    </row>
    <row r="930" spans="1:14" ht="12.75" customHeight="1" x14ac:dyDescent="0.25">
      <c r="A930" s="2">
        <v>914</v>
      </c>
      <c r="B930" s="10" t="s">
        <v>75</v>
      </c>
      <c r="C930" s="10" t="s">
        <v>1350</v>
      </c>
      <c r="D930" s="10" t="s">
        <v>140</v>
      </c>
      <c r="E930" s="10" t="s">
        <v>27</v>
      </c>
      <c r="F930" s="10" t="s">
        <v>85</v>
      </c>
      <c r="G930" s="10" t="s">
        <v>23</v>
      </c>
      <c r="H930" s="13">
        <v>1451030.29</v>
      </c>
      <c r="I930" s="15">
        <f>IF(Table1[[#This Row],[Salary]]&lt;1000000,Table1[[#This Row],[Salary]]*0.05,Table1[[#This Row],[Salary]]*0.1)</f>
        <v>145103.02900000001</v>
      </c>
      <c r="J930" s="15">
        <f>Table1[[#This Row],[Salary]]+Table1[[#This Row],[Bonus]]</f>
        <v>1596133.3190000001</v>
      </c>
      <c r="K930" s="25">
        <f>COUNTA(Table1[Employee_ID])</f>
        <v>1000</v>
      </c>
      <c r="L930" s="1">
        <f>SUM(Table1[Salary])</f>
        <v>3119391523.8580012</v>
      </c>
      <c r="M930" s="15">
        <f>AVERAGE(Table1[Salary])</f>
        <v>3119391.5238580015</v>
      </c>
      <c r="N930" s="29">
        <f>SUM(Table1[Bonus])</f>
        <v>308244983.02069992</v>
      </c>
    </row>
    <row r="931" spans="1:14" ht="12.75" customHeight="1" x14ac:dyDescent="0.25">
      <c r="A931" s="2">
        <v>915</v>
      </c>
      <c r="B931" s="10" t="s">
        <v>634</v>
      </c>
      <c r="C931" s="10" t="s">
        <v>1317</v>
      </c>
      <c r="D931" s="10" t="s">
        <v>32</v>
      </c>
      <c r="E931" s="10" t="s">
        <v>6</v>
      </c>
      <c r="F931" s="10" t="s">
        <v>123</v>
      </c>
      <c r="G931" s="10" t="s">
        <v>23</v>
      </c>
      <c r="H931" s="13">
        <v>5566381.8159999996</v>
      </c>
      <c r="I931" s="15">
        <f>IF(Table1[[#This Row],[Salary]]&lt;1000000,Table1[[#This Row],[Salary]]*0.05,Table1[[#This Row],[Salary]]*0.1)</f>
        <v>556638.18160000001</v>
      </c>
      <c r="J931" s="15">
        <f>Table1[[#This Row],[Salary]]+Table1[[#This Row],[Bonus]]</f>
        <v>6123019.9975999994</v>
      </c>
      <c r="K931" s="25">
        <f>COUNTA(Table1[Employee_ID])</f>
        <v>1000</v>
      </c>
      <c r="L931" s="1">
        <f>SUM(Table1[Salary])</f>
        <v>3119391523.8580012</v>
      </c>
      <c r="M931" s="15">
        <f>AVERAGE(Table1[Salary])</f>
        <v>3119391.5238580015</v>
      </c>
      <c r="N931" s="29">
        <f>SUM(Table1[Bonus])</f>
        <v>308244983.02069992</v>
      </c>
    </row>
    <row r="932" spans="1:14" ht="12.75" customHeight="1" x14ac:dyDescent="0.25">
      <c r="A932" s="2">
        <v>916</v>
      </c>
      <c r="B932" s="10" t="s">
        <v>1351</v>
      </c>
      <c r="C932" s="10" t="s">
        <v>1352</v>
      </c>
      <c r="D932" s="10" t="s">
        <v>316</v>
      </c>
      <c r="E932" s="10" t="s">
        <v>33</v>
      </c>
      <c r="F932" s="10" t="s">
        <v>47</v>
      </c>
      <c r="G932" s="10" t="s">
        <v>35</v>
      </c>
      <c r="H932" s="13">
        <v>4759917.9159999993</v>
      </c>
      <c r="I932" s="15">
        <f>IF(Table1[[#This Row],[Salary]]&lt;1000000,Table1[[#This Row],[Salary]]*0.05,Table1[[#This Row],[Salary]]*0.1)</f>
        <v>475991.79159999994</v>
      </c>
      <c r="J932" s="15">
        <f>Table1[[#This Row],[Salary]]+Table1[[#This Row],[Bonus]]</f>
        <v>5235909.7075999994</v>
      </c>
      <c r="K932" s="25">
        <f>COUNTA(Table1[Employee_ID])</f>
        <v>1000</v>
      </c>
      <c r="L932" s="1">
        <f>SUM(Table1[Salary])</f>
        <v>3119391523.8580012</v>
      </c>
      <c r="M932" s="15">
        <f>AVERAGE(Table1[Salary])</f>
        <v>3119391.5238580015</v>
      </c>
      <c r="N932" s="29">
        <f>SUM(Table1[Bonus])</f>
        <v>308244983.02069992</v>
      </c>
    </row>
    <row r="933" spans="1:14" ht="12.75" customHeight="1" x14ac:dyDescent="0.25">
      <c r="A933" s="2">
        <v>917</v>
      </c>
      <c r="B933" s="10" t="s">
        <v>1353</v>
      </c>
      <c r="C933" s="10" t="s">
        <v>1354</v>
      </c>
      <c r="D933" s="10" t="s">
        <v>174</v>
      </c>
      <c r="E933" s="10" t="s">
        <v>27</v>
      </c>
      <c r="F933" s="10" t="s">
        <v>106</v>
      </c>
      <c r="G933" s="10" t="s">
        <v>56</v>
      </c>
      <c r="H933" s="13">
        <v>2677223.8739999998</v>
      </c>
      <c r="I933" s="15">
        <f>IF(Table1[[#This Row],[Salary]]&lt;1000000,Table1[[#This Row],[Salary]]*0.05,Table1[[#This Row],[Salary]]*0.1)</f>
        <v>267722.38740000001</v>
      </c>
      <c r="J933" s="15">
        <f>Table1[[#This Row],[Salary]]+Table1[[#This Row],[Bonus]]</f>
        <v>2944946.2613999997</v>
      </c>
      <c r="K933" s="25">
        <f>COUNTA(Table1[Employee_ID])</f>
        <v>1000</v>
      </c>
      <c r="L933" s="1">
        <f>SUM(Table1[Salary])</f>
        <v>3119391523.8580012</v>
      </c>
      <c r="M933" s="15">
        <f>AVERAGE(Table1[Salary])</f>
        <v>3119391.5238580015</v>
      </c>
      <c r="N933" s="29">
        <f>SUM(Table1[Bonus])</f>
        <v>308244983.02069992</v>
      </c>
    </row>
    <row r="934" spans="1:14" ht="12.75" customHeight="1" x14ac:dyDescent="0.25">
      <c r="A934" s="2">
        <v>918</v>
      </c>
      <c r="B934" s="10" t="s">
        <v>1355</v>
      </c>
      <c r="C934" s="10" t="s">
        <v>1356</v>
      </c>
      <c r="D934" s="10" t="s">
        <v>183</v>
      </c>
      <c r="E934" s="10" t="s">
        <v>39</v>
      </c>
      <c r="F934" s="10" t="s">
        <v>186</v>
      </c>
      <c r="G934" s="10" t="s">
        <v>23</v>
      </c>
      <c r="H934" s="13">
        <v>2600647.9900000002</v>
      </c>
      <c r="I934" s="15">
        <f>IF(Table1[[#This Row],[Salary]]&lt;1000000,Table1[[#This Row],[Salary]]*0.05,Table1[[#This Row],[Salary]]*0.1)</f>
        <v>260064.79900000003</v>
      </c>
      <c r="J934" s="15">
        <f>Table1[[#This Row],[Salary]]+Table1[[#This Row],[Bonus]]</f>
        <v>2860712.7890000003</v>
      </c>
      <c r="K934" s="25">
        <f>COUNTA(Table1[Employee_ID])</f>
        <v>1000</v>
      </c>
      <c r="L934" s="1">
        <f>SUM(Table1[Salary])</f>
        <v>3119391523.8580012</v>
      </c>
      <c r="M934" s="15">
        <f>AVERAGE(Table1[Salary])</f>
        <v>3119391.5238580015</v>
      </c>
      <c r="N934" s="29">
        <f>SUM(Table1[Bonus])</f>
        <v>308244983.02069992</v>
      </c>
    </row>
    <row r="935" spans="1:14" ht="12.75" customHeight="1" x14ac:dyDescent="0.25">
      <c r="A935" s="2">
        <v>920</v>
      </c>
      <c r="B935" s="10" t="s">
        <v>1134</v>
      </c>
      <c r="C935" s="10" t="s">
        <v>1358</v>
      </c>
      <c r="D935" s="10" t="s">
        <v>46</v>
      </c>
      <c r="E935" s="10" t="s">
        <v>6</v>
      </c>
      <c r="F935" s="10" t="s">
        <v>144</v>
      </c>
      <c r="G935" s="10" t="s">
        <v>23</v>
      </c>
      <c r="H935" s="13">
        <v>5255160.0920000002</v>
      </c>
      <c r="I935" s="15">
        <f>IF(Table1[[#This Row],[Salary]]&lt;1000000,Table1[[#This Row],[Salary]]*0.05,Table1[[#This Row],[Salary]]*0.1)</f>
        <v>525516.00920000009</v>
      </c>
      <c r="J935" s="15">
        <f>Table1[[#This Row],[Salary]]+Table1[[#This Row],[Bonus]]</f>
        <v>5780676.1012000004</v>
      </c>
      <c r="K935" s="25">
        <f>COUNTA(Table1[Employee_ID])</f>
        <v>1000</v>
      </c>
      <c r="L935" s="1">
        <f>SUM(Table1[Salary])</f>
        <v>3119391523.8580012</v>
      </c>
      <c r="M935" s="15">
        <f>AVERAGE(Table1[Salary])</f>
        <v>3119391.5238580015</v>
      </c>
      <c r="N935" s="29">
        <f>SUM(Table1[Bonus])</f>
        <v>308244983.02069992</v>
      </c>
    </row>
    <row r="936" spans="1:14" ht="12.75" customHeight="1" x14ac:dyDescent="0.25">
      <c r="A936" s="2">
        <v>921</v>
      </c>
      <c r="B936" s="10" t="s">
        <v>1359</v>
      </c>
      <c r="C936" s="10" t="s">
        <v>1360</v>
      </c>
      <c r="D936" s="10" t="s">
        <v>488</v>
      </c>
      <c r="E936" s="10" t="s">
        <v>13</v>
      </c>
      <c r="F936" s="10" t="s">
        <v>43</v>
      </c>
      <c r="G936" s="10" t="s">
        <v>29</v>
      </c>
      <c r="H936" s="13">
        <v>514544.56400000001</v>
      </c>
      <c r="I936" s="15">
        <f>IF(Table1[[#This Row],[Salary]]&lt;1000000,Table1[[#This Row],[Salary]]*0.05,Table1[[#This Row],[Salary]]*0.1)</f>
        <v>25727.228200000001</v>
      </c>
      <c r="J936" s="15">
        <f>Table1[[#This Row],[Salary]]+Table1[[#This Row],[Bonus]]</f>
        <v>540271.79220000003</v>
      </c>
      <c r="K936" s="25">
        <f>COUNTA(Table1[Employee_ID])</f>
        <v>1000</v>
      </c>
      <c r="L936" s="1">
        <f>SUM(Table1[Salary])</f>
        <v>3119391523.8580012</v>
      </c>
      <c r="M936" s="15">
        <f>AVERAGE(Table1[Salary])</f>
        <v>3119391.5238580015</v>
      </c>
      <c r="N936" s="29">
        <f>SUM(Table1[Bonus])</f>
        <v>308244983.02069992</v>
      </c>
    </row>
    <row r="937" spans="1:14" ht="12.75" customHeight="1" x14ac:dyDescent="0.25">
      <c r="A937" s="2">
        <v>922</v>
      </c>
      <c r="B937" s="10" t="s">
        <v>65</v>
      </c>
      <c r="C937" s="10" t="s">
        <v>1260</v>
      </c>
      <c r="D937" s="10" t="s">
        <v>377</v>
      </c>
      <c r="E937" s="10" t="s">
        <v>10</v>
      </c>
      <c r="F937" s="10" t="s">
        <v>78</v>
      </c>
      <c r="G937" s="10" t="s">
        <v>71</v>
      </c>
      <c r="H937" s="13">
        <v>2586472.9279999998</v>
      </c>
      <c r="I937" s="15">
        <f>IF(Table1[[#This Row],[Salary]]&lt;1000000,Table1[[#This Row],[Salary]]*0.05,Table1[[#This Row],[Salary]]*0.1)</f>
        <v>258647.2928</v>
      </c>
      <c r="J937" s="15">
        <f>Table1[[#This Row],[Salary]]+Table1[[#This Row],[Bonus]]</f>
        <v>2845120.2207999998</v>
      </c>
      <c r="K937" s="25">
        <f>COUNTA(Table1[Employee_ID])</f>
        <v>1000</v>
      </c>
      <c r="L937" s="1">
        <f>SUM(Table1[Salary])</f>
        <v>3119391523.8580012</v>
      </c>
      <c r="M937" s="15">
        <f>AVERAGE(Table1[Salary])</f>
        <v>3119391.5238580015</v>
      </c>
      <c r="N937" s="29">
        <f>SUM(Table1[Bonus])</f>
        <v>308244983.02069992</v>
      </c>
    </row>
    <row r="938" spans="1:14" ht="12.75" customHeight="1" x14ac:dyDescent="0.25">
      <c r="A938" s="2">
        <v>923</v>
      </c>
      <c r="B938" s="10" t="s">
        <v>1361</v>
      </c>
      <c r="C938" s="10" t="s">
        <v>409</v>
      </c>
      <c r="D938" s="10" t="s">
        <v>159</v>
      </c>
      <c r="E938" s="10" t="s">
        <v>63</v>
      </c>
      <c r="F938" s="10" t="s">
        <v>113</v>
      </c>
      <c r="G938" s="10" t="s">
        <v>29</v>
      </c>
      <c r="H938" s="13">
        <v>3458041.6039999998</v>
      </c>
      <c r="I938" s="15">
        <f>IF(Table1[[#This Row],[Salary]]&lt;1000000,Table1[[#This Row],[Salary]]*0.05,Table1[[#This Row],[Salary]]*0.1)</f>
        <v>345804.16039999999</v>
      </c>
      <c r="J938" s="15">
        <f>Table1[[#This Row],[Salary]]+Table1[[#This Row],[Bonus]]</f>
        <v>3803845.7643999998</v>
      </c>
      <c r="K938" s="25">
        <f>COUNTA(Table1[Employee_ID])</f>
        <v>1000</v>
      </c>
      <c r="L938" s="1">
        <f>SUM(Table1[Salary])</f>
        <v>3119391523.8580012</v>
      </c>
      <c r="M938" s="15">
        <f>AVERAGE(Table1[Salary])</f>
        <v>3119391.5238580015</v>
      </c>
      <c r="N938" s="29">
        <f>SUM(Table1[Bonus])</f>
        <v>308244983.02069992</v>
      </c>
    </row>
    <row r="939" spans="1:14" ht="12.75" customHeight="1" x14ac:dyDescent="0.25">
      <c r="A939" s="2">
        <v>924</v>
      </c>
      <c r="B939" s="10" t="s">
        <v>874</v>
      </c>
      <c r="C939" s="10" t="s">
        <v>1139</v>
      </c>
      <c r="D939" s="10" t="s">
        <v>21</v>
      </c>
      <c r="E939" s="10" t="s">
        <v>13</v>
      </c>
      <c r="F939" s="10" t="s">
        <v>67</v>
      </c>
      <c r="G939" s="10" t="s">
        <v>35</v>
      </c>
      <c r="H939" s="13">
        <v>5689997.6380000003</v>
      </c>
      <c r="I939" s="15">
        <f>IF(Table1[[#This Row],[Salary]]&lt;1000000,Table1[[#This Row],[Salary]]*0.05,Table1[[#This Row],[Salary]]*0.1)</f>
        <v>568999.76380000007</v>
      </c>
      <c r="J939" s="15">
        <f>Table1[[#This Row],[Salary]]+Table1[[#This Row],[Bonus]]</f>
        <v>6258997.4018000001</v>
      </c>
      <c r="K939" s="25">
        <f>COUNTA(Table1[Employee_ID])</f>
        <v>1000</v>
      </c>
      <c r="L939" s="1">
        <f>SUM(Table1[Salary])</f>
        <v>3119391523.8580012</v>
      </c>
      <c r="M939" s="15">
        <f>AVERAGE(Table1[Salary])</f>
        <v>3119391.5238580015</v>
      </c>
      <c r="N939" s="29">
        <f>SUM(Table1[Bonus])</f>
        <v>308244983.02069992</v>
      </c>
    </row>
    <row r="940" spans="1:14" ht="12.75" customHeight="1" x14ac:dyDescent="0.25">
      <c r="A940" s="2">
        <v>925</v>
      </c>
      <c r="B940" s="10" t="s">
        <v>1362</v>
      </c>
      <c r="C940" s="10" t="s">
        <v>1363</v>
      </c>
      <c r="D940" s="10" t="s">
        <v>59</v>
      </c>
      <c r="E940" s="10" t="s">
        <v>33</v>
      </c>
      <c r="F940" s="10" t="s">
        <v>55</v>
      </c>
      <c r="G940" s="10" t="s">
        <v>48</v>
      </c>
      <c r="H940" s="13">
        <v>538482.54399999999</v>
      </c>
      <c r="I940" s="15">
        <f>IF(Table1[[#This Row],[Salary]]&lt;1000000,Table1[[#This Row],[Salary]]*0.05,Table1[[#This Row],[Salary]]*0.1)</f>
        <v>26924.127200000003</v>
      </c>
      <c r="J940" s="15">
        <f>Table1[[#This Row],[Salary]]+Table1[[#This Row],[Bonus]]</f>
        <v>565406.67119999998</v>
      </c>
      <c r="K940" s="25">
        <f>COUNTA(Table1[Employee_ID])</f>
        <v>1000</v>
      </c>
      <c r="L940" s="1">
        <f>SUM(Table1[Salary])</f>
        <v>3119391523.8580012</v>
      </c>
      <c r="M940" s="15">
        <f>AVERAGE(Table1[Salary])</f>
        <v>3119391.5238580015</v>
      </c>
      <c r="N940" s="29">
        <f>SUM(Table1[Bonus])</f>
        <v>308244983.02069992</v>
      </c>
    </row>
    <row r="941" spans="1:14" ht="12.75" customHeight="1" x14ac:dyDescent="0.25">
      <c r="A941" s="2">
        <v>926</v>
      </c>
      <c r="B941" s="10" t="s">
        <v>669</v>
      </c>
      <c r="C941" s="10" t="s">
        <v>1364</v>
      </c>
      <c r="D941" s="10" t="s">
        <v>21</v>
      </c>
      <c r="E941" s="10" t="s">
        <v>63</v>
      </c>
      <c r="F941" s="10" t="s">
        <v>131</v>
      </c>
      <c r="G941" s="10" t="s">
        <v>56</v>
      </c>
      <c r="H941" s="13">
        <v>3234924.0060000001</v>
      </c>
      <c r="I941" s="15">
        <f>IF(Table1[[#This Row],[Salary]]&lt;1000000,Table1[[#This Row],[Salary]]*0.05,Table1[[#This Row],[Salary]]*0.1)</f>
        <v>323492.40060000005</v>
      </c>
      <c r="J941" s="15">
        <f>Table1[[#This Row],[Salary]]+Table1[[#This Row],[Bonus]]</f>
        <v>3558416.4066000003</v>
      </c>
      <c r="K941" s="25">
        <f>COUNTA(Table1[Employee_ID])</f>
        <v>1000</v>
      </c>
      <c r="L941" s="1">
        <f>SUM(Table1[Salary])</f>
        <v>3119391523.8580012</v>
      </c>
      <c r="M941" s="15">
        <f>AVERAGE(Table1[Salary])</f>
        <v>3119391.5238580015</v>
      </c>
      <c r="N941" s="29">
        <f>SUM(Table1[Bonus])</f>
        <v>308244983.02069992</v>
      </c>
    </row>
    <row r="942" spans="1:14" ht="12.75" customHeight="1" x14ac:dyDescent="0.25">
      <c r="A942" s="2">
        <v>927</v>
      </c>
      <c r="B942" s="10" t="s">
        <v>387</v>
      </c>
      <c r="C942" s="10" t="s">
        <v>1365</v>
      </c>
      <c r="D942" s="10" t="s">
        <v>96</v>
      </c>
      <c r="E942" s="10" t="s">
        <v>27</v>
      </c>
      <c r="F942" s="10" t="s">
        <v>28</v>
      </c>
      <c r="G942" s="10" t="s">
        <v>56</v>
      </c>
      <c r="H942" s="13">
        <v>3039160.7679999997</v>
      </c>
      <c r="I942" s="15">
        <f>IF(Table1[[#This Row],[Salary]]&lt;1000000,Table1[[#This Row],[Salary]]*0.05,Table1[[#This Row],[Salary]]*0.1)</f>
        <v>303916.07679999998</v>
      </c>
      <c r="J942" s="15">
        <f>Table1[[#This Row],[Salary]]+Table1[[#This Row],[Bonus]]</f>
        <v>3343076.8447999996</v>
      </c>
      <c r="K942" s="25">
        <f>COUNTA(Table1[Employee_ID])</f>
        <v>1000</v>
      </c>
      <c r="L942" s="1">
        <f>SUM(Table1[Salary])</f>
        <v>3119391523.8580012</v>
      </c>
      <c r="M942" s="15">
        <f>AVERAGE(Table1[Salary])</f>
        <v>3119391.5238580015</v>
      </c>
      <c r="N942" s="29">
        <f>SUM(Table1[Bonus])</f>
        <v>308244983.02069992</v>
      </c>
    </row>
    <row r="943" spans="1:14" ht="12.75" customHeight="1" x14ac:dyDescent="0.25">
      <c r="A943" s="2">
        <v>928</v>
      </c>
      <c r="B943" s="10" t="s">
        <v>1366</v>
      </c>
      <c r="C943" s="10" t="s">
        <v>181</v>
      </c>
      <c r="D943" s="10" t="s">
        <v>118</v>
      </c>
      <c r="E943" s="10" t="s">
        <v>39</v>
      </c>
      <c r="F943" s="10" t="s">
        <v>189</v>
      </c>
      <c r="G943" s="10" t="s">
        <v>35</v>
      </c>
      <c r="H943" s="13">
        <v>819151.57</v>
      </c>
      <c r="I943" s="15">
        <f>IF(Table1[[#This Row],[Salary]]&lt;1000000,Table1[[#This Row],[Salary]]*0.05,Table1[[#This Row],[Salary]]*0.1)</f>
        <v>40957.578500000003</v>
      </c>
      <c r="J943" s="15">
        <f>Table1[[#This Row],[Salary]]+Table1[[#This Row],[Bonus]]</f>
        <v>860109.14849999989</v>
      </c>
      <c r="K943" s="25">
        <f>COUNTA(Table1[Employee_ID])</f>
        <v>1000</v>
      </c>
      <c r="L943" s="1">
        <f>SUM(Table1[Salary])</f>
        <v>3119391523.8580012</v>
      </c>
      <c r="M943" s="15">
        <f>AVERAGE(Table1[Salary])</f>
        <v>3119391.5238580015</v>
      </c>
      <c r="N943" s="29">
        <f>SUM(Table1[Bonus])</f>
        <v>308244983.02069992</v>
      </c>
    </row>
    <row r="944" spans="1:14" ht="12.75" customHeight="1" x14ac:dyDescent="0.25">
      <c r="A944" s="2">
        <v>930</v>
      </c>
      <c r="B944" s="10" t="s">
        <v>656</v>
      </c>
      <c r="C944" s="10" t="s">
        <v>1369</v>
      </c>
      <c r="D944" s="10" t="s">
        <v>26</v>
      </c>
      <c r="E944" s="10" t="s">
        <v>10</v>
      </c>
      <c r="F944" s="10" t="s">
        <v>109</v>
      </c>
      <c r="G944" s="10" t="s">
        <v>23</v>
      </c>
      <c r="H944" s="13">
        <v>4137378.8560000001</v>
      </c>
      <c r="I944" s="15">
        <f>IF(Table1[[#This Row],[Salary]]&lt;1000000,Table1[[#This Row],[Salary]]*0.05,Table1[[#This Row],[Salary]]*0.1)</f>
        <v>413737.88560000004</v>
      </c>
      <c r="J944" s="15">
        <f>Table1[[#This Row],[Salary]]+Table1[[#This Row],[Bonus]]</f>
        <v>4551116.7416000003</v>
      </c>
      <c r="K944" s="25">
        <f>COUNTA(Table1[Employee_ID])</f>
        <v>1000</v>
      </c>
      <c r="L944" s="1">
        <f>SUM(Table1[Salary])</f>
        <v>3119391523.8580012</v>
      </c>
      <c r="M944" s="15">
        <f>AVERAGE(Table1[Salary])</f>
        <v>3119391.5238580015</v>
      </c>
      <c r="N944" s="29">
        <f>SUM(Table1[Bonus])</f>
        <v>308244983.02069992</v>
      </c>
    </row>
    <row r="945" spans="1:14" ht="12.75" customHeight="1" x14ac:dyDescent="0.25">
      <c r="A945" s="2">
        <v>931</v>
      </c>
      <c r="B945" s="10" t="s">
        <v>1370</v>
      </c>
      <c r="C945" s="10" t="s">
        <v>530</v>
      </c>
      <c r="D945" s="10" t="s">
        <v>125</v>
      </c>
      <c r="E945" s="10" t="s">
        <v>14</v>
      </c>
      <c r="F945" s="10" t="s">
        <v>234</v>
      </c>
      <c r="G945" s="10" t="s">
        <v>29</v>
      </c>
      <c r="H945" s="13">
        <v>3812260.7439999999</v>
      </c>
      <c r="I945" s="15">
        <f>IF(Table1[[#This Row],[Salary]]&lt;1000000,Table1[[#This Row],[Salary]]*0.05,Table1[[#This Row],[Salary]]*0.1)</f>
        <v>381226.07440000004</v>
      </c>
      <c r="J945" s="15">
        <f>Table1[[#This Row],[Salary]]+Table1[[#This Row],[Bonus]]</f>
        <v>4193486.8184000002</v>
      </c>
      <c r="K945" s="25">
        <f>COUNTA(Table1[Employee_ID])</f>
        <v>1000</v>
      </c>
      <c r="L945" s="1">
        <f>SUM(Table1[Salary])</f>
        <v>3119391523.8580012</v>
      </c>
      <c r="M945" s="15">
        <f>AVERAGE(Table1[Salary])</f>
        <v>3119391.5238580015</v>
      </c>
      <c r="N945" s="29">
        <f>SUM(Table1[Bonus])</f>
        <v>308244983.02069992</v>
      </c>
    </row>
    <row r="946" spans="1:14" ht="12.75" customHeight="1" x14ac:dyDescent="0.25">
      <c r="A946" s="2">
        <v>932</v>
      </c>
      <c r="B946" s="10" t="s">
        <v>1371</v>
      </c>
      <c r="C946" s="10" t="s">
        <v>959</v>
      </c>
      <c r="D946" s="10" t="s">
        <v>128</v>
      </c>
      <c r="E946" s="10" t="s">
        <v>27</v>
      </c>
      <c r="F946" s="10" t="s">
        <v>85</v>
      </c>
      <c r="G946" s="10" t="s">
        <v>23</v>
      </c>
      <c r="H946" s="13">
        <v>5084483.3440000005</v>
      </c>
      <c r="I946" s="15">
        <f>IF(Table1[[#This Row],[Salary]]&lt;1000000,Table1[[#This Row],[Salary]]*0.05,Table1[[#This Row],[Salary]]*0.1)</f>
        <v>508448.33440000005</v>
      </c>
      <c r="J946" s="15">
        <f>Table1[[#This Row],[Salary]]+Table1[[#This Row],[Bonus]]</f>
        <v>5592931.6784000006</v>
      </c>
      <c r="K946" s="25">
        <f>COUNTA(Table1[Employee_ID])</f>
        <v>1000</v>
      </c>
      <c r="L946" s="1">
        <f>SUM(Table1[Salary])</f>
        <v>3119391523.8580012</v>
      </c>
      <c r="M946" s="15">
        <f>AVERAGE(Table1[Salary])</f>
        <v>3119391.5238580015</v>
      </c>
      <c r="N946" s="29">
        <f>SUM(Table1[Bonus])</f>
        <v>308244983.02069992</v>
      </c>
    </row>
    <row r="947" spans="1:14" ht="12.75" customHeight="1" x14ac:dyDescent="0.25">
      <c r="A947" s="2">
        <v>933</v>
      </c>
      <c r="B947" s="10" t="s">
        <v>1372</v>
      </c>
      <c r="C947" s="10" t="s">
        <v>1373</v>
      </c>
      <c r="D947" s="10" t="s">
        <v>125</v>
      </c>
      <c r="E947" s="10" t="s">
        <v>2</v>
      </c>
      <c r="F947" s="10" t="s">
        <v>102</v>
      </c>
      <c r="G947" s="10" t="s">
        <v>29</v>
      </c>
      <c r="H947" s="13">
        <v>3325196.892</v>
      </c>
      <c r="I947" s="15">
        <f>IF(Table1[[#This Row],[Salary]]&lt;1000000,Table1[[#This Row],[Salary]]*0.05,Table1[[#This Row],[Salary]]*0.1)</f>
        <v>332519.68920000002</v>
      </c>
      <c r="J947" s="15">
        <f>Table1[[#This Row],[Salary]]+Table1[[#This Row],[Bonus]]</f>
        <v>3657716.5811999999</v>
      </c>
      <c r="K947" s="25">
        <f>COUNTA(Table1[Employee_ID])</f>
        <v>1000</v>
      </c>
      <c r="L947" s="1">
        <f>SUM(Table1[Salary])</f>
        <v>3119391523.8580012</v>
      </c>
      <c r="M947" s="15">
        <f>AVERAGE(Table1[Salary])</f>
        <v>3119391.5238580015</v>
      </c>
      <c r="N947" s="29">
        <f>SUM(Table1[Bonus])</f>
        <v>308244983.02069992</v>
      </c>
    </row>
    <row r="948" spans="1:14" ht="12.75" customHeight="1" x14ac:dyDescent="0.25">
      <c r="A948" s="2">
        <v>934</v>
      </c>
      <c r="B948" s="10" t="s">
        <v>1374</v>
      </c>
      <c r="C948" s="10" t="s">
        <v>1375</v>
      </c>
      <c r="D948" s="10" t="s">
        <v>134</v>
      </c>
      <c r="E948" s="10" t="s">
        <v>13</v>
      </c>
      <c r="F948" s="10" t="s">
        <v>120</v>
      </c>
      <c r="G948" s="10" t="s">
        <v>23</v>
      </c>
      <c r="H948" s="13">
        <v>2131728.264</v>
      </c>
      <c r="I948" s="15">
        <f>IF(Table1[[#This Row],[Salary]]&lt;1000000,Table1[[#This Row],[Salary]]*0.05,Table1[[#This Row],[Salary]]*0.1)</f>
        <v>213172.82640000002</v>
      </c>
      <c r="J948" s="15">
        <f>Table1[[#This Row],[Salary]]+Table1[[#This Row],[Bonus]]</f>
        <v>2344901.0904000001</v>
      </c>
      <c r="K948" s="25">
        <f>COUNTA(Table1[Employee_ID])</f>
        <v>1000</v>
      </c>
      <c r="L948" s="1">
        <f>SUM(Table1[Salary])</f>
        <v>3119391523.8580012</v>
      </c>
      <c r="M948" s="15">
        <f>AVERAGE(Table1[Salary])</f>
        <v>3119391.5238580015</v>
      </c>
      <c r="N948" s="29">
        <f>SUM(Table1[Bonus])</f>
        <v>308244983.02069992</v>
      </c>
    </row>
    <row r="949" spans="1:14" ht="12.75" customHeight="1" x14ac:dyDescent="0.25">
      <c r="A949" s="2">
        <v>935</v>
      </c>
      <c r="B949" s="10" t="s">
        <v>632</v>
      </c>
      <c r="C949" s="10" t="s">
        <v>1376</v>
      </c>
      <c r="D949" s="10" t="s">
        <v>137</v>
      </c>
      <c r="E949" s="10" t="s">
        <v>6</v>
      </c>
      <c r="F949" s="10" t="s">
        <v>74</v>
      </c>
      <c r="G949" s="10" t="s">
        <v>35</v>
      </c>
      <c r="H949" s="13">
        <v>452330.30200000003</v>
      </c>
      <c r="I949" s="15">
        <f>IF(Table1[[#This Row],[Salary]]&lt;1000000,Table1[[#This Row],[Salary]]*0.05,Table1[[#This Row],[Salary]]*0.1)</f>
        <v>22616.515100000004</v>
      </c>
      <c r="J949" s="15">
        <f>Table1[[#This Row],[Salary]]+Table1[[#This Row],[Bonus]]</f>
        <v>474946.81710000004</v>
      </c>
      <c r="K949" s="25">
        <f>COUNTA(Table1[Employee_ID])</f>
        <v>1000</v>
      </c>
      <c r="L949" s="1">
        <f>SUM(Table1[Salary])</f>
        <v>3119391523.8580012</v>
      </c>
      <c r="M949" s="15">
        <f>AVERAGE(Table1[Salary])</f>
        <v>3119391.5238580015</v>
      </c>
      <c r="N949" s="29">
        <f>SUM(Table1[Bonus])</f>
        <v>308244983.02069992</v>
      </c>
    </row>
    <row r="950" spans="1:14" ht="12.75" customHeight="1" x14ac:dyDescent="0.25">
      <c r="A950" s="2">
        <v>936</v>
      </c>
      <c r="B950" s="10" t="s">
        <v>1377</v>
      </c>
      <c r="C950" s="10" t="s">
        <v>206</v>
      </c>
      <c r="D950" s="10" t="s">
        <v>140</v>
      </c>
      <c r="E950" s="10" t="s">
        <v>13</v>
      </c>
      <c r="F950" s="10" t="s">
        <v>43</v>
      </c>
      <c r="G950" s="10" t="s">
        <v>71</v>
      </c>
      <c r="H950" s="13">
        <v>3624467.1159999999</v>
      </c>
      <c r="I950" s="15">
        <f>IF(Table1[[#This Row],[Salary]]&lt;1000000,Table1[[#This Row],[Salary]]*0.05,Table1[[#This Row],[Salary]]*0.1)</f>
        <v>362446.71160000004</v>
      </c>
      <c r="J950" s="15">
        <f>Table1[[#This Row],[Salary]]+Table1[[#This Row],[Bonus]]</f>
        <v>3986913.8276</v>
      </c>
      <c r="K950" s="25">
        <f>COUNTA(Table1[Employee_ID])</f>
        <v>1000</v>
      </c>
      <c r="L950" s="1">
        <f>SUM(Table1[Salary])</f>
        <v>3119391523.8580012</v>
      </c>
      <c r="M950" s="15">
        <f>AVERAGE(Table1[Salary])</f>
        <v>3119391.5238580015</v>
      </c>
      <c r="N950" s="29">
        <f>SUM(Table1[Bonus])</f>
        <v>308244983.02069992</v>
      </c>
    </row>
    <row r="951" spans="1:14" ht="12.75" customHeight="1" x14ac:dyDescent="0.25">
      <c r="A951" s="2">
        <v>937</v>
      </c>
      <c r="B951" s="10" t="s">
        <v>1378</v>
      </c>
      <c r="C951" s="10" t="s">
        <v>1379</v>
      </c>
      <c r="D951" s="10" t="s">
        <v>143</v>
      </c>
      <c r="E951" s="10" t="s">
        <v>39</v>
      </c>
      <c r="F951" s="10" t="s">
        <v>40</v>
      </c>
      <c r="G951" s="10" t="s">
        <v>48</v>
      </c>
      <c r="H951" s="13">
        <v>5795184.8300000001</v>
      </c>
      <c r="I951" s="15">
        <f>IF(Table1[[#This Row],[Salary]]&lt;1000000,Table1[[#This Row],[Salary]]*0.05,Table1[[#This Row],[Salary]]*0.1)</f>
        <v>579518.48300000001</v>
      </c>
      <c r="J951" s="15">
        <f>Table1[[#This Row],[Salary]]+Table1[[#This Row],[Bonus]]</f>
        <v>6374703.3130000001</v>
      </c>
      <c r="K951" s="25">
        <f>COUNTA(Table1[Employee_ID])</f>
        <v>1000</v>
      </c>
      <c r="L951" s="1">
        <f>SUM(Table1[Salary])</f>
        <v>3119391523.8580012</v>
      </c>
      <c r="M951" s="15">
        <f>AVERAGE(Table1[Salary])</f>
        <v>3119391.5238580015</v>
      </c>
      <c r="N951" s="29">
        <f>SUM(Table1[Bonus])</f>
        <v>308244983.02069992</v>
      </c>
    </row>
    <row r="952" spans="1:14" ht="12.75" customHeight="1" x14ac:dyDescent="0.25">
      <c r="A952" s="2">
        <v>938</v>
      </c>
      <c r="B952" s="10" t="s">
        <v>822</v>
      </c>
      <c r="C952" s="10" t="s">
        <v>1380</v>
      </c>
      <c r="D952" s="10" t="s">
        <v>146</v>
      </c>
      <c r="E952" s="10" t="s">
        <v>10</v>
      </c>
      <c r="F952" s="10" t="s">
        <v>131</v>
      </c>
      <c r="G952" s="10" t="s">
        <v>56</v>
      </c>
      <c r="H952" s="13">
        <v>1864724.7580000001</v>
      </c>
      <c r="I952" s="15">
        <f>IF(Table1[[#This Row],[Salary]]&lt;1000000,Table1[[#This Row],[Salary]]*0.05,Table1[[#This Row],[Salary]]*0.1)</f>
        <v>186472.47580000001</v>
      </c>
      <c r="J952" s="15">
        <f>Table1[[#This Row],[Salary]]+Table1[[#This Row],[Bonus]]</f>
        <v>2051197.2338</v>
      </c>
      <c r="K952" s="25">
        <f>COUNTA(Table1[Employee_ID])</f>
        <v>1000</v>
      </c>
      <c r="L952" s="1">
        <f>SUM(Table1[Salary])</f>
        <v>3119391523.8580012</v>
      </c>
      <c r="M952" s="15">
        <f>AVERAGE(Table1[Salary])</f>
        <v>3119391.5238580015</v>
      </c>
      <c r="N952" s="29">
        <f>SUM(Table1[Bonus])</f>
        <v>308244983.02069992</v>
      </c>
    </row>
    <row r="953" spans="1:14" ht="12.75" customHeight="1" x14ac:dyDescent="0.25">
      <c r="A953" s="2">
        <v>939</v>
      </c>
      <c r="B953" s="10" t="s">
        <v>261</v>
      </c>
      <c r="C953" s="10" t="s">
        <v>1381</v>
      </c>
      <c r="D953" s="10" t="s">
        <v>149</v>
      </c>
      <c r="E953" s="10" t="s">
        <v>27</v>
      </c>
      <c r="F953" s="10" t="s">
        <v>106</v>
      </c>
      <c r="G953" s="10" t="s">
        <v>23</v>
      </c>
      <c r="H953" s="13">
        <v>359228.7</v>
      </c>
      <c r="I953" s="15">
        <f>IF(Table1[[#This Row],[Salary]]&lt;1000000,Table1[[#This Row],[Salary]]*0.05,Table1[[#This Row],[Salary]]*0.1)</f>
        <v>17961.435000000001</v>
      </c>
      <c r="J953" s="15">
        <f>Table1[[#This Row],[Salary]]+Table1[[#This Row],[Bonus]]</f>
        <v>377190.13500000001</v>
      </c>
      <c r="K953" s="25">
        <f>COUNTA(Table1[Employee_ID])</f>
        <v>1000</v>
      </c>
      <c r="L953" s="1">
        <f>SUM(Table1[Salary])</f>
        <v>3119391523.8580012</v>
      </c>
      <c r="M953" s="15">
        <f>AVERAGE(Table1[Salary])</f>
        <v>3119391.5238580015</v>
      </c>
      <c r="N953" s="29">
        <f>SUM(Table1[Bonus])</f>
        <v>308244983.02069992</v>
      </c>
    </row>
    <row r="954" spans="1:14" ht="12.75" customHeight="1" x14ac:dyDescent="0.25">
      <c r="A954" s="2">
        <v>940</v>
      </c>
      <c r="B954" s="10" t="s">
        <v>1382</v>
      </c>
      <c r="C954" s="10" t="s">
        <v>1383</v>
      </c>
      <c r="D954" s="10" t="s">
        <v>88</v>
      </c>
      <c r="E954" s="10" t="s">
        <v>63</v>
      </c>
      <c r="F954" s="10" t="s">
        <v>64</v>
      </c>
      <c r="G954" s="10" t="s">
        <v>23</v>
      </c>
      <c r="H954" s="13">
        <v>4139527.7939999998</v>
      </c>
      <c r="I954" s="15">
        <f>IF(Table1[[#This Row],[Salary]]&lt;1000000,Table1[[#This Row],[Salary]]*0.05,Table1[[#This Row],[Salary]]*0.1)</f>
        <v>413952.7794</v>
      </c>
      <c r="J954" s="15">
        <f>Table1[[#This Row],[Salary]]+Table1[[#This Row],[Bonus]]</f>
        <v>4553480.5734000001</v>
      </c>
      <c r="K954" s="25">
        <f>COUNTA(Table1[Employee_ID])</f>
        <v>1000</v>
      </c>
      <c r="L954" s="1">
        <f>SUM(Table1[Salary])</f>
        <v>3119391523.8580012</v>
      </c>
      <c r="M954" s="15">
        <f>AVERAGE(Table1[Salary])</f>
        <v>3119391.5238580015</v>
      </c>
      <c r="N954" s="29">
        <f>SUM(Table1[Bonus])</f>
        <v>308244983.02069992</v>
      </c>
    </row>
    <row r="955" spans="1:14" ht="12.75" customHeight="1" x14ac:dyDescent="0.25">
      <c r="A955" s="2">
        <v>941</v>
      </c>
      <c r="B955" s="10" t="s">
        <v>1384</v>
      </c>
      <c r="C955" s="10" t="s">
        <v>1173</v>
      </c>
      <c r="D955" s="10" t="s">
        <v>26</v>
      </c>
      <c r="E955" s="10" t="s">
        <v>63</v>
      </c>
      <c r="F955" s="10" t="s">
        <v>113</v>
      </c>
      <c r="G955" s="10" t="s">
        <v>71</v>
      </c>
      <c r="H955" s="13">
        <v>3150587.2260000003</v>
      </c>
      <c r="I955" s="15">
        <f>IF(Table1[[#This Row],[Salary]]&lt;1000000,Table1[[#This Row],[Salary]]*0.05,Table1[[#This Row],[Salary]]*0.1)</f>
        <v>315058.72260000004</v>
      </c>
      <c r="J955" s="15">
        <f>Table1[[#This Row],[Salary]]+Table1[[#This Row],[Bonus]]</f>
        <v>3465645.9486000002</v>
      </c>
      <c r="K955" s="25">
        <f>COUNTA(Table1[Employee_ID])</f>
        <v>1000</v>
      </c>
      <c r="L955" s="1">
        <f>SUM(Table1[Salary])</f>
        <v>3119391523.8580012</v>
      </c>
      <c r="M955" s="15">
        <f>AVERAGE(Table1[Salary])</f>
        <v>3119391.5238580015</v>
      </c>
      <c r="N955" s="29">
        <f>SUM(Table1[Bonus])</f>
        <v>308244983.02069992</v>
      </c>
    </row>
    <row r="956" spans="1:14" ht="12.75" customHeight="1" x14ac:dyDescent="0.25">
      <c r="A956" s="2">
        <v>942</v>
      </c>
      <c r="B956" s="10" t="s">
        <v>1385</v>
      </c>
      <c r="C956" s="10" t="s">
        <v>835</v>
      </c>
      <c r="D956" s="10" t="s">
        <v>156</v>
      </c>
      <c r="E956" s="10" t="s">
        <v>33</v>
      </c>
      <c r="F956" s="10" t="s">
        <v>34</v>
      </c>
      <c r="G956" s="10" t="s">
        <v>56</v>
      </c>
      <c r="H956" s="13">
        <v>2951976.6159999999</v>
      </c>
      <c r="I956" s="15">
        <f>IF(Table1[[#This Row],[Salary]]&lt;1000000,Table1[[#This Row],[Salary]]*0.05,Table1[[#This Row],[Salary]]*0.1)</f>
        <v>295197.66159999999</v>
      </c>
      <c r="J956" s="15">
        <f>Table1[[#This Row],[Salary]]+Table1[[#This Row],[Bonus]]</f>
        <v>3247174.2775999997</v>
      </c>
      <c r="K956" s="25">
        <f>COUNTA(Table1[Employee_ID])</f>
        <v>1000</v>
      </c>
      <c r="L956" s="1">
        <f>SUM(Table1[Salary])</f>
        <v>3119391523.8580012</v>
      </c>
      <c r="M956" s="15">
        <f>AVERAGE(Table1[Salary])</f>
        <v>3119391.5238580015</v>
      </c>
      <c r="N956" s="29">
        <f>SUM(Table1[Bonus])</f>
        <v>308244983.02069992</v>
      </c>
    </row>
    <row r="957" spans="1:14" ht="12.75" customHeight="1" x14ac:dyDescent="0.25">
      <c r="A957" s="2">
        <v>944</v>
      </c>
      <c r="B957" s="10" t="s">
        <v>1388</v>
      </c>
      <c r="C957" s="10" t="s">
        <v>1293</v>
      </c>
      <c r="D957" s="10" t="s">
        <v>162</v>
      </c>
      <c r="E957" s="10" t="s">
        <v>27</v>
      </c>
      <c r="F957" s="10" t="s">
        <v>28</v>
      </c>
      <c r="G957" s="10" t="s">
        <v>35</v>
      </c>
      <c r="H957" s="13">
        <v>2593486.4179999996</v>
      </c>
      <c r="I957" s="15">
        <f>IF(Table1[[#This Row],[Salary]]&lt;1000000,Table1[[#This Row],[Salary]]*0.05,Table1[[#This Row],[Salary]]*0.1)</f>
        <v>259348.64179999998</v>
      </c>
      <c r="J957" s="15">
        <f>Table1[[#This Row],[Salary]]+Table1[[#This Row],[Bonus]]</f>
        <v>2852835.0597999995</v>
      </c>
      <c r="K957" s="25">
        <f>COUNTA(Table1[Employee_ID])</f>
        <v>1000</v>
      </c>
      <c r="L957" s="1">
        <f>SUM(Table1[Salary])</f>
        <v>3119391523.8580012</v>
      </c>
      <c r="M957" s="15">
        <f>AVERAGE(Table1[Salary])</f>
        <v>3119391.5238580015</v>
      </c>
      <c r="N957" s="29">
        <f>SUM(Table1[Bonus])</f>
        <v>308244983.02069992</v>
      </c>
    </row>
    <row r="958" spans="1:14" ht="12.75" customHeight="1" x14ac:dyDescent="0.25">
      <c r="A958" s="2">
        <v>945</v>
      </c>
      <c r="B958" s="10" t="s">
        <v>621</v>
      </c>
      <c r="C958" s="10" t="s">
        <v>1389</v>
      </c>
      <c r="D958" s="10" t="s">
        <v>165</v>
      </c>
      <c r="E958" s="10" t="s">
        <v>2</v>
      </c>
      <c r="F958" s="10" t="s">
        <v>60</v>
      </c>
      <c r="G958" s="10" t="s">
        <v>23</v>
      </c>
      <c r="H958" s="13">
        <v>4445270.4840000002</v>
      </c>
      <c r="I958" s="15">
        <f>IF(Table1[[#This Row],[Salary]]&lt;1000000,Table1[[#This Row],[Salary]]*0.05,Table1[[#This Row],[Salary]]*0.1)</f>
        <v>444527.04840000003</v>
      </c>
      <c r="J958" s="15">
        <f>Table1[[#This Row],[Salary]]+Table1[[#This Row],[Bonus]]</f>
        <v>4889797.5323999999</v>
      </c>
      <c r="K958" s="25">
        <f>COUNTA(Table1[Employee_ID])</f>
        <v>1000</v>
      </c>
      <c r="L958" s="1">
        <f>SUM(Table1[Salary])</f>
        <v>3119391523.8580012</v>
      </c>
      <c r="M958" s="15">
        <f>AVERAGE(Table1[Salary])</f>
        <v>3119391.5238580015</v>
      </c>
      <c r="N958" s="29">
        <f>SUM(Table1[Bonus])</f>
        <v>308244983.02069992</v>
      </c>
    </row>
    <row r="959" spans="1:14" ht="12.75" customHeight="1" x14ac:dyDescent="0.25">
      <c r="A959" s="2">
        <v>946</v>
      </c>
      <c r="B959" s="10" t="s">
        <v>322</v>
      </c>
      <c r="C959" s="10" t="s">
        <v>1390</v>
      </c>
      <c r="D959" s="10" t="s">
        <v>156</v>
      </c>
      <c r="E959" s="10" t="s">
        <v>6</v>
      </c>
      <c r="F959" s="10" t="s">
        <v>123</v>
      </c>
      <c r="G959" s="10" t="s">
        <v>48</v>
      </c>
      <c r="H959" s="13">
        <v>4526589.6559999995</v>
      </c>
      <c r="I959" s="15">
        <f>IF(Table1[[#This Row],[Salary]]&lt;1000000,Table1[[#This Row],[Salary]]*0.05,Table1[[#This Row],[Salary]]*0.1)</f>
        <v>452658.9656</v>
      </c>
      <c r="J959" s="15">
        <f>Table1[[#This Row],[Salary]]+Table1[[#This Row],[Bonus]]</f>
        <v>4979248.6215999993</v>
      </c>
      <c r="K959" s="25">
        <f>COUNTA(Table1[Employee_ID])</f>
        <v>1000</v>
      </c>
      <c r="L959" s="1">
        <f>SUM(Table1[Salary])</f>
        <v>3119391523.8580012</v>
      </c>
      <c r="M959" s="15">
        <f>AVERAGE(Table1[Salary])</f>
        <v>3119391.5238580015</v>
      </c>
      <c r="N959" s="29">
        <f>SUM(Table1[Bonus])</f>
        <v>308244983.02069992</v>
      </c>
    </row>
    <row r="960" spans="1:14" ht="12.75" customHeight="1" x14ac:dyDescent="0.25">
      <c r="A960" s="2">
        <v>947</v>
      </c>
      <c r="B960" s="10" t="s">
        <v>1391</v>
      </c>
      <c r="C960" s="10" t="s">
        <v>1392</v>
      </c>
      <c r="D960" s="10" t="s">
        <v>21</v>
      </c>
      <c r="E960" s="10" t="s">
        <v>39</v>
      </c>
      <c r="F960" s="10" t="s">
        <v>186</v>
      </c>
      <c r="G960" s="10" t="s">
        <v>35</v>
      </c>
      <c r="H960" s="13">
        <v>2631965.5839999998</v>
      </c>
      <c r="I960" s="15">
        <f>IF(Table1[[#This Row],[Salary]]&lt;1000000,Table1[[#This Row],[Salary]]*0.05,Table1[[#This Row],[Salary]]*0.1)</f>
        <v>263196.55839999998</v>
      </c>
      <c r="J960" s="15">
        <f>Table1[[#This Row],[Salary]]+Table1[[#This Row],[Bonus]]</f>
        <v>2895162.1423999998</v>
      </c>
      <c r="K960" s="25">
        <f>COUNTA(Table1[Employee_ID])</f>
        <v>1000</v>
      </c>
      <c r="L960" s="1">
        <f>SUM(Table1[Salary])</f>
        <v>3119391523.8580012</v>
      </c>
      <c r="M960" s="15">
        <f>AVERAGE(Table1[Salary])</f>
        <v>3119391.5238580015</v>
      </c>
      <c r="N960" s="29">
        <f>SUM(Table1[Bonus])</f>
        <v>308244983.02069992</v>
      </c>
    </row>
    <row r="961" spans="1:14" ht="12.75" customHeight="1" x14ac:dyDescent="0.25">
      <c r="A961" s="2">
        <v>948</v>
      </c>
      <c r="B961" s="10" t="s">
        <v>195</v>
      </c>
      <c r="C961" s="10" t="s">
        <v>1393</v>
      </c>
      <c r="D961" s="10" t="s">
        <v>21</v>
      </c>
      <c r="E961" s="10" t="s">
        <v>10</v>
      </c>
      <c r="F961" s="10" t="s">
        <v>78</v>
      </c>
      <c r="G961" s="10" t="s">
        <v>56</v>
      </c>
      <c r="H961" s="13">
        <v>3614763.6639999999</v>
      </c>
      <c r="I961" s="15">
        <f>IF(Table1[[#This Row],[Salary]]&lt;1000000,Table1[[#This Row],[Salary]]*0.05,Table1[[#This Row],[Salary]]*0.1)</f>
        <v>361476.3664</v>
      </c>
      <c r="J961" s="15">
        <f>Table1[[#This Row],[Salary]]+Table1[[#This Row],[Bonus]]</f>
        <v>3976240.0304</v>
      </c>
      <c r="K961" s="25">
        <f>COUNTA(Table1[Employee_ID])</f>
        <v>1000</v>
      </c>
      <c r="L961" s="1">
        <f>SUM(Table1[Salary])</f>
        <v>3119391523.8580012</v>
      </c>
      <c r="M961" s="15">
        <f>AVERAGE(Table1[Salary])</f>
        <v>3119391.5238580015</v>
      </c>
      <c r="N961" s="29">
        <f>SUM(Table1[Bonus])</f>
        <v>308244983.02069992</v>
      </c>
    </row>
    <row r="962" spans="1:14" ht="12.75" customHeight="1" x14ac:dyDescent="0.25">
      <c r="A962" s="2">
        <v>949</v>
      </c>
      <c r="B962" s="10" t="s">
        <v>1237</v>
      </c>
      <c r="C962" s="10" t="s">
        <v>1394</v>
      </c>
      <c r="D962" s="10" t="s">
        <v>26</v>
      </c>
      <c r="E962" s="10" t="s">
        <v>39</v>
      </c>
      <c r="F962" s="10" t="s">
        <v>189</v>
      </c>
      <c r="G962" s="10" t="s">
        <v>48</v>
      </c>
      <c r="H962" s="13">
        <v>1712164.152</v>
      </c>
      <c r="I962" s="15">
        <f>IF(Table1[[#This Row],[Salary]]&lt;1000000,Table1[[#This Row],[Salary]]*0.05,Table1[[#This Row],[Salary]]*0.1)</f>
        <v>171216.41520000002</v>
      </c>
      <c r="J962" s="15">
        <f>Table1[[#This Row],[Salary]]+Table1[[#This Row],[Bonus]]</f>
        <v>1883380.5671999999</v>
      </c>
      <c r="K962" s="25">
        <f>COUNTA(Table1[Employee_ID])</f>
        <v>1000</v>
      </c>
      <c r="L962" s="1">
        <f>SUM(Table1[Salary])</f>
        <v>3119391523.8580012</v>
      </c>
      <c r="M962" s="15">
        <f>AVERAGE(Table1[Salary])</f>
        <v>3119391.5238580015</v>
      </c>
      <c r="N962" s="29">
        <f>SUM(Table1[Bonus])</f>
        <v>308244983.02069992</v>
      </c>
    </row>
    <row r="963" spans="1:14" ht="12.75" customHeight="1" x14ac:dyDescent="0.25">
      <c r="A963" s="2">
        <v>950</v>
      </c>
      <c r="B963" s="10" t="s">
        <v>1395</v>
      </c>
      <c r="C963" s="10" t="s">
        <v>1396</v>
      </c>
      <c r="D963" s="10" t="s">
        <v>32</v>
      </c>
      <c r="E963" s="10" t="s">
        <v>27</v>
      </c>
      <c r="F963" s="10" t="s">
        <v>85</v>
      </c>
      <c r="G963" s="10" t="s">
        <v>48</v>
      </c>
      <c r="H963" s="13">
        <v>3442505.82</v>
      </c>
      <c r="I963" s="15">
        <f>IF(Table1[[#This Row],[Salary]]&lt;1000000,Table1[[#This Row],[Salary]]*0.05,Table1[[#This Row],[Salary]]*0.1)</f>
        <v>344250.58199999999</v>
      </c>
      <c r="J963" s="15">
        <f>Table1[[#This Row],[Salary]]+Table1[[#This Row],[Bonus]]</f>
        <v>3786756.4019999998</v>
      </c>
      <c r="K963" s="25">
        <f>COUNTA(Table1[Employee_ID])</f>
        <v>1000</v>
      </c>
      <c r="L963" s="1">
        <f>SUM(Table1[Salary])</f>
        <v>3119391523.8580012</v>
      </c>
      <c r="M963" s="15">
        <f>AVERAGE(Table1[Salary])</f>
        <v>3119391.5238580015</v>
      </c>
      <c r="N963" s="29">
        <f>SUM(Table1[Bonus])</f>
        <v>308244983.02069992</v>
      </c>
    </row>
    <row r="964" spans="1:14" ht="12.75" customHeight="1" x14ac:dyDescent="0.25">
      <c r="A964" s="2">
        <v>952</v>
      </c>
      <c r="B964" s="10" t="s">
        <v>135</v>
      </c>
      <c r="C964" s="10" t="s">
        <v>1398</v>
      </c>
      <c r="D964" s="10" t="s">
        <v>32</v>
      </c>
      <c r="E964" s="10" t="s">
        <v>27</v>
      </c>
      <c r="F964" s="10" t="s">
        <v>106</v>
      </c>
      <c r="G964" s="10" t="s">
        <v>35</v>
      </c>
      <c r="H964" s="13">
        <v>572509.9219999999</v>
      </c>
      <c r="I964" s="15">
        <f>IF(Table1[[#This Row],[Salary]]&lt;1000000,Table1[[#This Row],[Salary]]*0.05,Table1[[#This Row],[Salary]]*0.1)</f>
        <v>28625.496099999997</v>
      </c>
      <c r="J964" s="15">
        <f>Table1[[#This Row],[Salary]]+Table1[[#This Row],[Bonus]]</f>
        <v>601135.41809999989</v>
      </c>
      <c r="K964" s="25">
        <f>COUNTA(Table1[Employee_ID])</f>
        <v>1000</v>
      </c>
      <c r="L964" s="1">
        <f>SUM(Table1[Salary])</f>
        <v>3119391523.8580012</v>
      </c>
      <c r="M964" s="15">
        <f>AVERAGE(Table1[Salary])</f>
        <v>3119391.5238580015</v>
      </c>
      <c r="N964" s="29">
        <f>SUM(Table1[Bonus])</f>
        <v>308244983.02069992</v>
      </c>
    </row>
    <row r="965" spans="1:14" ht="12.75" customHeight="1" x14ac:dyDescent="0.25">
      <c r="A965" s="2">
        <v>953</v>
      </c>
      <c r="B965" s="10" t="s">
        <v>1399</v>
      </c>
      <c r="C965" s="10" t="s">
        <v>1060</v>
      </c>
      <c r="D965" s="10" t="s">
        <v>46</v>
      </c>
      <c r="E965" s="10" t="s">
        <v>27</v>
      </c>
      <c r="F965" s="10" t="s">
        <v>28</v>
      </c>
      <c r="G965" s="10" t="s">
        <v>48</v>
      </c>
      <c r="H965" s="13">
        <v>1487117.99</v>
      </c>
      <c r="I965" s="15">
        <f>IF(Table1[[#This Row],[Salary]]&lt;1000000,Table1[[#This Row],[Salary]]*0.05,Table1[[#This Row],[Salary]]*0.1)</f>
        <v>148711.799</v>
      </c>
      <c r="J965" s="15">
        <f>Table1[[#This Row],[Salary]]+Table1[[#This Row],[Bonus]]</f>
        <v>1635829.7889999999</v>
      </c>
      <c r="K965" s="25">
        <f>COUNTA(Table1[Employee_ID])</f>
        <v>1000</v>
      </c>
      <c r="L965" s="1">
        <f>SUM(Table1[Salary])</f>
        <v>3119391523.8580012</v>
      </c>
      <c r="M965" s="15">
        <f>AVERAGE(Table1[Salary])</f>
        <v>3119391.5238580015</v>
      </c>
      <c r="N965" s="29">
        <f>SUM(Table1[Bonus])</f>
        <v>308244983.02069992</v>
      </c>
    </row>
    <row r="966" spans="1:14" ht="12.75" customHeight="1" x14ac:dyDescent="0.25">
      <c r="A966" s="2">
        <v>954</v>
      </c>
      <c r="B966" s="10" t="s">
        <v>1400</v>
      </c>
      <c r="C966" s="10" t="s">
        <v>1401</v>
      </c>
      <c r="D966" s="10" t="s">
        <v>21</v>
      </c>
      <c r="E966" s="10" t="s">
        <v>27</v>
      </c>
      <c r="F966" s="10" t="s">
        <v>85</v>
      </c>
      <c r="G966" s="10" t="s">
        <v>56</v>
      </c>
      <c r="H966" s="13">
        <v>586086.826</v>
      </c>
      <c r="I966" s="15">
        <f>IF(Table1[[#This Row],[Salary]]&lt;1000000,Table1[[#This Row],[Salary]]*0.05,Table1[[#This Row],[Salary]]*0.1)</f>
        <v>29304.3413</v>
      </c>
      <c r="J966" s="15">
        <f>Table1[[#This Row],[Salary]]+Table1[[#This Row],[Bonus]]</f>
        <v>615391.16729999997</v>
      </c>
      <c r="K966" s="25">
        <f>COUNTA(Table1[Employee_ID])</f>
        <v>1000</v>
      </c>
      <c r="L966" s="1">
        <f>SUM(Table1[Salary])</f>
        <v>3119391523.8580012</v>
      </c>
      <c r="M966" s="15">
        <f>AVERAGE(Table1[Salary])</f>
        <v>3119391.5238580015</v>
      </c>
      <c r="N966" s="29">
        <f>SUM(Table1[Bonus])</f>
        <v>308244983.02069992</v>
      </c>
    </row>
    <row r="967" spans="1:14" ht="12.75" customHeight="1" x14ac:dyDescent="0.25">
      <c r="A967" s="2">
        <v>956</v>
      </c>
      <c r="B967" s="10" t="s">
        <v>1253</v>
      </c>
      <c r="C967" s="10" t="s">
        <v>1403</v>
      </c>
      <c r="D967" s="10" t="s">
        <v>59</v>
      </c>
      <c r="E967" s="10" t="s">
        <v>27</v>
      </c>
      <c r="F967" s="10" t="s">
        <v>106</v>
      </c>
      <c r="G967" s="10" t="s">
        <v>23</v>
      </c>
      <c r="H967" s="13">
        <v>5033677.2259999998</v>
      </c>
      <c r="I967" s="15">
        <f>IF(Table1[[#This Row],[Salary]]&lt;1000000,Table1[[#This Row],[Salary]]*0.05,Table1[[#This Row],[Salary]]*0.1)</f>
        <v>503367.72259999998</v>
      </c>
      <c r="J967" s="15">
        <f>Table1[[#This Row],[Salary]]+Table1[[#This Row],[Bonus]]</f>
        <v>5537044.9485999998</v>
      </c>
      <c r="K967" s="25">
        <f>COUNTA(Table1[Employee_ID])</f>
        <v>1000</v>
      </c>
      <c r="L967" s="1">
        <f>SUM(Table1[Salary])</f>
        <v>3119391523.8580012</v>
      </c>
      <c r="M967" s="15">
        <f>AVERAGE(Table1[Salary])</f>
        <v>3119391.5238580015</v>
      </c>
      <c r="N967" s="29">
        <f>SUM(Table1[Bonus])</f>
        <v>308244983.02069992</v>
      </c>
    </row>
    <row r="968" spans="1:14" ht="12.75" customHeight="1" x14ac:dyDescent="0.25">
      <c r="A968" s="2">
        <v>957</v>
      </c>
      <c r="B968" s="10" t="s">
        <v>147</v>
      </c>
      <c r="C968" s="10" t="s">
        <v>825</v>
      </c>
      <c r="D968" s="10" t="s">
        <v>21</v>
      </c>
      <c r="E968" s="10" t="s">
        <v>27</v>
      </c>
      <c r="F968" s="10" t="s">
        <v>28</v>
      </c>
      <c r="G968" s="10" t="s">
        <v>71</v>
      </c>
      <c r="H968" s="13">
        <v>1796945.1780000001</v>
      </c>
      <c r="I968" s="15">
        <f>IF(Table1[[#This Row],[Salary]]&lt;1000000,Table1[[#This Row],[Salary]]*0.05,Table1[[#This Row],[Salary]]*0.1)</f>
        <v>179694.51780000003</v>
      </c>
      <c r="J968" s="15">
        <f>Table1[[#This Row],[Salary]]+Table1[[#This Row],[Bonus]]</f>
        <v>1976639.6958000001</v>
      </c>
      <c r="K968" s="25">
        <f>COUNTA(Table1[Employee_ID])</f>
        <v>1000</v>
      </c>
      <c r="L968" s="1">
        <f>SUM(Table1[Salary])</f>
        <v>3119391523.8580012</v>
      </c>
      <c r="M968" s="15">
        <f>AVERAGE(Table1[Salary])</f>
        <v>3119391.5238580015</v>
      </c>
      <c r="N968" s="29">
        <f>SUM(Table1[Bonus])</f>
        <v>308244983.02069992</v>
      </c>
    </row>
    <row r="969" spans="1:14" ht="12.75" customHeight="1" x14ac:dyDescent="0.25">
      <c r="A969" s="2">
        <v>958</v>
      </c>
      <c r="B969" s="10" t="s">
        <v>1404</v>
      </c>
      <c r="C969" s="10" t="s">
        <v>1405</v>
      </c>
      <c r="D969" s="10" t="s">
        <v>46</v>
      </c>
      <c r="E969" s="10" t="s">
        <v>33</v>
      </c>
      <c r="F969" s="10" t="s">
        <v>47</v>
      </c>
      <c r="G969" s="10" t="s">
        <v>23</v>
      </c>
      <c r="H969" s="13">
        <v>411189.158</v>
      </c>
      <c r="I969" s="15">
        <f>IF(Table1[[#This Row],[Salary]]&lt;1000000,Table1[[#This Row],[Salary]]*0.05,Table1[[#This Row],[Salary]]*0.1)</f>
        <v>20559.457900000001</v>
      </c>
      <c r="J969" s="15">
        <f>Table1[[#This Row],[Salary]]+Table1[[#This Row],[Bonus]]</f>
        <v>431748.61589999998</v>
      </c>
      <c r="K969" s="25">
        <f>COUNTA(Table1[Employee_ID])</f>
        <v>1000</v>
      </c>
      <c r="L969" s="1">
        <f>SUM(Table1[Salary])</f>
        <v>3119391523.8580012</v>
      </c>
      <c r="M969" s="15">
        <f>AVERAGE(Table1[Salary])</f>
        <v>3119391.5238580015</v>
      </c>
      <c r="N969" s="29">
        <f>SUM(Table1[Bonus])</f>
        <v>308244983.02069992</v>
      </c>
    </row>
    <row r="970" spans="1:14" ht="12.75" customHeight="1" x14ac:dyDescent="0.25">
      <c r="A970" s="2">
        <v>961</v>
      </c>
      <c r="B970" s="10" t="s">
        <v>1409</v>
      </c>
      <c r="C970" s="10" t="s">
        <v>1410</v>
      </c>
      <c r="D970" s="10" t="s">
        <v>77</v>
      </c>
      <c r="E970" s="10" t="s">
        <v>39</v>
      </c>
      <c r="F970" s="10" t="s">
        <v>40</v>
      </c>
      <c r="G970" s="10" t="s">
        <v>56</v>
      </c>
      <c r="H970" s="13">
        <v>2039669.0660000001</v>
      </c>
      <c r="I970" s="15">
        <f>IF(Table1[[#This Row],[Salary]]&lt;1000000,Table1[[#This Row],[Salary]]*0.05,Table1[[#This Row],[Salary]]*0.1)</f>
        <v>203966.90660000002</v>
      </c>
      <c r="J970" s="15">
        <f>Table1[[#This Row],[Salary]]+Table1[[#This Row],[Bonus]]</f>
        <v>2243635.9726</v>
      </c>
      <c r="K970" s="25">
        <f>COUNTA(Table1[Employee_ID])</f>
        <v>1000</v>
      </c>
      <c r="L970" s="1">
        <f>SUM(Table1[Salary])</f>
        <v>3119391523.8580012</v>
      </c>
      <c r="M970" s="15">
        <f>AVERAGE(Table1[Salary])</f>
        <v>3119391.5238580015</v>
      </c>
      <c r="N970" s="29">
        <f>SUM(Table1[Bonus])</f>
        <v>308244983.02069992</v>
      </c>
    </row>
    <row r="971" spans="1:14" ht="12.75" customHeight="1" x14ac:dyDescent="0.25">
      <c r="A971" s="2">
        <v>962</v>
      </c>
      <c r="B971" s="10" t="s">
        <v>1411</v>
      </c>
      <c r="C971" s="10" t="s">
        <v>206</v>
      </c>
      <c r="D971" s="10" t="s">
        <v>21</v>
      </c>
      <c r="E971" s="10" t="s">
        <v>13</v>
      </c>
      <c r="F971" s="10" t="s">
        <v>67</v>
      </c>
      <c r="G971" s="10" t="s">
        <v>29</v>
      </c>
      <c r="H971" s="13">
        <v>2017517.398</v>
      </c>
      <c r="I971" s="15">
        <f>IF(Table1[[#This Row],[Salary]]&lt;1000000,Table1[[#This Row],[Salary]]*0.05,Table1[[#This Row],[Salary]]*0.1)</f>
        <v>201751.73980000001</v>
      </c>
      <c r="J971" s="15">
        <f>Table1[[#This Row],[Salary]]+Table1[[#This Row],[Bonus]]</f>
        <v>2219269.1378000001</v>
      </c>
      <c r="K971" s="25">
        <f>COUNTA(Table1[Employee_ID])</f>
        <v>1000</v>
      </c>
      <c r="L971" s="1">
        <f>SUM(Table1[Salary])</f>
        <v>3119391523.8580012</v>
      </c>
      <c r="M971" s="15">
        <f>AVERAGE(Table1[Salary])</f>
        <v>3119391.5238580015</v>
      </c>
      <c r="N971" s="29">
        <f>SUM(Table1[Bonus])</f>
        <v>308244983.02069992</v>
      </c>
    </row>
    <row r="972" spans="1:14" ht="12.75" customHeight="1" x14ac:dyDescent="0.25">
      <c r="A972" s="2">
        <v>963</v>
      </c>
      <c r="B972" s="10" t="s">
        <v>245</v>
      </c>
      <c r="C972" s="10" t="s">
        <v>409</v>
      </c>
      <c r="D972" s="10" t="s">
        <v>59</v>
      </c>
      <c r="E972" s="10" t="s">
        <v>39</v>
      </c>
      <c r="F972" s="10" t="s">
        <v>186</v>
      </c>
      <c r="G972" s="10" t="s">
        <v>23</v>
      </c>
      <c r="H972" s="13">
        <v>1744337.59</v>
      </c>
      <c r="I972" s="15">
        <f>IF(Table1[[#This Row],[Salary]]&lt;1000000,Table1[[#This Row],[Salary]]*0.05,Table1[[#This Row],[Salary]]*0.1)</f>
        <v>174433.75900000002</v>
      </c>
      <c r="J972" s="15">
        <f>Table1[[#This Row],[Salary]]+Table1[[#This Row],[Bonus]]</f>
        <v>1918771.3490000002</v>
      </c>
      <c r="K972" s="25">
        <f>COUNTA(Table1[Employee_ID])</f>
        <v>1000</v>
      </c>
      <c r="L972" s="1">
        <f>SUM(Table1[Salary])</f>
        <v>3119391523.8580012</v>
      </c>
      <c r="M972" s="15">
        <f>AVERAGE(Table1[Salary])</f>
        <v>3119391.5238580015</v>
      </c>
      <c r="N972" s="29">
        <f>SUM(Table1[Bonus])</f>
        <v>308244983.02069992</v>
      </c>
    </row>
    <row r="973" spans="1:14" ht="12.75" customHeight="1" x14ac:dyDescent="0.25">
      <c r="A973" s="2">
        <v>964</v>
      </c>
      <c r="B973" s="10" t="s">
        <v>1412</v>
      </c>
      <c r="C973" s="10" t="s">
        <v>1413</v>
      </c>
      <c r="D973" s="10" t="s">
        <v>21</v>
      </c>
      <c r="E973" s="10" t="s">
        <v>6</v>
      </c>
      <c r="F973" s="10" t="s">
        <v>144</v>
      </c>
      <c r="G973" s="10" t="s">
        <v>35</v>
      </c>
      <c r="H973" s="13">
        <v>382479.90599999996</v>
      </c>
      <c r="I973" s="15">
        <f>IF(Table1[[#This Row],[Salary]]&lt;1000000,Table1[[#This Row],[Salary]]*0.05,Table1[[#This Row],[Salary]]*0.1)</f>
        <v>19123.995299999999</v>
      </c>
      <c r="J973" s="15">
        <f>Table1[[#This Row],[Salary]]+Table1[[#This Row],[Bonus]]</f>
        <v>401603.90129999997</v>
      </c>
      <c r="K973" s="25">
        <f>COUNTA(Table1[Employee_ID])</f>
        <v>1000</v>
      </c>
      <c r="L973" s="1">
        <f>SUM(Table1[Salary])</f>
        <v>3119391523.8580012</v>
      </c>
      <c r="M973" s="15">
        <f>AVERAGE(Table1[Salary])</f>
        <v>3119391.5238580015</v>
      </c>
      <c r="N973" s="29">
        <f>SUM(Table1[Bonus])</f>
        <v>308244983.02069992</v>
      </c>
    </row>
    <row r="974" spans="1:14" ht="12.75" customHeight="1" x14ac:dyDescent="0.25">
      <c r="A974" s="2">
        <v>965</v>
      </c>
      <c r="B974" s="10" t="s">
        <v>68</v>
      </c>
      <c r="C974" s="10" t="s">
        <v>87</v>
      </c>
      <c r="D974" s="10" t="s">
        <v>149</v>
      </c>
      <c r="E974" s="10" t="s">
        <v>27</v>
      </c>
      <c r="F974" s="10" t="s">
        <v>85</v>
      </c>
      <c r="G974" s="10" t="s">
        <v>29</v>
      </c>
      <c r="H974" s="13">
        <v>4327320.2560000001</v>
      </c>
      <c r="I974" s="15">
        <f>IF(Table1[[#This Row],[Salary]]&lt;1000000,Table1[[#This Row],[Salary]]*0.05,Table1[[#This Row],[Salary]]*0.1)</f>
        <v>432732.02560000005</v>
      </c>
      <c r="J974" s="15">
        <f>Table1[[#This Row],[Salary]]+Table1[[#This Row],[Bonus]]</f>
        <v>4760052.2816000003</v>
      </c>
      <c r="K974" s="25">
        <f>COUNTA(Table1[Employee_ID])</f>
        <v>1000</v>
      </c>
      <c r="L974" s="1">
        <f>SUM(Table1[Salary])</f>
        <v>3119391523.8580012</v>
      </c>
      <c r="M974" s="15">
        <f>AVERAGE(Table1[Salary])</f>
        <v>3119391.5238580015</v>
      </c>
      <c r="N974" s="29">
        <f>SUM(Table1[Bonus])</f>
        <v>308244983.02069992</v>
      </c>
    </row>
    <row r="975" spans="1:14" ht="12.75" customHeight="1" x14ac:dyDescent="0.25">
      <c r="A975" s="2">
        <v>966</v>
      </c>
      <c r="B975" s="10" t="s">
        <v>72</v>
      </c>
      <c r="C975" s="10" t="s">
        <v>91</v>
      </c>
      <c r="D975" s="10" t="s">
        <v>88</v>
      </c>
      <c r="E975" s="10" t="s">
        <v>33</v>
      </c>
      <c r="F975" s="10" t="s">
        <v>55</v>
      </c>
      <c r="G975" s="10" t="s">
        <v>71</v>
      </c>
      <c r="H975" s="13">
        <v>5306350.99</v>
      </c>
      <c r="I975" s="15">
        <f>IF(Table1[[#This Row],[Salary]]&lt;1000000,Table1[[#This Row],[Salary]]*0.05,Table1[[#This Row],[Salary]]*0.1)</f>
        <v>530635.09900000005</v>
      </c>
      <c r="J975" s="15">
        <f>Table1[[#This Row],[Salary]]+Table1[[#This Row],[Bonus]]</f>
        <v>5836986.0890000006</v>
      </c>
      <c r="K975" s="25">
        <f>COUNTA(Table1[Employee_ID])</f>
        <v>1000</v>
      </c>
      <c r="L975" s="1">
        <f>SUM(Table1[Salary])</f>
        <v>3119391523.8580012</v>
      </c>
      <c r="M975" s="15">
        <f>AVERAGE(Table1[Salary])</f>
        <v>3119391.5238580015</v>
      </c>
      <c r="N975" s="29">
        <f>SUM(Table1[Bonus])</f>
        <v>308244983.02069992</v>
      </c>
    </row>
    <row r="976" spans="1:14" ht="12.75" customHeight="1" x14ac:dyDescent="0.25">
      <c r="A976" s="2">
        <v>967</v>
      </c>
      <c r="B976" s="10" t="s">
        <v>75</v>
      </c>
      <c r="C976" s="10" t="s">
        <v>93</v>
      </c>
      <c r="D976" s="10" t="s">
        <v>26</v>
      </c>
      <c r="E976" s="10" t="s">
        <v>2</v>
      </c>
      <c r="F976" s="10" t="s">
        <v>74</v>
      </c>
      <c r="G976" s="10" t="s">
        <v>29</v>
      </c>
      <c r="H976" s="13">
        <v>1467206.2080000001</v>
      </c>
      <c r="I976" s="15">
        <f>IF(Table1[[#This Row],[Salary]]&lt;1000000,Table1[[#This Row],[Salary]]*0.05,Table1[[#This Row],[Salary]]*0.1)</f>
        <v>146720.6208</v>
      </c>
      <c r="J976" s="15">
        <f>Table1[[#This Row],[Salary]]+Table1[[#This Row],[Bonus]]</f>
        <v>1613926.8288</v>
      </c>
      <c r="K976" s="25">
        <f>COUNTA(Table1[Employee_ID])</f>
        <v>1000</v>
      </c>
      <c r="L976" s="1">
        <f>SUM(Table1[Salary])</f>
        <v>3119391523.8580012</v>
      </c>
      <c r="M976" s="15">
        <f>AVERAGE(Table1[Salary])</f>
        <v>3119391.5238580015</v>
      </c>
      <c r="N976" s="29">
        <f>SUM(Table1[Bonus])</f>
        <v>308244983.02069992</v>
      </c>
    </row>
    <row r="977" spans="1:14" ht="12.75" customHeight="1" x14ac:dyDescent="0.25">
      <c r="A977" s="2">
        <v>968</v>
      </c>
      <c r="B977" s="10" t="s">
        <v>79</v>
      </c>
      <c r="C977" s="10" t="s">
        <v>95</v>
      </c>
      <c r="D977" s="10" t="s">
        <v>156</v>
      </c>
      <c r="E977" s="10" t="s">
        <v>27</v>
      </c>
      <c r="F977" s="10" t="s">
        <v>106</v>
      </c>
      <c r="G977" s="10" t="s">
        <v>56</v>
      </c>
      <c r="H977" s="13">
        <v>3000367.9479999999</v>
      </c>
      <c r="I977" s="15">
        <f>IF(Table1[[#This Row],[Salary]]&lt;1000000,Table1[[#This Row],[Salary]]*0.05,Table1[[#This Row],[Salary]]*0.1)</f>
        <v>300036.79479999997</v>
      </c>
      <c r="J977" s="15">
        <f>Table1[[#This Row],[Salary]]+Table1[[#This Row],[Bonus]]</f>
        <v>3300404.7427999997</v>
      </c>
      <c r="K977" s="25">
        <f>COUNTA(Table1[Employee_ID])</f>
        <v>1000</v>
      </c>
      <c r="L977" s="1">
        <f>SUM(Table1[Salary])</f>
        <v>3119391523.8580012</v>
      </c>
      <c r="M977" s="15">
        <f>AVERAGE(Table1[Salary])</f>
        <v>3119391.5238580015</v>
      </c>
      <c r="N977" s="29">
        <f>SUM(Table1[Bonus])</f>
        <v>308244983.02069992</v>
      </c>
    </row>
    <row r="978" spans="1:14" ht="12.75" customHeight="1" x14ac:dyDescent="0.25">
      <c r="A978" s="2">
        <v>969</v>
      </c>
      <c r="B978" s="10" t="s">
        <v>81</v>
      </c>
      <c r="C978" s="10" t="s">
        <v>98</v>
      </c>
      <c r="D978" s="10" t="s">
        <v>159</v>
      </c>
      <c r="E978" s="10" t="s">
        <v>33</v>
      </c>
      <c r="F978" s="10" t="s">
        <v>34</v>
      </c>
      <c r="G978" s="10" t="s">
        <v>29</v>
      </c>
      <c r="H978" s="13">
        <v>5556635.2220000001</v>
      </c>
      <c r="I978" s="15">
        <f>IF(Table1[[#This Row],[Salary]]&lt;1000000,Table1[[#This Row],[Salary]]*0.05,Table1[[#This Row],[Salary]]*0.1)</f>
        <v>555663.52220000001</v>
      </c>
      <c r="J978" s="15">
        <f>Table1[[#This Row],[Salary]]+Table1[[#This Row],[Bonus]]</f>
        <v>6112298.7442000005</v>
      </c>
      <c r="K978" s="25">
        <f>COUNTA(Table1[Employee_ID])</f>
        <v>1000</v>
      </c>
      <c r="L978" s="1">
        <f>SUM(Table1[Salary])</f>
        <v>3119391523.8580012</v>
      </c>
      <c r="M978" s="15">
        <f>AVERAGE(Table1[Salary])</f>
        <v>3119391.5238580015</v>
      </c>
      <c r="N978" s="29">
        <f>SUM(Table1[Bonus])</f>
        <v>308244983.02069992</v>
      </c>
    </row>
    <row r="979" spans="1:14" ht="12.75" customHeight="1" x14ac:dyDescent="0.25">
      <c r="A979" s="2">
        <v>970</v>
      </c>
      <c r="B979" s="10" t="s">
        <v>83</v>
      </c>
      <c r="C979" s="10" t="s">
        <v>101</v>
      </c>
      <c r="D979" s="10" t="s">
        <v>162</v>
      </c>
      <c r="E979" s="10" t="s">
        <v>27</v>
      </c>
      <c r="F979" s="10" t="s">
        <v>28</v>
      </c>
      <c r="G979" s="10" t="s">
        <v>23</v>
      </c>
      <c r="H979" s="13">
        <v>615803.50199999998</v>
      </c>
      <c r="I979" s="15">
        <f>IF(Table1[[#This Row],[Salary]]&lt;1000000,Table1[[#This Row],[Salary]]*0.05,Table1[[#This Row],[Salary]]*0.1)</f>
        <v>30790.1751</v>
      </c>
      <c r="J979" s="15">
        <f>Table1[[#This Row],[Salary]]+Table1[[#This Row],[Bonus]]</f>
        <v>646593.67709999997</v>
      </c>
      <c r="K979" s="25">
        <f>COUNTA(Table1[Employee_ID])</f>
        <v>1000</v>
      </c>
      <c r="L979" s="1">
        <f>SUM(Table1[Salary])</f>
        <v>3119391523.8580012</v>
      </c>
      <c r="M979" s="15">
        <f>AVERAGE(Table1[Salary])</f>
        <v>3119391.5238580015</v>
      </c>
      <c r="N979" s="29">
        <f>SUM(Table1[Bonus])</f>
        <v>308244983.02069992</v>
      </c>
    </row>
    <row r="980" spans="1:14" ht="12.75" customHeight="1" x14ac:dyDescent="0.25">
      <c r="A980" s="2">
        <v>971</v>
      </c>
      <c r="B980" s="10" t="s">
        <v>86</v>
      </c>
      <c r="C980" s="10" t="s">
        <v>104</v>
      </c>
      <c r="D980" s="10" t="s">
        <v>165</v>
      </c>
      <c r="E980" s="10" t="s">
        <v>27</v>
      </c>
      <c r="F980" s="10" t="s">
        <v>85</v>
      </c>
      <c r="G980" s="10" t="s">
        <v>71</v>
      </c>
      <c r="H980" s="13">
        <v>2589309.8059999999</v>
      </c>
      <c r="I980" s="15">
        <f>IF(Table1[[#This Row],[Salary]]&lt;1000000,Table1[[#This Row],[Salary]]*0.05,Table1[[#This Row],[Salary]]*0.1)</f>
        <v>258930.98060000001</v>
      </c>
      <c r="J980" s="15">
        <f>Table1[[#This Row],[Salary]]+Table1[[#This Row],[Bonus]]</f>
        <v>2848240.7865999998</v>
      </c>
      <c r="K980" s="25">
        <f>COUNTA(Table1[Employee_ID])</f>
        <v>1000</v>
      </c>
      <c r="L980" s="1">
        <f>SUM(Table1[Salary])</f>
        <v>3119391523.8580012</v>
      </c>
      <c r="M980" s="15">
        <f>AVERAGE(Table1[Salary])</f>
        <v>3119391.5238580015</v>
      </c>
      <c r="N980" s="29">
        <f>SUM(Table1[Bonus])</f>
        <v>308244983.02069992</v>
      </c>
    </row>
    <row r="981" spans="1:14" ht="12.75" customHeight="1" x14ac:dyDescent="0.25">
      <c r="A981" s="2">
        <v>973</v>
      </c>
      <c r="B981" s="10" t="s">
        <v>92</v>
      </c>
      <c r="C981" s="10" t="s">
        <v>111</v>
      </c>
      <c r="D981" s="10" t="s">
        <v>21</v>
      </c>
      <c r="E981" s="10" t="s">
        <v>27</v>
      </c>
      <c r="F981" s="10" t="s">
        <v>106</v>
      </c>
      <c r="G981" s="10" t="s">
        <v>29</v>
      </c>
      <c r="H981" s="13">
        <v>5598515.6100000003</v>
      </c>
      <c r="I981" s="15">
        <f>IF(Table1[[#This Row],[Salary]]&lt;1000000,Table1[[#This Row],[Salary]]*0.05,Table1[[#This Row],[Salary]]*0.1)</f>
        <v>559851.5610000001</v>
      </c>
      <c r="J981" s="15">
        <f>Table1[[#This Row],[Salary]]+Table1[[#This Row],[Bonus]]</f>
        <v>6158367.1710000001</v>
      </c>
      <c r="K981" s="25">
        <f>COUNTA(Table1[Employee_ID])</f>
        <v>1000</v>
      </c>
      <c r="L981" s="1">
        <f>SUM(Table1[Salary])</f>
        <v>3119391523.8580012</v>
      </c>
      <c r="M981" s="15">
        <f>AVERAGE(Table1[Salary])</f>
        <v>3119391.5238580015</v>
      </c>
      <c r="N981" s="29">
        <f>SUM(Table1[Bonus])</f>
        <v>308244983.02069992</v>
      </c>
    </row>
    <row r="982" spans="1:14" ht="12.75" customHeight="1" x14ac:dyDescent="0.25">
      <c r="A982" s="2">
        <v>974</v>
      </c>
      <c r="B982" s="10" t="s">
        <v>94</v>
      </c>
      <c r="C982" s="10" t="s">
        <v>115</v>
      </c>
      <c r="D982" s="10" t="s">
        <v>128</v>
      </c>
      <c r="E982" s="10" t="s">
        <v>27</v>
      </c>
      <c r="F982" s="10" t="s">
        <v>28</v>
      </c>
      <c r="G982" s="10" t="s">
        <v>56</v>
      </c>
      <c r="H982" s="13">
        <v>325233.96999999997</v>
      </c>
      <c r="I982" s="15">
        <f>IF(Table1[[#This Row],[Salary]]&lt;1000000,Table1[[#This Row],[Salary]]*0.05,Table1[[#This Row],[Salary]]*0.1)</f>
        <v>16261.698499999999</v>
      </c>
      <c r="J982" s="15">
        <f>Table1[[#This Row],[Salary]]+Table1[[#This Row],[Bonus]]</f>
        <v>341495.66849999997</v>
      </c>
      <c r="K982" s="25">
        <f>COUNTA(Table1[Employee_ID])</f>
        <v>1000</v>
      </c>
      <c r="L982" s="1">
        <f>SUM(Table1[Salary])</f>
        <v>3119391523.8580012</v>
      </c>
      <c r="M982" s="15">
        <f>AVERAGE(Table1[Salary])</f>
        <v>3119391.5238580015</v>
      </c>
      <c r="N982" s="29">
        <f>SUM(Table1[Bonus])</f>
        <v>308244983.02069992</v>
      </c>
    </row>
    <row r="983" spans="1:14" ht="12.75" customHeight="1" x14ac:dyDescent="0.25">
      <c r="A983" s="2">
        <v>977</v>
      </c>
      <c r="B983" s="10" t="s">
        <v>103</v>
      </c>
      <c r="C983" s="10" t="s">
        <v>122</v>
      </c>
      <c r="D983" s="10" t="s">
        <v>180</v>
      </c>
      <c r="E983" s="10" t="s">
        <v>33</v>
      </c>
      <c r="F983" s="10" t="s">
        <v>47</v>
      </c>
      <c r="G983" s="10" t="s">
        <v>56</v>
      </c>
      <c r="H983" s="13">
        <v>3524529.2560000001</v>
      </c>
      <c r="I983" s="15">
        <f>IF(Table1[[#This Row],[Salary]]&lt;1000000,Table1[[#This Row],[Salary]]*0.05,Table1[[#This Row],[Salary]]*0.1)</f>
        <v>352452.92560000002</v>
      </c>
      <c r="J983" s="15">
        <f>Table1[[#This Row],[Salary]]+Table1[[#This Row],[Bonus]]</f>
        <v>3876982.1816000002</v>
      </c>
      <c r="K983" s="25">
        <f>COUNTA(Table1[Employee_ID])</f>
        <v>1000</v>
      </c>
      <c r="L983" s="1">
        <f>SUM(Table1[Salary])</f>
        <v>3119391523.8580012</v>
      </c>
      <c r="M983" s="15">
        <f>AVERAGE(Table1[Salary])</f>
        <v>3119391.5238580015</v>
      </c>
      <c r="N983" s="29">
        <f>SUM(Table1[Bonus])</f>
        <v>308244983.02069992</v>
      </c>
    </row>
    <row r="984" spans="1:14" ht="12.75" customHeight="1" x14ac:dyDescent="0.25">
      <c r="A984" s="2">
        <v>978</v>
      </c>
      <c r="B984" s="10" t="s">
        <v>107</v>
      </c>
      <c r="C984" s="10" t="s">
        <v>124</v>
      </c>
      <c r="D984" s="10" t="s">
        <v>183</v>
      </c>
      <c r="E984" s="10" t="s">
        <v>27</v>
      </c>
      <c r="F984" s="10" t="s">
        <v>85</v>
      </c>
      <c r="G984" s="10" t="s">
        <v>29</v>
      </c>
      <c r="H984" s="13">
        <v>3676452.06</v>
      </c>
      <c r="I984" s="15">
        <f>IF(Table1[[#This Row],[Salary]]&lt;1000000,Table1[[#This Row],[Salary]]*0.05,Table1[[#This Row],[Salary]]*0.1)</f>
        <v>367645.20600000001</v>
      </c>
      <c r="J984" s="15">
        <f>Table1[[#This Row],[Salary]]+Table1[[#This Row],[Bonus]]</f>
        <v>4044097.2659999998</v>
      </c>
      <c r="K984" s="25">
        <f>COUNTA(Table1[Employee_ID])</f>
        <v>1000</v>
      </c>
      <c r="L984" s="1">
        <f>SUM(Table1[Salary])</f>
        <v>3119391523.8580012</v>
      </c>
      <c r="M984" s="15">
        <f>AVERAGE(Table1[Salary])</f>
        <v>3119391.5238580015</v>
      </c>
      <c r="N984" s="29">
        <f>SUM(Table1[Bonus])</f>
        <v>308244983.02069992</v>
      </c>
    </row>
    <row r="985" spans="1:14" ht="12.75" customHeight="1" x14ac:dyDescent="0.25">
      <c r="A985" s="2">
        <v>979</v>
      </c>
      <c r="B985" s="10" t="s">
        <v>110</v>
      </c>
      <c r="C985" s="10" t="s">
        <v>127</v>
      </c>
      <c r="D985" s="10" t="s">
        <v>21</v>
      </c>
      <c r="E985" s="10" t="s">
        <v>39</v>
      </c>
      <c r="F985" s="10" t="s">
        <v>189</v>
      </c>
      <c r="G985" s="10" t="s">
        <v>71</v>
      </c>
      <c r="H985" s="13">
        <v>4328437.284</v>
      </c>
      <c r="I985" s="15">
        <f>IF(Table1[[#This Row],[Salary]]&lt;1000000,Table1[[#This Row],[Salary]]*0.05,Table1[[#This Row],[Salary]]*0.1)</f>
        <v>432843.72840000002</v>
      </c>
      <c r="J985" s="15">
        <f>Table1[[#This Row],[Salary]]+Table1[[#This Row],[Bonus]]</f>
        <v>4761281.0124000004</v>
      </c>
      <c r="K985" s="25">
        <f>COUNTA(Table1[Employee_ID])</f>
        <v>1000</v>
      </c>
      <c r="L985" s="1">
        <f>SUM(Table1[Salary])</f>
        <v>3119391523.8580012</v>
      </c>
      <c r="M985" s="15">
        <f>AVERAGE(Table1[Salary])</f>
        <v>3119391.5238580015</v>
      </c>
      <c r="N985" s="29">
        <f>SUM(Table1[Bonus])</f>
        <v>308244983.02069992</v>
      </c>
    </row>
    <row r="986" spans="1:14" ht="12.75" customHeight="1" x14ac:dyDescent="0.25">
      <c r="A986" s="2">
        <v>980</v>
      </c>
      <c r="B986" s="10" t="s">
        <v>114</v>
      </c>
      <c r="C986" s="10" t="s">
        <v>130</v>
      </c>
      <c r="D986" s="10" t="s">
        <v>99</v>
      </c>
      <c r="E986" s="10" t="s">
        <v>10</v>
      </c>
      <c r="F986" s="10" t="s">
        <v>109</v>
      </c>
      <c r="G986" s="10" t="s">
        <v>23</v>
      </c>
      <c r="H986" s="13">
        <v>1323615.6399999999</v>
      </c>
      <c r="I986" s="15">
        <f>IF(Table1[[#This Row],[Salary]]&lt;1000000,Table1[[#This Row],[Salary]]*0.05,Table1[[#This Row],[Salary]]*0.1)</f>
        <v>132361.56399999998</v>
      </c>
      <c r="J986" s="15">
        <f>Table1[[#This Row],[Salary]]+Table1[[#This Row],[Bonus]]</f>
        <v>1455977.2039999999</v>
      </c>
      <c r="K986" s="25">
        <f>COUNTA(Table1[Employee_ID])</f>
        <v>1000</v>
      </c>
      <c r="L986" s="1">
        <f>SUM(Table1[Salary])</f>
        <v>3119391523.8580012</v>
      </c>
      <c r="M986" s="15">
        <f>AVERAGE(Table1[Salary])</f>
        <v>3119391.5238580015</v>
      </c>
      <c r="N986" s="29">
        <f>SUM(Table1[Bonus])</f>
        <v>308244983.02069992</v>
      </c>
    </row>
    <row r="987" spans="1:14" ht="12.75" customHeight="1" x14ac:dyDescent="0.25">
      <c r="A987" s="2">
        <v>981</v>
      </c>
      <c r="B987" s="10" t="s">
        <v>116</v>
      </c>
      <c r="C987" s="10" t="s">
        <v>133</v>
      </c>
      <c r="D987" s="10" t="s">
        <v>125</v>
      </c>
      <c r="E987" s="10" t="s">
        <v>27</v>
      </c>
      <c r="F987" s="10" t="s">
        <v>106</v>
      </c>
      <c r="G987" s="10" t="s">
        <v>23</v>
      </c>
      <c r="H987" s="13">
        <v>5672951.8840000005</v>
      </c>
      <c r="I987" s="15">
        <f>IF(Table1[[#This Row],[Salary]]&lt;1000000,Table1[[#This Row],[Salary]]*0.05,Table1[[#This Row],[Salary]]*0.1)</f>
        <v>567295.1884000001</v>
      </c>
      <c r="J987" s="15">
        <f>Table1[[#This Row],[Salary]]+Table1[[#This Row],[Bonus]]</f>
        <v>6240247.0724000009</v>
      </c>
      <c r="K987" s="25">
        <f>COUNTA(Table1[Employee_ID])</f>
        <v>1000</v>
      </c>
      <c r="L987" s="1">
        <f>SUM(Table1[Salary])</f>
        <v>3119391523.8580012</v>
      </c>
      <c r="M987" s="15">
        <f>AVERAGE(Table1[Salary])</f>
        <v>3119391.5238580015</v>
      </c>
      <c r="N987" s="29">
        <f>SUM(Table1[Bonus])</f>
        <v>308244983.02069992</v>
      </c>
    </row>
    <row r="988" spans="1:14" ht="12.75" customHeight="1" x14ac:dyDescent="0.25">
      <c r="A988" s="2">
        <v>982</v>
      </c>
      <c r="B988" s="10" t="s">
        <v>116</v>
      </c>
      <c r="C988" s="10" t="s">
        <v>136</v>
      </c>
      <c r="D988" s="10" t="s">
        <v>177</v>
      </c>
      <c r="E988" s="10" t="s">
        <v>33</v>
      </c>
      <c r="F988" s="10" t="s">
        <v>55</v>
      </c>
      <c r="G988" s="10" t="s">
        <v>23</v>
      </c>
      <c r="H988" s="13">
        <v>2616080</v>
      </c>
      <c r="I988" s="15">
        <f>IF(Table1[[#This Row],[Salary]]&lt;1000000,Table1[[#This Row],[Salary]]*0.05,Table1[[#This Row],[Salary]]*0.1)</f>
        <v>261608</v>
      </c>
      <c r="J988" s="15">
        <f>Table1[[#This Row],[Salary]]+Table1[[#This Row],[Bonus]]</f>
        <v>2877688</v>
      </c>
      <c r="K988" s="25">
        <f>COUNTA(Table1[Employee_ID])</f>
        <v>1000</v>
      </c>
      <c r="L988" s="1">
        <f>SUM(Table1[Salary])</f>
        <v>3119391523.8580012</v>
      </c>
      <c r="M988" s="15">
        <f>AVERAGE(Table1[Salary])</f>
        <v>3119391.5238580015</v>
      </c>
      <c r="N988" s="29">
        <f>SUM(Table1[Bonus])</f>
        <v>308244983.02069992</v>
      </c>
    </row>
    <row r="989" spans="1:14" ht="12.75" customHeight="1" x14ac:dyDescent="0.25">
      <c r="A989" s="2">
        <v>983</v>
      </c>
      <c r="B989" s="10" t="s">
        <v>121</v>
      </c>
      <c r="C989" s="10" t="s">
        <v>139</v>
      </c>
      <c r="D989" s="10" t="s">
        <v>313</v>
      </c>
      <c r="E989" s="10" t="s">
        <v>63</v>
      </c>
      <c r="F989" s="10" t="s">
        <v>131</v>
      </c>
      <c r="G989" s="10" t="s">
        <v>29</v>
      </c>
      <c r="H989" s="13">
        <v>5816035.2420000006</v>
      </c>
      <c r="I989" s="15">
        <f>IF(Table1[[#This Row],[Salary]]&lt;1000000,Table1[[#This Row],[Salary]]*0.05,Table1[[#This Row],[Salary]]*0.1)</f>
        <v>581603.5242000001</v>
      </c>
      <c r="J989" s="15">
        <f>Table1[[#This Row],[Salary]]+Table1[[#This Row],[Bonus]]</f>
        <v>6397638.7662000004</v>
      </c>
      <c r="K989" s="25">
        <f>COUNTA(Table1[Employee_ID])</f>
        <v>1000</v>
      </c>
      <c r="L989" s="1">
        <f>SUM(Table1[Salary])</f>
        <v>3119391523.8580012</v>
      </c>
      <c r="M989" s="15">
        <f>AVERAGE(Table1[Salary])</f>
        <v>3119391.5238580015</v>
      </c>
      <c r="N989" s="29">
        <f>SUM(Table1[Bonus])</f>
        <v>308244983.02069992</v>
      </c>
    </row>
    <row r="990" spans="1:14" ht="12.75" customHeight="1" x14ac:dyDescent="0.25">
      <c r="A990" s="2">
        <v>984</v>
      </c>
      <c r="B990" s="10" t="s">
        <v>52</v>
      </c>
      <c r="C990" s="10" t="s">
        <v>142</v>
      </c>
      <c r="D990" s="10" t="s">
        <v>112</v>
      </c>
      <c r="E990" s="10" t="s">
        <v>10</v>
      </c>
      <c r="F990" s="10" t="s">
        <v>131</v>
      </c>
      <c r="G990" s="10" t="s">
        <v>23</v>
      </c>
      <c r="H990" s="13">
        <v>5111621.9939999999</v>
      </c>
      <c r="I990" s="15">
        <f>IF(Table1[[#This Row],[Salary]]&lt;1000000,Table1[[#This Row],[Salary]]*0.05,Table1[[#This Row],[Salary]]*0.1)</f>
        <v>511162.19940000004</v>
      </c>
      <c r="J990" s="15">
        <f>Table1[[#This Row],[Salary]]+Table1[[#This Row],[Bonus]]</f>
        <v>5622784.1934000002</v>
      </c>
      <c r="K990" s="25">
        <f>COUNTA(Table1[Employee_ID])</f>
        <v>1000</v>
      </c>
      <c r="L990" s="1">
        <f>SUM(Table1[Salary])</f>
        <v>3119391523.8580012</v>
      </c>
      <c r="M990" s="15">
        <f>AVERAGE(Table1[Salary])</f>
        <v>3119391.5238580015</v>
      </c>
      <c r="N990" s="29">
        <f>SUM(Table1[Bonus])</f>
        <v>308244983.02069992</v>
      </c>
    </row>
    <row r="991" spans="1:14" ht="12.75" customHeight="1" x14ac:dyDescent="0.25">
      <c r="A991" s="2">
        <v>985</v>
      </c>
      <c r="B991" s="10" t="s">
        <v>126</v>
      </c>
      <c r="C991" s="10" t="s">
        <v>145</v>
      </c>
      <c r="D991" s="10" t="s">
        <v>174</v>
      </c>
      <c r="E991" s="10" t="s">
        <v>13</v>
      </c>
      <c r="F991" s="10" t="s">
        <v>120</v>
      </c>
      <c r="G991" s="10" t="s">
        <v>71</v>
      </c>
      <c r="H991" s="13">
        <v>5128282.9679999994</v>
      </c>
      <c r="I991" s="15">
        <f>IF(Table1[[#This Row],[Salary]]&lt;1000000,Table1[[#This Row],[Salary]]*0.05,Table1[[#This Row],[Salary]]*0.1)</f>
        <v>512828.29679999995</v>
      </c>
      <c r="J991" s="15">
        <f>Table1[[#This Row],[Salary]]+Table1[[#This Row],[Bonus]]</f>
        <v>5641111.2647999991</v>
      </c>
      <c r="K991" s="25">
        <f>COUNTA(Table1[Employee_ID])</f>
        <v>1000</v>
      </c>
      <c r="L991" s="1">
        <f>SUM(Table1[Salary])</f>
        <v>3119391523.8580012</v>
      </c>
      <c r="M991" s="15">
        <f>AVERAGE(Table1[Salary])</f>
        <v>3119391.5238580015</v>
      </c>
      <c r="N991" s="29">
        <f>SUM(Table1[Bonus])</f>
        <v>308244983.02069992</v>
      </c>
    </row>
    <row r="992" spans="1:14" ht="12.75" customHeight="1" x14ac:dyDescent="0.25">
      <c r="A992" s="2">
        <v>986</v>
      </c>
      <c r="B992" s="10" t="s">
        <v>129</v>
      </c>
      <c r="C992" s="10" t="s">
        <v>148</v>
      </c>
      <c r="D992" s="10" t="s">
        <v>183</v>
      </c>
      <c r="E992" s="10" t="s">
        <v>27</v>
      </c>
      <c r="F992" s="10" t="s">
        <v>28</v>
      </c>
      <c r="G992" s="10" t="s">
        <v>29</v>
      </c>
      <c r="H992" s="13">
        <v>4655094.5159999998</v>
      </c>
      <c r="I992" s="15">
        <f>IF(Table1[[#This Row],[Salary]]&lt;1000000,Table1[[#This Row],[Salary]]*0.05,Table1[[#This Row],[Salary]]*0.1)</f>
        <v>465509.45160000003</v>
      </c>
      <c r="J992" s="15">
        <f>Table1[[#This Row],[Salary]]+Table1[[#This Row],[Bonus]]</f>
        <v>5120603.9676000001</v>
      </c>
      <c r="K992" s="25">
        <f>COUNTA(Table1[Employee_ID])</f>
        <v>1000</v>
      </c>
      <c r="L992" s="1">
        <f>SUM(Table1[Salary])</f>
        <v>3119391523.8580012</v>
      </c>
      <c r="M992" s="15">
        <f>AVERAGE(Table1[Salary])</f>
        <v>3119391.5238580015</v>
      </c>
      <c r="N992" s="29">
        <f>SUM(Table1[Bonus])</f>
        <v>308244983.02069992</v>
      </c>
    </row>
    <row r="993" spans="1:19" ht="12.75" customHeight="1" x14ac:dyDescent="0.25">
      <c r="A993" s="2">
        <v>987</v>
      </c>
      <c r="B993" s="10" t="s">
        <v>132</v>
      </c>
      <c r="C993" s="10" t="s">
        <v>151</v>
      </c>
      <c r="D993" s="10" t="s">
        <v>313</v>
      </c>
      <c r="E993" s="10" t="s">
        <v>27</v>
      </c>
      <c r="F993" s="10" t="s">
        <v>85</v>
      </c>
      <c r="G993" s="10" t="s">
        <v>35</v>
      </c>
      <c r="H993" s="13">
        <v>2277120.3020000001</v>
      </c>
      <c r="I993" s="15">
        <f>IF(Table1[[#This Row],[Salary]]&lt;1000000,Table1[[#This Row],[Salary]]*0.05,Table1[[#This Row],[Salary]]*0.1)</f>
        <v>227712.03020000004</v>
      </c>
      <c r="J993" s="15">
        <f>Table1[[#This Row],[Salary]]+Table1[[#This Row],[Bonus]]</f>
        <v>2504832.3322000001</v>
      </c>
      <c r="K993" s="25">
        <f>COUNTA(Table1[Employee_ID])</f>
        <v>1000</v>
      </c>
      <c r="L993" s="1">
        <f>SUM(Table1[Salary])</f>
        <v>3119391523.8580012</v>
      </c>
      <c r="M993" s="15">
        <f>AVERAGE(Table1[Salary])</f>
        <v>3119391.5238580015</v>
      </c>
      <c r="N993" s="29">
        <f>SUM(Table1[Bonus])</f>
        <v>308244983.02069992</v>
      </c>
    </row>
    <row r="994" spans="1:19" ht="12.75" customHeight="1" x14ac:dyDescent="0.25">
      <c r="A994" s="2">
        <v>988</v>
      </c>
      <c r="B994" s="10" t="s">
        <v>135</v>
      </c>
      <c r="C994" s="10" t="s">
        <v>153</v>
      </c>
      <c r="D994" s="10" t="s">
        <v>112</v>
      </c>
      <c r="E994" s="10" t="s">
        <v>2</v>
      </c>
      <c r="F994" s="10" t="s">
        <v>102</v>
      </c>
      <c r="G994" s="10" t="s">
        <v>35</v>
      </c>
      <c r="H994" s="13">
        <v>5918265.4579999996</v>
      </c>
      <c r="I994" s="15">
        <f>IF(Table1[[#This Row],[Salary]]&lt;1000000,Table1[[#This Row],[Salary]]*0.05,Table1[[#This Row],[Salary]]*0.1)</f>
        <v>591826.54579999996</v>
      </c>
      <c r="J994" s="15">
        <f>Table1[[#This Row],[Salary]]+Table1[[#This Row],[Bonus]]</f>
        <v>6510092.0037999991</v>
      </c>
      <c r="K994" s="25">
        <f>COUNTA(Table1[Employee_ID])</f>
        <v>1000</v>
      </c>
      <c r="L994" s="1">
        <f>SUM(Table1[Salary])</f>
        <v>3119391523.8580012</v>
      </c>
      <c r="M994" s="15">
        <f>AVERAGE(Table1[Salary])</f>
        <v>3119391.5238580015</v>
      </c>
      <c r="N994" s="29">
        <f>SUM(Table1[Bonus])</f>
        <v>308244983.02069992</v>
      </c>
    </row>
    <row r="995" spans="1:19" ht="12.75" customHeight="1" x14ac:dyDescent="0.25">
      <c r="A995" s="2">
        <v>990</v>
      </c>
      <c r="B995" s="10" t="s">
        <v>141</v>
      </c>
      <c r="C995" s="10" t="s">
        <v>158</v>
      </c>
      <c r="D995" s="10" t="s">
        <v>183</v>
      </c>
      <c r="E995" s="10" t="s">
        <v>13</v>
      </c>
      <c r="F995" s="10" t="s">
        <v>43</v>
      </c>
      <c r="G995" s="10" t="s">
        <v>23</v>
      </c>
      <c r="H995" s="13">
        <v>1910094.9839999999</v>
      </c>
      <c r="I995" s="15">
        <f>IF(Table1[[#This Row],[Salary]]&lt;1000000,Table1[[#This Row],[Salary]]*0.05,Table1[[#This Row],[Salary]]*0.1)</f>
        <v>191009.49840000001</v>
      </c>
      <c r="J995" s="15">
        <f>Table1[[#This Row],[Salary]]+Table1[[#This Row],[Bonus]]</f>
        <v>2101104.4824000001</v>
      </c>
      <c r="K995" s="25">
        <f>COUNTA(Table1[Employee_ID])</f>
        <v>1000</v>
      </c>
      <c r="L995" s="1">
        <f>SUM(Table1[Salary])</f>
        <v>3119391523.8580012</v>
      </c>
      <c r="M995" s="15">
        <f>AVERAGE(Table1[Salary])</f>
        <v>3119391.5238580015</v>
      </c>
      <c r="N995" s="29">
        <f>SUM(Table1[Bonus])</f>
        <v>308244983.02069992</v>
      </c>
    </row>
    <row r="996" spans="1:19" ht="12.75" customHeight="1" x14ac:dyDescent="0.25">
      <c r="A996" s="2">
        <v>991</v>
      </c>
      <c r="B996" s="10" t="s">
        <v>19</v>
      </c>
      <c r="C996" s="10" t="s">
        <v>161</v>
      </c>
      <c r="D996" s="10" t="s">
        <v>59</v>
      </c>
      <c r="E996" s="10" t="s">
        <v>27</v>
      </c>
      <c r="F996" s="10" t="s">
        <v>106</v>
      </c>
      <c r="G996" s="10" t="s">
        <v>23</v>
      </c>
      <c r="H996" s="13">
        <v>361715.77799999999</v>
      </c>
      <c r="I996" s="15">
        <f>IF(Table1[[#This Row],[Salary]]&lt;1000000,Table1[[#This Row],[Salary]]*0.05,Table1[[#This Row],[Salary]]*0.1)</f>
        <v>18085.7889</v>
      </c>
      <c r="J996" s="15">
        <f>Table1[[#This Row],[Salary]]+Table1[[#This Row],[Bonus]]</f>
        <v>379801.56689999998</v>
      </c>
      <c r="K996" s="25">
        <f>COUNTA(Table1[Employee_ID])</f>
        <v>1000</v>
      </c>
      <c r="L996" s="1">
        <f>SUM(Table1[Salary])</f>
        <v>3119391523.8580012</v>
      </c>
      <c r="M996" s="15">
        <f>AVERAGE(Table1[Salary])</f>
        <v>3119391.5238580015</v>
      </c>
      <c r="N996" s="29">
        <f>SUM(Table1[Bonus])</f>
        <v>308244983.02069992</v>
      </c>
    </row>
    <row r="997" spans="1:19" ht="12.75" customHeight="1" x14ac:dyDescent="0.25">
      <c r="A997" s="2">
        <v>993</v>
      </c>
      <c r="B997" s="10" t="s">
        <v>150</v>
      </c>
      <c r="C997" s="10" t="s">
        <v>167</v>
      </c>
      <c r="D997" s="10" t="s">
        <v>54</v>
      </c>
      <c r="E997" s="10" t="s">
        <v>27</v>
      </c>
      <c r="F997" s="10" t="s">
        <v>28</v>
      </c>
      <c r="G997" s="10" t="s">
        <v>71</v>
      </c>
      <c r="H997" s="13">
        <v>4962585.04</v>
      </c>
      <c r="I997" s="15">
        <f>IF(Table1[[#This Row],[Salary]]&lt;1000000,Table1[[#This Row],[Salary]]*0.05,Table1[[#This Row],[Salary]]*0.1)</f>
        <v>496258.50400000002</v>
      </c>
      <c r="J997" s="15">
        <f>Table1[[#This Row],[Salary]]+Table1[[#This Row],[Bonus]]</f>
        <v>5458843.5439999998</v>
      </c>
      <c r="K997" s="25">
        <f>COUNTA(Table1[Employee_ID])</f>
        <v>1000</v>
      </c>
      <c r="L997" s="1">
        <f>SUM(Table1[Salary])</f>
        <v>3119391523.8580012</v>
      </c>
      <c r="M997" s="15">
        <f>AVERAGE(Table1[Salary])</f>
        <v>3119391.5238580015</v>
      </c>
      <c r="N997" s="29">
        <f>SUM(Table1[Bonus])</f>
        <v>308244983.02069992</v>
      </c>
    </row>
    <row r="998" spans="1:19" ht="12.75" customHeight="1" x14ac:dyDescent="0.25">
      <c r="A998" s="2">
        <v>995</v>
      </c>
      <c r="B998" s="10" t="s">
        <v>154</v>
      </c>
      <c r="C998" s="10" t="s">
        <v>171</v>
      </c>
      <c r="D998" s="10" t="s">
        <v>488</v>
      </c>
      <c r="E998" s="10" t="s">
        <v>33</v>
      </c>
      <c r="F998" s="10" t="s">
        <v>34</v>
      </c>
      <c r="G998" s="10" t="s">
        <v>71</v>
      </c>
      <c r="H998" s="13">
        <v>5720832.5079999994</v>
      </c>
      <c r="I998" s="15">
        <f>IF(Table1[[#This Row],[Salary]]&lt;1000000,Table1[[#This Row],[Salary]]*0.05,Table1[[#This Row],[Salary]]*0.1)</f>
        <v>572083.25079999992</v>
      </c>
      <c r="J998" s="15">
        <f>Table1[[#This Row],[Salary]]+Table1[[#This Row],[Bonus]]</f>
        <v>6292915.758799999</v>
      </c>
      <c r="K998" s="25">
        <f>COUNTA(Table1[Employee_ID])</f>
        <v>1000</v>
      </c>
      <c r="L998" s="1">
        <f>SUM(Table1[Salary])</f>
        <v>3119391523.8580012</v>
      </c>
      <c r="M998" s="15">
        <f>AVERAGE(Table1[Salary])</f>
        <v>3119391.5238580015</v>
      </c>
      <c r="N998" s="29">
        <f>SUM(Table1[Bonus])</f>
        <v>308244983.02069992</v>
      </c>
    </row>
    <row r="999" spans="1:19" ht="12.75" customHeight="1" x14ac:dyDescent="0.25">
      <c r="A999" s="2">
        <v>997</v>
      </c>
      <c r="B999" s="10" t="s">
        <v>160</v>
      </c>
      <c r="C999" s="10" t="s">
        <v>176</v>
      </c>
      <c r="D999" s="10" t="s">
        <v>59</v>
      </c>
      <c r="E999" s="10" t="s">
        <v>13</v>
      </c>
      <c r="F999" s="10" t="s">
        <v>67</v>
      </c>
      <c r="G999" s="10" t="s">
        <v>56</v>
      </c>
      <c r="H999" s="13">
        <v>4641310.0640000002</v>
      </c>
      <c r="I999" s="15">
        <f>IF(Table1[[#This Row],[Salary]]&lt;1000000,Table1[[#This Row],[Salary]]*0.05,Table1[[#This Row],[Salary]]*0.1)</f>
        <v>464131.00640000007</v>
      </c>
      <c r="J999" s="15">
        <f>Table1[[#This Row],[Salary]]+Table1[[#This Row],[Bonus]]</f>
        <v>5105441.0704000005</v>
      </c>
      <c r="K999" s="25">
        <f>COUNTA(Table1[Employee_ID])</f>
        <v>1000</v>
      </c>
      <c r="L999" s="1">
        <f>SUM(Table1[Salary])</f>
        <v>3119391523.8580012</v>
      </c>
      <c r="M999" s="15">
        <f>AVERAGE(Table1[Salary])</f>
        <v>3119391.5238580015</v>
      </c>
      <c r="N999" s="29">
        <f>SUM(Table1[Bonus])</f>
        <v>308244983.02069992</v>
      </c>
    </row>
    <row r="1000" spans="1:19" ht="12.75" customHeight="1" x14ac:dyDescent="0.25">
      <c r="A1000" s="2">
        <v>998</v>
      </c>
      <c r="B1000" s="10" t="s">
        <v>163</v>
      </c>
      <c r="C1000" s="10" t="s">
        <v>179</v>
      </c>
      <c r="D1000" s="10" t="s">
        <v>177</v>
      </c>
      <c r="E1000" s="10" t="s">
        <v>13</v>
      </c>
      <c r="F1000" s="10" t="s">
        <v>120</v>
      </c>
      <c r="G1000" s="10" t="s">
        <v>56</v>
      </c>
      <c r="H1000" s="13">
        <v>2988489.906</v>
      </c>
      <c r="I1000" s="15">
        <f>IF(Table1[[#This Row],[Salary]]&lt;1000000,Table1[[#This Row],[Salary]]*0.05,Table1[[#This Row],[Salary]]*0.1)</f>
        <v>298848.99060000002</v>
      </c>
      <c r="J1000" s="15">
        <f>Table1[[#This Row],[Salary]]+Table1[[#This Row],[Bonus]]</f>
        <v>3287338.8966000001</v>
      </c>
      <c r="K1000" s="25">
        <f>COUNTA(Table1[Employee_ID])</f>
        <v>1000</v>
      </c>
      <c r="L1000" s="1">
        <f>SUM(Table1[Salary])</f>
        <v>3119391523.8580012</v>
      </c>
      <c r="M1000" s="15">
        <f>AVERAGE(Table1[Salary])</f>
        <v>3119391.5238580015</v>
      </c>
      <c r="N1000" s="29">
        <f>SUM(Table1[Bonus])</f>
        <v>308244983.02069992</v>
      </c>
    </row>
    <row r="1001" spans="1:19" ht="12.75" customHeight="1" x14ac:dyDescent="0.25">
      <c r="A1001" s="2">
        <v>999</v>
      </c>
      <c r="B1001" s="10" t="s">
        <v>166</v>
      </c>
      <c r="C1001" s="10" t="s">
        <v>182</v>
      </c>
      <c r="D1001" s="10" t="s">
        <v>313</v>
      </c>
      <c r="E1001" s="10" t="s">
        <v>33</v>
      </c>
      <c r="F1001" s="10" t="s">
        <v>47</v>
      </c>
      <c r="G1001" s="10" t="s">
        <v>29</v>
      </c>
      <c r="H1001" s="13">
        <v>1129470.81</v>
      </c>
      <c r="I1001" s="15">
        <f>IF(Table1[[#This Row],[Salary]]&lt;1000000,Table1[[#This Row],[Salary]]*0.05,Table1[[#This Row],[Salary]]*0.1)</f>
        <v>112947.08100000001</v>
      </c>
      <c r="J1001" s="15">
        <f>Table1[[#This Row],[Salary]]+Table1[[#This Row],[Bonus]]</f>
        <v>1242417.8910000001</v>
      </c>
      <c r="K1001" s="25">
        <f>COUNTA(Table1[Employee_ID])</f>
        <v>1000</v>
      </c>
      <c r="L1001" s="1">
        <f>SUM(Table1[Salary])</f>
        <v>3119391523.8580012</v>
      </c>
      <c r="M1001" s="15">
        <f>AVERAGE(Table1[Salary])</f>
        <v>3119391.5238580015</v>
      </c>
      <c r="N1001" s="29">
        <f>SUM(Table1[Bonus])</f>
        <v>308244983.02069992</v>
      </c>
    </row>
    <row r="1002" spans="1:19" ht="12.75" customHeight="1" x14ac:dyDescent="0.25">
      <c r="A1002" s="2"/>
      <c r="B1002" s="10"/>
      <c r="C1002" s="10"/>
      <c r="D1002" s="10"/>
      <c r="E1002" s="10"/>
      <c r="F1002" s="10"/>
      <c r="G1002" s="10"/>
      <c r="H1002" s="13"/>
      <c r="I1002" s="15"/>
      <c r="J1002" s="15"/>
      <c r="K1002" s="10"/>
      <c r="L1002" s="1"/>
      <c r="M1002" s="15"/>
      <c r="N1002" s="30"/>
      <c r="O1002" s="1"/>
      <c r="P1002" s="1"/>
      <c r="Q1002" s="1"/>
      <c r="R1002" s="1"/>
      <c r="S1002" s="1"/>
    </row>
    <row r="1003" spans="1:19" ht="12.75" customHeight="1" x14ac:dyDescent="0.25">
      <c r="A1003" s="2"/>
      <c r="B1003" s="10"/>
      <c r="C1003" s="10"/>
      <c r="D1003" s="10"/>
      <c r="E1003" s="10"/>
      <c r="F1003" s="10"/>
      <c r="G1003" s="10"/>
      <c r="H1003" s="13"/>
      <c r="I1003" s="15"/>
      <c r="J1003" s="15"/>
      <c r="K1003" s="10"/>
      <c r="L1003" s="1"/>
      <c r="M1003" s="15"/>
      <c r="N1003" s="30"/>
      <c r="O1003" s="1"/>
      <c r="P1003" s="1"/>
      <c r="Q1003" s="1"/>
      <c r="R1003" s="1"/>
      <c r="S1003" s="1"/>
    </row>
    <row r="1004" spans="1:19" ht="12.75" customHeight="1" x14ac:dyDescent="0.25">
      <c r="A1004" s="2"/>
      <c r="B1004" s="10"/>
      <c r="C1004" s="10"/>
      <c r="D1004" s="10"/>
      <c r="E1004" s="10"/>
      <c r="F1004" s="10"/>
      <c r="G1004" s="10"/>
      <c r="H1004" s="13"/>
      <c r="I1004" s="15"/>
      <c r="J1004" s="15"/>
      <c r="K1004" s="10"/>
      <c r="L1004" s="1"/>
      <c r="M1004" s="15"/>
      <c r="N1004" s="30"/>
      <c r="O1004" s="1"/>
      <c r="P1004" s="1"/>
      <c r="Q1004" s="1"/>
      <c r="R1004" s="1"/>
      <c r="S1004" s="1"/>
    </row>
    <row r="1005" spans="1:19" ht="12.75" customHeight="1" x14ac:dyDescent="0.25">
      <c r="A1005" s="2"/>
      <c r="B1005" s="10"/>
      <c r="C1005" s="10"/>
      <c r="D1005" s="10"/>
      <c r="E1005" s="10"/>
      <c r="F1005" s="10"/>
      <c r="G1005" s="10"/>
      <c r="H1005" s="13"/>
      <c r="I1005" s="15"/>
      <c r="J1005" s="15"/>
      <c r="K1005" s="10"/>
      <c r="L1005" s="1"/>
      <c r="M1005" s="15"/>
      <c r="N1005" s="30"/>
      <c r="O1005" s="1"/>
      <c r="P1005" s="1"/>
      <c r="Q1005" s="1"/>
      <c r="R1005" s="1"/>
      <c r="S1005" s="1"/>
    </row>
    <row r="1006" spans="1:19" ht="12.75" customHeight="1" x14ac:dyDescent="0.25">
      <c r="A1006" s="2"/>
      <c r="B1006" s="10"/>
      <c r="C1006" s="10"/>
      <c r="D1006" s="10"/>
      <c r="E1006" s="10"/>
      <c r="F1006" s="10"/>
      <c r="G1006" s="10"/>
      <c r="H1006" s="13"/>
      <c r="I1006" s="15"/>
      <c r="J1006" s="15"/>
      <c r="K1006" s="10"/>
      <c r="L1006" s="1"/>
      <c r="M1006" s="15"/>
      <c r="N1006" s="30"/>
      <c r="O1006" s="1"/>
      <c r="P1006" s="1"/>
      <c r="Q1006" s="1"/>
      <c r="R1006" s="1"/>
      <c r="S1006" s="1"/>
    </row>
    <row r="1007" spans="1:19" ht="12.75" customHeight="1" x14ac:dyDescent="0.25">
      <c r="A1007" s="2"/>
      <c r="B1007" s="10"/>
      <c r="C1007" s="10"/>
      <c r="D1007" s="10"/>
      <c r="E1007" s="10"/>
      <c r="F1007" s="10"/>
      <c r="G1007" s="10"/>
      <c r="H1007" s="13"/>
      <c r="I1007" s="15"/>
      <c r="J1007" s="15"/>
      <c r="K1007" s="10"/>
      <c r="L1007" s="1"/>
      <c r="M1007" s="15"/>
      <c r="N1007" s="30"/>
      <c r="O1007" s="1"/>
      <c r="P1007" s="1"/>
      <c r="Q1007" s="1"/>
      <c r="R1007" s="1"/>
      <c r="S1007" s="1"/>
    </row>
    <row r="1008" spans="1:19" ht="12.75" customHeight="1" x14ac:dyDescent="0.25">
      <c r="A1008" s="2"/>
      <c r="B1008" s="10"/>
      <c r="C1008" s="10"/>
      <c r="D1008" s="10"/>
      <c r="E1008" s="10"/>
      <c r="F1008" s="10"/>
      <c r="G1008" s="10"/>
      <c r="H1008" s="13"/>
      <c r="I1008" s="15"/>
      <c r="J1008" s="15"/>
      <c r="K1008" s="10"/>
      <c r="L1008" s="1"/>
      <c r="M1008" s="15"/>
      <c r="N1008" s="30"/>
      <c r="O1008" s="1"/>
      <c r="P1008" s="1"/>
      <c r="Q1008" s="1"/>
      <c r="R1008" s="1"/>
      <c r="S1008" s="1"/>
    </row>
    <row r="1009" spans="1:19" ht="12.75" customHeight="1" x14ac:dyDescent="0.25">
      <c r="A1009" s="2"/>
      <c r="B1009" s="10"/>
      <c r="C1009" s="10"/>
      <c r="D1009" s="10"/>
      <c r="E1009" s="10"/>
      <c r="F1009" s="10"/>
      <c r="G1009" s="10"/>
      <c r="H1009" s="13"/>
      <c r="I1009" s="15"/>
      <c r="J1009" s="15"/>
      <c r="K1009" s="10"/>
      <c r="L1009" s="1"/>
      <c r="M1009" s="15"/>
      <c r="N1009" s="30"/>
      <c r="O1009" s="1"/>
      <c r="P1009" s="1"/>
      <c r="Q1009" s="1"/>
      <c r="R1009" s="1"/>
      <c r="S1009" s="1"/>
    </row>
    <row r="1010" spans="1:19" ht="12.75" customHeight="1" x14ac:dyDescent="0.25">
      <c r="A1010" s="2"/>
      <c r="B1010" s="10"/>
      <c r="C1010" s="10"/>
      <c r="D1010" s="10"/>
      <c r="E1010" s="10"/>
      <c r="F1010" s="10"/>
      <c r="G1010" s="10"/>
      <c r="H1010" s="13"/>
      <c r="I1010" s="15"/>
      <c r="J1010" s="15"/>
      <c r="K1010" s="10"/>
      <c r="L1010" s="1"/>
      <c r="M1010" s="15"/>
      <c r="N1010" s="30"/>
      <c r="O1010" s="1"/>
      <c r="P1010" s="1"/>
      <c r="Q1010" s="1"/>
      <c r="R1010" s="1"/>
      <c r="S1010" s="1"/>
    </row>
    <row r="1011" spans="1:19" ht="12.75" customHeight="1" x14ac:dyDescent="0.25">
      <c r="A1011" s="2"/>
      <c r="B1011" s="10"/>
      <c r="C1011" s="10"/>
      <c r="D1011" s="10"/>
      <c r="E1011" s="10"/>
      <c r="F1011" s="10"/>
      <c r="G1011" s="10"/>
      <c r="H1011" s="13"/>
      <c r="I1011" s="15"/>
      <c r="J1011" s="15"/>
      <c r="K1011" s="10"/>
      <c r="L1011" s="1"/>
      <c r="M1011" s="15"/>
      <c r="N1011" s="30"/>
      <c r="O1011" s="1"/>
      <c r="P1011" s="1"/>
      <c r="Q1011" s="1"/>
      <c r="R1011" s="1"/>
      <c r="S1011" s="1"/>
    </row>
    <row r="1012" spans="1:19" ht="12.75" customHeight="1" x14ac:dyDescent="0.25">
      <c r="A1012" s="2"/>
      <c r="B1012" s="10"/>
      <c r="C1012" s="10"/>
      <c r="D1012" s="10"/>
      <c r="E1012" s="10"/>
      <c r="F1012" s="10"/>
      <c r="G1012" s="10"/>
      <c r="H1012" s="13"/>
      <c r="I1012" s="15"/>
      <c r="J1012" s="15"/>
      <c r="K1012" s="10"/>
      <c r="L1012" s="1"/>
      <c r="M1012" s="15"/>
      <c r="N1012" s="30"/>
      <c r="O1012" s="1"/>
      <c r="P1012" s="1"/>
      <c r="Q1012" s="1"/>
      <c r="R1012" s="1"/>
      <c r="S1012" s="1"/>
    </row>
    <row r="1013" spans="1:19" ht="12.75" customHeight="1" x14ac:dyDescent="0.25">
      <c r="A1013" s="2"/>
      <c r="B1013" s="10"/>
      <c r="C1013" s="10"/>
      <c r="D1013" s="10"/>
      <c r="E1013" s="10"/>
      <c r="F1013" s="10"/>
      <c r="G1013" s="10"/>
      <c r="H1013" s="13"/>
      <c r="I1013" s="15"/>
      <c r="J1013" s="15"/>
      <c r="K1013" s="10"/>
      <c r="L1013" s="1"/>
      <c r="M1013" s="15"/>
      <c r="N1013" s="30"/>
      <c r="O1013" s="1"/>
      <c r="P1013" s="1"/>
      <c r="Q1013" s="1"/>
      <c r="R1013" s="1"/>
      <c r="S1013" s="1"/>
    </row>
    <row r="1014" spans="1:19" ht="12.75" customHeight="1" x14ac:dyDescent="0.25">
      <c r="A1014" s="2"/>
      <c r="B1014" s="10"/>
      <c r="C1014" s="10"/>
      <c r="D1014" s="10"/>
      <c r="E1014" s="10"/>
      <c r="F1014" s="10"/>
      <c r="G1014" s="10"/>
      <c r="H1014" s="13"/>
      <c r="I1014" s="15"/>
      <c r="J1014" s="15"/>
      <c r="K1014" s="10"/>
      <c r="L1014" s="1"/>
      <c r="M1014" s="15"/>
      <c r="N1014" s="30"/>
      <c r="O1014" s="1"/>
      <c r="P1014" s="1"/>
      <c r="Q1014" s="1"/>
      <c r="R1014" s="1"/>
      <c r="S1014" s="1"/>
    </row>
    <row r="1015" spans="1:19" ht="12.75" customHeight="1" x14ac:dyDescent="0.25">
      <c r="A1015" s="2"/>
      <c r="B1015" s="10"/>
      <c r="C1015" s="10"/>
      <c r="D1015" s="10"/>
      <c r="E1015" s="10"/>
      <c r="F1015" s="10"/>
      <c r="G1015" s="10"/>
      <c r="H1015" s="13"/>
      <c r="I1015" s="15"/>
      <c r="J1015" s="15"/>
      <c r="K1015" s="10"/>
      <c r="L1015" s="1"/>
      <c r="M1015" s="15"/>
      <c r="N1015" s="30"/>
      <c r="O1015" s="1"/>
      <c r="P1015" s="1"/>
      <c r="Q1015" s="1"/>
      <c r="R1015" s="1"/>
      <c r="S1015" s="1"/>
    </row>
    <row r="1016" spans="1:19" ht="12.75" customHeight="1" x14ac:dyDescent="0.25">
      <c r="A1016" s="2"/>
      <c r="B1016" s="10"/>
      <c r="C1016" s="10"/>
      <c r="D1016" s="10"/>
      <c r="E1016" s="10"/>
      <c r="F1016" s="10"/>
      <c r="G1016" s="10"/>
      <c r="H1016" s="13"/>
      <c r="I1016" s="15"/>
      <c r="J1016" s="15"/>
      <c r="K1016" s="10"/>
      <c r="L1016" s="1"/>
      <c r="M1016" s="15"/>
      <c r="N1016" s="30"/>
      <c r="O1016" s="1"/>
      <c r="P1016" s="1"/>
      <c r="Q1016" s="1"/>
      <c r="R1016" s="1"/>
      <c r="S1016" s="1"/>
    </row>
    <row r="1017" spans="1:19" ht="12.75" customHeight="1" x14ac:dyDescent="0.25">
      <c r="A1017" s="2"/>
      <c r="B1017" s="10"/>
      <c r="C1017" s="10"/>
      <c r="D1017" s="10"/>
      <c r="E1017" s="10"/>
      <c r="F1017" s="10"/>
      <c r="G1017" s="10"/>
      <c r="H1017" s="13"/>
      <c r="I1017" s="15"/>
      <c r="J1017" s="15"/>
      <c r="K1017" s="10"/>
      <c r="L1017" s="1"/>
      <c r="M1017" s="15"/>
      <c r="N1017" s="30"/>
      <c r="O1017" s="1"/>
      <c r="P1017" s="1"/>
      <c r="Q1017" s="1"/>
      <c r="R1017" s="1"/>
      <c r="S1017" s="1"/>
    </row>
    <row r="1018" spans="1:19" ht="12.75" customHeight="1" x14ac:dyDescent="0.25">
      <c r="A1018" s="2"/>
      <c r="B1018" s="10"/>
      <c r="C1018" s="10"/>
      <c r="D1018" s="10"/>
      <c r="E1018" s="10"/>
      <c r="F1018" s="10"/>
      <c r="G1018" s="10"/>
      <c r="H1018" s="13"/>
      <c r="I1018" s="15"/>
      <c r="J1018" s="15"/>
      <c r="K1018" s="10"/>
      <c r="L1018" s="1"/>
      <c r="M1018" s="15"/>
      <c r="N1018" s="30"/>
      <c r="O1018" s="1"/>
      <c r="P1018" s="1"/>
      <c r="Q1018" s="1"/>
      <c r="R1018" s="1"/>
      <c r="S1018" s="1"/>
    </row>
    <row r="1019" spans="1:19" ht="12.75" customHeight="1" x14ac:dyDescent="0.25">
      <c r="A1019" s="2"/>
      <c r="B1019" s="10"/>
      <c r="C1019" s="10"/>
      <c r="D1019" s="10"/>
      <c r="E1019" s="10"/>
      <c r="F1019" s="10"/>
      <c r="G1019" s="10"/>
      <c r="H1019" s="13"/>
      <c r="I1019" s="15"/>
      <c r="J1019" s="15"/>
      <c r="K1019" s="10"/>
      <c r="L1019" s="1"/>
      <c r="M1019" s="15"/>
      <c r="N1019" s="30"/>
      <c r="O1019" s="1"/>
      <c r="P1019" s="1"/>
      <c r="Q1019" s="1"/>
      <c r="R1019" s="1"/>
      <c r="S1019" s="1"/>
    </row>
    <row r="1020" spans="1:19" ht="12.75" customHeight="1" x14ac:dyDescent="0.25">
      <c r="A1020" s="2"/>
      <c r="B1020" s="10"/>
      <c r="C1020" s="10"/>
      <c r="D1020" s="10"/>
      <c r="E1020" s="10"/>
      <c r="F1020" s="10"/>
      <c r="G1020" s="10"/>
      <c r="H1020" s="13"/>
      <c r="I1020" s="15"/>
      <c r="J1020" s="15"/>
      <c r="K1020" s="10"/>
      <c r="L1020" s="1"/>
      <c r="M1020" s="15"/>
      <c r="N1020" s="30"/>
      <c r="O1020" s="1"/>
      <c r="P1020" s="1"/>
      <c r="Q1020" s="1"/>
      <c r="R1020" s="1"/>
      <c r="S1020" s="1"/>
    </row>
    <row r="1021" spans="1:19" ht="12.75" customHeight="1" x14ac:dyDescent="0.25">
      <c r="A1021" s="2"/>
      <c r="B1021" s="10"/>
      <c r="C1021" s="10"/>
      <c r="D1021" s="10"/>
      <c r="E1021" s="10"/>
      <c r="F1021" s="10"/>
      <c r="G1021" s="10"/>
      <c r="H1021" s="13"/>
      <c r="I1021" s="15"/>
      <c r="J1021" s="15"/>
      <c r="K1021" s="10"/>
      <c r="L1021" s="1"/>
      <c r="M1021" s="15"/>
      <c r="N1021" s="30"/>
      <c r="O1021" s="1"/>
      <c r="P1021" s="1"/>
      <c r="Q1021" s="1"/>
      <c r="R1021" s="1"/>
      <c r="S1021" s="1"/>
    </row>
  </sheetData>
  <customSheetViews>
    <customSheetView guid="{7440B8F7-235D-484B-8357-03CDA96EAE71}" filter="1" showAutoFilter="1">
      <pageMargins left="0.7" right="0.7" top="0.75" bottom="0.75" header="0.3" footer="0.3"/>
      <autoFilter ref="E9:E1009"/>
      <extLst>
        <ext uri="GoogleSheetsCustomDataVersion1">
          <go:sheetsCustomData xmlns:go="http://customooxmlschemas.google.com/" filterViewId="538823287"/>
        </ext>
      </extLst>
    </customSheetView>
  </customSheetViews>
  <pageMargins left="0.7" right="0.7" top="0.75" bottom="0.75" header="0" footer="0"/>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37"/>
  <sheetViews>
    <sheetView showGridLines="0" topLeftCell="A16" workbookViewId="0">
      <selection activeCell="A26" sqref="A26"/>
    </sheetView>
  </sheetViews>
  <sheetFormatPr defaultColWidth="14.42578125" defaultRowHeight="15" customHeight="1" x14ac:dyDescent="0.25"/>
  <sheetData>
    <row r="1" spans="1:4" ht="15" customHeight="1" x14ac:dyDescent="0.25">
      <c r="A1" s="23" t="s">
        <v>1414</v>
      </c>
      <c r="B1" s="23"/>
      <c r="C1" s="23"/>
      <c r="D1" s="23"/>
    </row>
    <row r="2" spans="1:4" ht="15" customHeight="1" x14ac:dyDescent="0.25">
      <c r="A2" s="23"/>
      <c r="B2" s="23"/>
      <c r="C2" s="23"/>
      <c r="D2" s="23"/>
    </row>
    <row r="3" spans="1:4" ht="15" customHeight="1" x14ac:dyDescent="0.25">
      <c r="A3" t="s">
        <v>1415</v>
      </c>
    </row>
    <row r="5" spans="1:4" ht="15" customHeight="1" x14ac:dyDescent="0.3">
      <c r="A5" s="6" t="s">
        <v>1416</v>
      </c>
      <c r="B5" s="6"/>
    </row>
    <row r="6" spans="1:4" ht="15" customHeight="1" x14ac:dyDescent="0.25">
      <c r="A6" t="s">
        <v>1417</v>
      </c>
    </row>
    <row r="7" spans="1:4" ht="15" customHeight="1" x14ac:dyDescent="0.25">
      <c r="A7" t="s">
        <v>1418</v>
      </c>
    </row>
    <row r="9" spans="1:4" ht="15" customHeight="1" x14ac:dyDescent="0.25">
      <c r="A9" t="s">
        <v>1419</v>
      </c>
    </row>
    <row r="10" spans="1:4" ht="15" customHeight="1" x14ac:dyDescent="0.25">
      <c r="A10" t="s">
        <v>1420</v>
      </c>
    </row>
    <row r="12" spans="1:4" ht="15" customHeight="1" x14ac:dyDescent="0.25">
      <c r="A12" t="s">
        <v>1421</v>
      </c>
    </row>
    <row r="13" spans="1:4" ht="15" customHeight="1" x14ac:dyDescent="0.25">
      <c r="A13" t="s">
        <v>1422</v>
      </c>
    </row>
    <row r="15" spans="1:4" ht="15" customHeight="1" x14ac:dyDescent="0.25">
      <c r="A15" t="s">
        <v>1423</v>
      </c>
    </row>
    <row r="16" spans="1:4" ht="15" customHeight="1" x14ac:dyDescent="0.25">
      <c r="A16" t="s">
        <v>1424</v>
      </c>
    </row>
    <row r="18" spans="1:1" ht="15" customHeight="1" x14ac:dyDescent="0.25">
      <c r="A18" t="s">
        <v>1425</v>
      </c>
    </row>
    <row r="19" spans="1:1" ht="15" customHeight="1" x14ac:dyDescent="0.25">
      <c r="A19" t="s">
        <v>1426</v>
      </c>
    </row>
    <row r="20" spans="1:1" ht="15" customHeight="1" x14ac:dyDescent="0.25">
      <c r="A20" t="s">
        <v>1427</v>
      </c>
    </row>
    <row r="21" spans="1:1" ht="15" customHeight="1" x14ac:dyDescent="0.25">
      <c r="A21" t="s">
        <v>1428</v>
      </c>
    </row>
    <row r="23" spans="1:1" ht="15" customHeight="1" x14ac:dyDescent="0.25">
      <c r="A23" t="s">
        <v>1429</v>
      </c>
    </row>
    <row r="24" spans="1:1" ht="15" customHeight="1" x14ac:dyDescent="0.25">
      <c r="A24" t="s">
        <v>1430</v>
      </c>
    </row>
    <row r="26" spans="1:1" ht="15" customHeight="1" x14ac:dyDescent="0.25">
      <c r="A26" s="7" t="s">
        <v>1431</v>
      </c>
    </row>
    <row r="27" spans="1:1" ht="15" customHeight="1" x14ac:dyDescent="0.25">
      <c r="A27" t="s">
        <v>1432</v>
      </c>
    </row>
    <row r="28" spans="1:1" ht="15" customHeight="1" x14ac:dyDescent="0.25">
      <c r="A28" t="s">
        <v>1433</v>
      </c>
    </row>
    <row r="29" spans="1:1" ht="15" customHeight="1" x14ac:dyDescent="0.25">
      <c r="A29" t="s">
        <v>1434</v>
      </c>
    </row>
    <row r="30" spans="1:1" ht="15" customHeight="1" x14ac:dyDescent="0.25">
      <c r="A30" t="s">
        <v>1435</v>
      </c>
    </row>
    <row r="31" spans="1:1" ht="15" customHeight="1" x14ac:dyDescent="0.25">
      <c r="A31" t="s">
        <v>1436</v>
      </c>
    </row>
    <row r="32" spans="1:1" ht="15" customHeight="1" x14ac:dyDescent="0.25">
      <c r="A32" t="s">
        <v>1437</v>
      </c>
    </row>
    <row r="33" spans="1:1" ht="15" customHeight="1" x14ac:dyDescent="0.25">
      <c r="A33" t="s">
        <v>1438</v>
      </c>
    </row>
    <row r="34" spans="1:1" ht="15" customHeight="1" x14ac:dyDescent="0.25">
      <c r="A34" t="s">
        <v>1439</v>
      </c>
    </row>
    <row r="35" spans="1:1" ht="15" customHeight="1" x14ac:dyDescent="0.25">
      <c r="A35" t="s">
        <v>1440</v>
      </c>
    </row>
    <row r="36" spans="1:1" ht="15" customHeight="1" x14ac:dyDescent="0.25">
      <c r="A36" t="s">
        <v>1441</v>
      </c>
    </row>
    <row r="37" spans="1:1" ht="15" customHeight="1" x14ac:dyDescent="0.25">
      <c r="A37" t="s">
        <v>1442</v>
      </c>
    </row>
  </sheetData>
  <mergeCells count="1">
    <mergeCell ref="A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showGridLines="0" workbookViewId="0">
      <selection activeCell="I27" sqref="I27"/>
    </sheetView>
  </sheetViews>
  <sheetFormatPr defaultRowHeight="15" x14ac:dyDescent="0.25"/>
  <cols>
    <col min="2" max="2" width="22.5703125" customWidth="1"/>
  </cols>
  <sheetData>
    <row r="1" spans="1:11" ht="21" x14ac:dyDescent="0.35">
      <c r="A1" s="5" t="s">
        <v>1462</v>
      </c>
      <c r="B1" s="5"/>
      <c r="C1" s="5"/>
      <c r="D1" s="5"/>
      <c r="E1" s="5"/>
      <c r="F1" s="5"/>
      <c r="G1" s="5"/>
      <c r="H1" s="5"/>
      <c r="I1" s="5"/>
      <c r="J1" s="5"/>
      <c r="K1" s="5"/>
    </row>
    <row r="3" spans="1:11" ht="18.75" x14ac:dyDescent="0.3">
      <c r="A3" s="6" t="s">
        <v>1443</v>
      </c>
      <c r="B3" s="6"/>
    </row>
    <row r="4" spans="1:11" x14ac:dyDescent="0.25">
      <c r="A4" t="s">
        <v>1444</v>
      </c>
    </row>
    <row r="6" spans="1:11" x14ac:dyDescent="0.25">
      <c r="A6" t="s">
        <v>1445</v>
      </c>
    </row>
    <row r="8" spans="1:11" x14ac:dyDescent="0.25">
      <c r="A8" t="s">
        <v>1446</v>
      </c>
    </row>
    <row r="10" spans="1:11" x14ac:dyDescent="0.25">
      <c r="A10" t="s">
        <v>1447</v>
      </c>
    </row>
    <row r="12" spans="1:11" ht="21" x14ac:dyDescent="0.35">
      <c r="A12" s="5" t="s">
        <v>1448</v>
      </c>
      <c r="B12" s="5"/>
    </row>
    <row r="13" spans="1:11" x14ac:dyDescent="0.25">
      <c r="A13" t="s">
        <v>1449</v>
      </c>
    </row>
    <row r="15" spans="1:11" x14ac:dyDescent="0.25">
      <c r="A15" t="s">
        <v>1450</v>
      </c>
    </row>
    <row r="17" spans="1:2" x14ac:dyDescent="0.25">
      <c r="A17" t="s">
        <v>1451</v>
      </c>
    </row>
    <row r="19" spans="1:2" x14ac:dyDescent="0.25">
      <c r="A19" t="s">
        <v>1452</v>
      </c>
    </row>
    <row r="21" spans="1:2" x14ac:dyDescent="0.25">
      <c r="A21" t="s">
        <v>1453</v>
      </c>
    </row>
    <row r="23" spans="1:2" ht="18.75" x14ac:dyDescent="0.3">
      <c r="A23" s="6" t="s">
        <v>1454</v>
      </c>
      <c r="B23" s="6"/>
    </row>
    <row r="24" spans="1:2" x14ac:dyDescent="0.25">
      <c r="A24" t="s">
        <v>1455</v>
      </c>
    </row>
    <row r="26" spans="1:2" x14ac:dyDescent="0.25">
      <c r="A26" t="s">
        <v>1456</v>
      </c>
    </row>
    <row r="28" spans="1:2" ht="18.75" x14ac:dyDescent="0.3">
      <c r="A28" s="6" t="s">
        <v>1457</v>
      </c>
      <c r="B28" s="6"/>
    </row>
    <row r="29" spans="1:2" x14ac:dyDescent="0.25">
      <c r="A29" t="s">
        <v>1458</v>
      </c>
    </row>
    <row r="31" spans="1:2" x14ac:dyDescent="0.25">
      <c r="A31" t="s">
        <v>1459</v>
      </c>
    </row>
    <row r="33" spans="1:4" ht="21" x14ac:dyDescent="0.35">
      <c r="A33" s="5" t="s">
        <v>1460</v>
      </c>
      <c r="B33" s="5"/>
    </row>
    <row r="34" spans="1:4" x14ac:dyDescent="0.25">
      <c r="A34" t="s">
        <v>1461</v>
      </c>
    </row>
    <row r="36" spans="1:4" ht="21" x14ac:dyDescent="0.35">
      <c r="A36" s="5" t="s">
        <v>1464</v>
      </c>
    </row>
    <row r="37" spans="1:4" ht="21" x14ac:dyDescent="0.35">
      <c r="A37" s="8" t="s">
        <v>1463</v>
      </c>
      <c r="B37" s="8"/>
      <c r="C37" s="8"/>
      <c r="D3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Sheet2</vt:lpstr>
      <vt:lpstr>Sheet1</vt:lpstr>
      <vt:lpstr>Questions 1</vt:lpstr>
      <vt:lpstr>Question 2</vt:lpstr>
      <vt:lpstr>DEPT</vt:lpstr>
      <vt:lpstr>SALARY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Kamil Odumosu</dc:creator>
  <cp:lastModifiedBy>HP</cp:lastModifiedBy>
  <dcterms:created xsi:type="dcterms:W3CDTF">2022-06-26T08:52:43Z</dcterms:created>
  <dcterms:modified xsi:type="dcterms:W3CDTF">2025-11-24T08:14:49Z</dcterms:modified>
</cp:coreProperties>
</file>